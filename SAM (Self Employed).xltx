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209"/>
  <workbookPr codeName="ThisWorkbook"/>
  <mc:AlternateContent xmlns:mc="http://schemas.openxmlformats.org/markup-compatibility/2006">
    <mc:Choice Requires="x15">
      <x15ac:absPath xmlns:x15ac="http://schemas.microsoft.com/office/spreadsheetml/2010/11/ac" url="/Users/vitaliysalyuk/Documents/"/>
    </mc:Choice>
  </mc:AlternateContent>
  <xr:revisionPtr revIDLastSave="0" documentId="8_{35EBF29C-7DFD-A44F-B4FA-581984821F4F}" xr6:coauthVersionLast="47" xr6:coauthVersionMax="47" xr10:uidLastSave="{00000000-0000-0000-0000-000000000000}"/>
  <workbookProtection workbookAlgorithmName="SHA-512" workbookHashValue="DNzg1ekZPleg+bDFXarz+Wdn+BGi28RAgLK8H1r40g4tUvTEDNcQc8jx04hG2nTf2jviNFOUh+IeD4BVrfnJMQ==" workbookSaltValue="AyVL2i+6CO2iUIdtnO81pQ==" workbookSpinCount="100000" lockStructure="1"/>
  <bookViews>
    <workbookView xWindow="0" yWindow="760" windowWidth="29400" windowHeight="16660" tabRatio="678" xr2:uid="{00000000-000D-0000-FFFF-FFFF00000000}"/>
  </bookViews>
  <sheets>
    <sheet name="SAM" sheetId="2" r:id="rId1"/>
    <sheet name="Liquidity" sheetId="17" r:id="rId2"/>
    <sheet name="Comparative" sheetId="18" r:id="rId3"/>
    <sheet name="P&amp;L" sheetId="13" r:id="rId4"/>
    <sheet name="Help Doc" sheetId="22" r:id="rId5"/>
    <sheet name="Microsoft Instructions" sheetId="23" r:id="rId6"/>
    <sheet name="_SUMM_ROWS_LKP_YTD_" sheetId="14" state="hidden" r:id="rId7"/>
    <sheet name="_SUMM_ROWS_LKP_" sheetId="4" state="hidden" r:id="rId8"/>
    <sheet name="_HYPER_LKP_NEW_" sheetId="12" state="hidden" r:id="rId9"/>
    <sheet name="__NOTES__" sheetId="16" state="hidden" r:id="rId10"/>
    <sheet name="LOOKUPS" sheetId="3" state="hidden" r:id="rId11"/>
    <sheet name="SANDBOX" sheetId="15" state="hidden" r:id="rId12"/>
    <sheet name="_PROC_EXTRAS_LKP_" sheetId="7" state="hidden" r:id="rId13"/>
    <sheet name="_CI_ANN_MATRIX_" sheetId="19" state="hidden" r:id="rId14"/>
    <sheet name="_CI_LOOKUPS_" sheetId="20" state="hidden" r:id="rId15"/>
    <sheet name="_CI_LKP_VARS_" sheetId="21" state="hidden" r:id="rId16"/>
  </sheets>
  <definedNames>
    <definedName name="CompDefault">Comparative!$D$5</definedName>
    <definedName name="CompNotes">Comparative!$C$582</definedName>
    <definedName name="CompSect01">Comparative!$A$6:$A$35</definedName>
    <definedName name="CompSect02">Comparative!$A$38:$A$67</definedName>
    <definedName name="CompSect03">Comparative!$A$70:$A$99</definedName>
    <definedName name="CompSect04">Comparative!$A$102:$A$131</definedName>
    <definedName name="CompSect05">Comparative!$A$134:$A$163</definedName>
    <definedName name="CompSect06">Comparative!$A$166:$A$195</definedName>
    <definedName name="CompSect07">Comparative!$A$198:$A$227</definedName>
    <definedName name="CompSect08">Comparative!$A$230:$A$259</definedName>
    <definedName name="CompSect09">Comparative!$A$262:$A$291</definedName>
    <definedName name="CompSect10">Comparative!$A$294:$A$323</definedName>
    <definedName name="CompSect11">Comparative!$A$326:$A$355</definedName>
    <definedName name="CompSect12">Comparative!$A$358:$A$387</definedName>
    <definedName name="CompSect13">Comparative!$A$390:$A$419</definedName>
    <definedName name="CompSect14">Comparative!$A$422:$A$451</definedName>
    <definedName name="CompSect15">Comparative!$A$454:$A$483</definedName>
    <definedName name="CompSect16">Comparative!$A$486:$A$515</definedName>
    <definedName name="CompSect17">Comparative!$A$518:$A$547</definedName>
    <definedName name="CompSect18">Comparative!$A$550:$A$579</definedName>
    <definedName name="LiqDefault">Liquidity!$D$5</definedName>
    <definedName name="LiqNotes">Liquidity!$C$397</definedName>
    <definedName name="LiqSect01">Liquidity!$A$6:$A$29</definedName>
    <definedName name="LiqSect02">Liquidity!$A$32:$A$55</definedName>
    <definedName name="LiqSect03">Liquidity!$A$58:$A$81</definedName>
    <definedName name="LiqSect04">Liquidity!$A$84:$A$107</definedName>
    <definedName name="LiqSect05">Liquidity!$A$110:$A$133</definedName>
    <definedName name="LiqSect06">Liquidity!$A$136:$A$159</definedName>
    <definedName name="LiqSect07">Liquidity!$A$162:$A$185</definedName>
    <definedName name="LiqSect08">Liquidity!$A$188:$A$211</definedName>
    <definedName name="LiqSect09">Liquidity!$A$214:$A$237</definedName>
    <definedName name="LiqSect10">Liquidity!$A$240:$A$263</definedName>
    <definedName name="LiqSect11">Liquidity!$A$266:$A$289</definedName>
    <definedName name="LiqSect12">Liquidity!$A$292:$A$315</definedName>
    <definedName name="LiqSect13">Liquidity!$A$318:$A$341</definedName>
    <definedName name="LiqSect14">Liquidity!$A$344:$A$367</definedName>
    <definedName name="LiqSect15">Liquidity!$A$370:$A$393</definedName>
    <definedName name="LKP_MILEAGE">OFFSET(LOOKUPS!$B$1,1,0,COUNTA(LOOKUPS!$B:$B)-1,2)</definedName>
    <definedName name="LKP_MONTH">OFFSET(LOOKUPS!$D$1,1,0,COUNTA(LOOKUPS!$D:$D)-1,1)</definedName>
    <definedName name="LKP_YEAR">OFFSET(LOOKUPS!$B$1,1,0,COUNTA(LOOKUPS!$B:$B)-1,1)</definedName>
    <definedName name="LKP_YEAR_1">OFFSET(_CI_LOOKUPS_!$B$1,1,0,COUNTA(_CI_LOOKUPS_!$B:$B)-1,1)</definedName>
    <definedName name="LKP_YEAR_2">OFFSET(_CI_LOOKUPS_!$C$1,1,0,COUNTA(_CI_LOOKUPS_!$C:$C)-1,1)</definedName>
    <definedName name="LKP_YEAR_3">OFFSET(_CI_LOOKUPS_!$D$1,1,0,COUNTA(_CI_LOOKUPS_!$D:$D)-1,1)</definedName>
    <definedName name="LKP_YEAR_LIQUIDITY">OFFSET(LOOKUPS!$G$1,1,0,COUNTA(LOOKUPS!$G:$G)-1,1)</definedName>
    <definedName name="_xlnm.Print_Area" localSheetId="2">Comparative!$A$1:$R$590</definedName>
    <definedName name="_xlnm.Print_Area" localSheetId="4">'Help Doc'!$B$2:$AR$467</definedName>
    <definedName name="_xlnm.Print_Area" localSheetId="1">Liquidity!$B$1:$M$405</definedName>
    <definedName name="_xlnm.Print_Area" localSheetId="5">'Microsoft Instructions'!$A$1:$B$45</definedName>
    <definedName name="_xlnm.Print_Area" localSheetId="3">'P&amp;L'!$A$1:$Z$486</definedName>
    <definedName name="_xlnm.Print_Area" localSheetId="0">SAM!$A$1:$N$660</definedName>
    <definedName name="SAM_SchC01_Miles01">SAM!$H$26</definedName>
    <definedName name="SAM_SchC01_Miles02">SAM!$K$26</definedName>
    <definedName name="SAM_SchC02_Miles01">SAM!$H$41</definedName>
    <definedName name="SAM_SchC02_Miles02">SAM!$K$41</definedName>
    <definedName name="SAM_SchC03_Miles01">SAM!$H$56</definedName>
    <definedName name="SAM_SchC03_Miles02">SAM!$K$56</definedName>
    <definedName name="SAM_SchC04_Miles01">SAM!$H$75</definedName>
    <definedName name="SAM_SchC04_Miles02">SAM!$K$75</definedName>
    <definedName name="SAM_Year01">SAM!$H$5</definedName>
    <definedName name="SAM_Year02">SAM!$K$5</definedName>
    <definedName name="SUMM_DATA_VALIDATION">LOOKUPS!$I$2</definedName>
    <definedName name="YEAR_1">LOOKUPS!$K$2</definedName>
    <definedName name="YEAR_2">LOOKUPS!$L$2</definedName>
    <definedName name="YEAR_3">LOOKUPS!$M$2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449" i="13" l="1"/>
  <c r="G423" i="13"/>
  <c r="G397" i="13"/>
  <c r="G370" i="13"/>
  <c r="G345" i="13"/>
  <c r="G320" i="13"/>
  <c r="G295" i="13"/>
  <c r="G270" i="13"/>
  <c r="G245" i="13"/>
  <c r="G217" i="13"/>
  <c r="G191" i="13"/>
  <c r="G165" i="13"/>
  <c r="G139" i="13"/>
  <c r="G113" i="13"/>
  <c r="G87" i="13"/>
  <c r="G66" i="13"/>
  <c r="G45" i="13"/>
  <c r="G26" i="13"/>
  <c r="G7" i="13"/>
  <c r="K66" i="2"/>
  <c r="H66" i="2"/>
  <c r="K64" i="2"/>
  <c r="H64" i="2"/>
  <c r="K509" i="2" l="1"/>
  <c r="H509" i="2"/>
  <c r="K536" i="2"/>
  <c r="H536" i="2"/>
  <c r="K563" i="2"/>
  <c r="H563" i="2"/>
  <c r="K331" i="2"/>
  <c r="H331" i="2"/>
  <c r="K361" i="2"/>
  <c r="H361" i="2"/>
  <c r="K391" i="2"/>
  <c r="H391" i="2"/>
  <c r="K421" i="2"/>
  <c r="H421" i="2"/>
  <c r="K451" i="2"/>
  <c r="H451" i="2"/>
  <c r="H481" i="2"/>
  <c r="K481" i="2"/>
  <c r="K139" i="2"/>
  <c r="H139" i="2"/>
  <c r="K171" i="2"/>
  <c r="H171" i="2"/>
  <c r="K203" i="2"/>
  <c r="H203" i="2"/>
  <c r="K235" i="2"/>
  <c r="H235" i="2"/>
  <c r="K267" i="2"/>
  <c r="H267" i="2"/>
  <c r="K299" i="2"/>
  <c r="H299" i="2"/>
  <c r="K390" i="17" l="1"/>
  <c r="H390" i="17"/>
  <c r="K364" i="17"/>
  <c r="H364" i="17"/>
  <c r="K338" i="17"/>
  <c r="H338" i="17"/>
  <c r="K312" i="17"/>
  <c r="H312" i="17"/>
  <c r="K286" i="17"/>
  <c r="H286" i="17"/>
  <c r="K260" i="17"/>
  <c r="H260" i="17"/>
  <c r="K234" i="17"/>
  <c r="H234" i="17"/>
  <c r="K208" i="17"/>
  <c r="H208" i="17"/>
  <c r="K182" i="17"/>
  <c r="H182" i="17"/>
  <c r="K156" i="17"/>
  <c r="H156" i="17"/>
  <c r="K130" i="17"/>
  <c r="H130" i="17"/>
  <c r="K104" i="17"/>
  <c r="H104" i="17"/>
  <c r="K78" i="17"/>
  <c r="H78" i="17"/>
  <c r="K52" i="17"/>
  <c r="H52" i="17"/>
  <c r="K385" i="17"/>
  <c r="H385" i="17"/>
  <c r="K359" i="17"/>
  <c r="H359" i="17"/>
  <c r="K333" i="17"/>
  <c r="H333" i="17"/>
  <c r="K307" i="17"/>
  <c r="H307" i="17"/>
  <c r="K281" i="17"/>
  <c r="H281" i="17"/>
  <c r="K255" i="17"/>
  <c r="H255" i="17"/>
  <c r="K229" i="17"/>
  <c r="H229" i="17"/>
  <c r="K203" i="17"/>
  <c r="H203" i="17"/>
  <c r="K177" i="17"/>
  <c r="H177" i="17"/>
  <c r="K151" i="17"/>
  <c r="H151" i="17"/>
  <c r="K125" i="17"/>
  <c r="H125" i="17"/>
  <c r="K99" i="17"/>
  <c r="H99" i="17"/>
  <c r="K73" i="17"/>
  <c r="H73" i="17"/>
  <c r="K47" i="17"/>
  <c r="H47" i="17"/>
  <c r="K378" i="17"/>
  <c r="H378" i="17"/>
  <c r="K352" i="17"/>
  <c r="H352" i="17"/>
  <c r="K326" i="17"/>
  <c r="H326" i="17"/>
  <c r="K300" i="17"/>
  <c r="H300" i="17"/>
  <c r="K274" i="17"/>
  <c r="H274" i="17"/>
  <c r="K248" i="17"/>
  <c r="H248" i="17"/>
  <c r="K222" i="17"/>
  <c r="H222" i="17"/>
  <c r="K196" i="17"/>
  <c r="H196" i="17"/>
  <c r="K170" i="17"/>
  <c r="H170" i="17"/>
  <c r="K144" i="17"/>
  <c r="H144" i="17"/>
  <c r="K118" i="17"/>
  <c r="H118" i="17"/>
  <c r="K92" i="17"/>
  <c r="H92" i="17"/>
  <c r="K66" i="17"/>
  <c r="H66" i="17"/>
  <c r="K40" i="17"/>
  <c r="H40" i="17"/>
  <c r="K26" i="17"/>
  <c r="K21" i="17"/>
  <c r="K14" i="17"/>
  <c r="H26" i="17"/>
  <c r="H21" i="17"/>
  <c r="H14" i="17"/>
  <c r="K183" i="17" l="1"/>
  <c r="H183" i="17"/>
  <c r="K105" i="17"/>
  <c r="H105" i="17"/>
  <c r="K391" i="17"/>
  <c r="H391" i="17"/>
  <c r="K365" i="17"/>
  <c r="H365" i="17"/>
  <c r="K339" i="17"/>
  <c r="H339" i="17"/>
  <c r="K313" i="17"/>
  <c r="H313" i="17"/>
  <c r="K287" i="17"/>
  <c r="H287" i="17"/>
  <c r="K261" i="17"/>
  <c r="H261" i="17"/>
  <c r="K235" i="17"/>
  <c r="H235" i="17"/>
  <c r="K209" i="17"/>
  <c r="H209" i="17"/>
  <c r="K157" i="17"/>
  <c r="H157" i="17"/>
  <c r="K131" i="17"/>
  <c r="H131" i="17"/>
  <c r="K79" i="17"/>
  <c r="H79" i="17"/>
  <c r="K53" i="17"/>
  <c r="H53" i="17"/>
  <c r="K27" i="17"/>
  <c r="H27" i="17"/>
  <c r="M94" i="18"/>
  <c r="M574" i="18"/>
  <c r="M65" i="18"/>
  <c r="M577" i="18"/>
  <c r="M569" i="18"/>
  <c r="M566" i="18"/>
  <c r="M564" i="18"/>
  <c r="M545" i="18"/>
  <c r="M542" i="18"/>
  <c r="M539" i="18"/>
  <c r="M537" i="18"/>
  <c r="M534" i="18"/>
  <c r="M532" i="18"/>
  <c r="M513" i="18"/>
  <c r="M510" i="18"/>
  <c r="M507" i="18"/>
  <c r="M505" i="18"/>
  <c r="M502" i="18"/>
  <c r="M500" i="18"/>
  <c r="M481" i="18"/>
  <c r="M478" i="18"/>
  <c r="M475" i="18"/>
  <c r="M473" i="18"/>
  <c r="M470" i="18"/>
  <c r="M468" i="18"/>
  <c r="M449" i="18"/>
  <c r="M446" i="18"/>
  <c r="M443" i="18"/>
  <c r="M441" i="18"/>
  <c r="M438" i="18"/>
  <c r="M436" i="18"/>
  <c r="M417" i="18"/>
  <c r="M414" i="18"/>
  <c r="M411" i="18"/>
  <c r="M409" i="18"/>
  <c r="M406" i="18"/>
  <c r="M404" i="18"/>
  <c r="M385" i="18"/>
  <c r="M382" i="18"/>
  <c r="M379" i="18"/>
  <c r="M377" i="18"/>
  <c r="M374" i="18"/>
  <c r="M372" i="18"/>
  <c r="M353" i="18"/>
  <c r="M350" i="18"/>
  <c r="M347" i="18"/>
  <c r="M345" i="18"/>
  <c r="M342" i="18"/>
  <c r="M340" i="18"/>
  <c r="M321" i="18"/>
  <c r="M318" i="18"/>
  <c r="M315" i="18"/>
  <c r="M313" i="18"/>
  <c r="M310" i="18"/>
  <c r="M308" i="18"/>
  <c r="M289" i="18"/>
  <c r="M286" i="18"/>
  <c r="M283" i="18"/>
  <c r="M281" i="18"/>
  <c r="M278" i="18"/>
  <c r="M276" i="18"/>
  <c r="M257" i="18"/>
  <c r="M254" i="18"/>
  <c r="M251" i="18"/>
  <c r="M249" i="18"/>
  <c r="M246" i="18"/>
  <c r="M244" i="18"/>
  <c r="M225" i="18"/>
  <c r="M222" i="18"/>
  <c r="M219" i="18"/>
  <c r="M217" i="18"/>
  <c r="M214" i="18"/>
  <c r="M212" i="18"/>
  <c r="M193" i="18"/>
  <c r="M190" i="18"/>
  <c r="M187" i="18"/>
  <c r="M185" i="18"/>
  <c r="M182" i="18"/>
  <c r="M180" i="18"/>
  <c r="M161" i="18"/>
  <c r="M158" i="18"/>
  <c r="M155" i="18"/>
  <c r="M153" i="18"/>
  <c r="M150" i="18"/>
  <c r="M148" i="18"/>
  <c r="M129" i="18"/>
  <c r="M126" i="18"/>
  <c r="M123" i="18"/>
  <c r="M121" i="18"/>
  <c r="M118" i="18"/>
  <c r="M116" i="18"/>
  <c r="M97" i="18"/>
  <c r="M91" i="18"/>
  <c r="M89" i="18"/>
  <c r="M84" i="18"/>
  <c r="M59" i="18"/>
  <c r="M57" i="18"/>
  <c r="M27" i="18"/>
  <c r="I33" i="18"/>
  <c r="E33" i="18"/>
  <c r="E22" i="18"/>
  <c r="I27" i="18"/>
  <c r="I25" i="18"/>
  <c r="I22" i="18"/>
  <c r="E25" i="18"/>
  <c r="K33" i="18" l="1"/>
  <c r="P161" i="18"/>
  <c r="P155" i="18"/>
  <c r="P545" i="18"/>
  <c r="P513" i="18"/>
  <c r="M86" i="18"/>
  <c r="P91" i="18" s="1"/>
  <c r="P481" i="18"/>
  <c r="P475" i="18"/>
  <c r="P443" i="18"/>
  <c r="P379" i="18"/>
  <c r="P257" i="18"/>
  <c r="P251" i="18"/>
  <c r="P219" i="18"/>
  <c r="P187" i="18"/>
  <c r="P129" i="18"/>
  <c r="K27" i="18"/>
  <c r="P417" i="18"/>
  <c r="P507" i="18"/>
  <c r="P539" i="18"/>
  <c r="P193" i="18"/>
  <c r="P225" i="18"/>
  <c r="P353" i="18"/>
  <c r="P123" i="18"/>
  <c r="M571" i="18"/>
  <c r="P577" i="18"/>
  <c r="M54" i="18"/>
  <c r="M52" i="18"/>
  <c r="M22" i="18"/>
  <c r="K24" i="18" s="1"/>
  <c r="M62" i="18"/>
  <c r="P449" i="18"/>
  <c r="P411" i="18"/>
  <c r="P385" i="18"/>
  <c r="P347" i="18"/>
  <c r="P315" i="18"/>
  <c r="P321" i="18"/>
  <c r="P289" i="18"/>
  <c r="P283" i="18"/>
  <c r="F34" i="18"/>
  <c r="K29" i="18"/>
  <c r="F26" i="18"/>
  <c r="F24" i="18"/>
  <c r="P97" i="18" l="1"/>
  <c r="P571" i="18"/>
  <c r="P65" i="18"/>
  <c r="P59" i="18"/>
  <c r="G7" i="4" l="1"/>
  <c r="I385" i="18"/>
  <c r="E385" i="18"/>
  <c r="I382" i="18"/>
  <c r="E382" i="18"/>
  <c r="I379" i="18"/>
  <c r="E379" i="18"/>
  <c r="I377" i="18"/>
  <c r="E377" i="18"/>
  <c r="I374" i="18"/>
  <c r="E374" i="18"/>
  <c r="I372" i="18"/>
  <c r="E372" i="18"/>
  <c r="I353" i="18"/>
  <c r="E353" i="18"/>
  <c r="I350" i="18"/>
  <c r="E350" i="18"/>
  <c r="I347" i="18"/>
  <c r="E347" i="18"/>
  <c r="I345" i="18"/>
  <c r="E345" i="18"/>
  <c r="I342" i="18"/>
  <c r="E342" i="18"/>
  <c r="I340" i="18"/>
  <c r="E340" i="18"/>
  <c r="I449" i="18"/>
  <c r="E449" i="18"/>
  <c r="I446" i="18"/>
  <c r="E446" i="18"/>
  <c r="I443" i="18"/>
  <c r="E443" i="18"/>
  <c r="I441" i="18"/>
  <c r="E441" i="18"/>
  <c r="I438" i="18"/>
  <c r="E438" i="18"/>
  <c r="I436" i="18"/>
  <c r="E436" i="18"/>
  <c r="I417" i="18"/>
  <c r="E417" i="18"/>
  <c r="I414" i="18"/>
  <c r="E414" i="18"/>
  <c r="I411" i="18"/>
  <c r="E411" i="18"/>
  <c r="I409" i="18"/>
  <c r="E409" i="18"/>
  <c r="I406" i="18"/>
  <c r="E406" i="18"/>
  <c r="I404" i="18"/>
  <c r="E404" i="18"/>
  <c r="I321" i="18"/>
  <c r="E321" i="18"/>
  <c r="I318" i="18"/>
  <c r="E318" i="18"/>
  <c r="I315" i="18"/>
  <c r="E315" i="18"/>
  <c r="I313" i="18"/>
  <c r="E313" i="18"/>
  <c r="I310" i="18"/>
  <c r="E310" i="18"/>
  <c r="I308" i="18"/>
  <c r="E308" i="18"/>
  <c r="I289" i="18"/>
  <c r="E289" i="18"/>
  <c r="I286" i="18"/>
  <c r="E286" i="18"/>
  <c r="I283" i="18"/>
  <c r="E283" i="18"/>
  <c r="I281" i="18"/>
  <c r="E281" i="18"/>
  <c r="I278" i="18"/>
  <c r="E278" i="18"/>
  <c r="I276" i="18"/>
  <c r="E276" i="18"/>
  <c r="I577" i="18"/>
  <c r="E577" i="18"/>
  <c r="I574" i="18"/>
  <c r="E574" i="18"/>
  <c r="I571" i="18"/>
  <c r="E571" i="18"/>
  <c r="I569" i="18"/>
  <c r="E569" i="18"/>
  <c r="I566" i="18"/>
  <c r="E566" i="18"/>
  <c r="I564" i="18"/>
  <c r="E564" i="18"/>
  <c r="I545" i="18"/>
  <c r="E545" i="18"/>
  <c r="I542" i="18"/>
  <c r="E542" i="18"/>
  <c r="I539" i="18"/>
  <c r="E539" i="18"/>
  <c r="I537" i="18"/>
  <c r="E537" i="18"/>
  <c r="I534" i="18"/>
  <c r="E534" i="18"/>
  <c r="I532" i="18"/>
  <c r="E532" i="18"/>
  <c r="I513" i="18"/>
  <c r="E513" i="18"/>
  <c r="I510" i="18"/>
  <c r="E510" i="18"/>
  <c r="I507" i="18"/>
  <c r="E507" i="18"/>
  <c r="I505" i="18"/>
  <c r="E505" i="18"/>
  <c r="I502" i="18"/>
  <c r="E502" i="18"/>
  <c r="I500" i="18"/>
  <c r="E500" i="18"/>
  <c r="I481" i="18"/>
  <c r="E481" i="18"/>
  <c r="I478" i="18"/>
  <c r="E478" i="18"/>
  <c r="I475" i="18"/>
  <c r="E475" i="18"/>
  <c r="I473" i="18"/>
  <c r="E473" i="18"/>
  <c r="I470" i="18"/>
  <c r="E470" i="18"/>
  <c r="I468" i="18"/>
  <c r="E468" i="18"/>
  <c r="I257" i="18"/>
  <c r="E257" i="18"/>
  <c r="I254" i="18"/>
  <c r="E254" i="18"/>
  <c r="I251" i="18"/>
  <c r="E251" i="18"/>
  <c r="I249" i="18"/>
  <c r="E249" i="18"/>
  <c r="I246" i="18"/>
  <c r="E246" i="18"/>
  <c r="I244" i="18"/>
  <c r="E244" i="18"/>
  <c r="I225" i="18"/>
  <c r="E225" i="18"/>
  <c r="I222" i="18"/>
  <c r="E222" i="18"/>
  <c r="I219" i="18"/>
  <c r="E219" i="18"/>
  <c r="I217" i="18"/>
  <c r="E217" i="18"/>
  <c r="I214" i="18"/>
  <c r="E214" i="18"/>
  <c r="I212" i="18"/>
  <c r="E212" i="18"/>
  <c r="I193" i="18"/>
  <c r="E193" i="18"/>
  <c r="I190" i="18"/>
  <c r="E190" i="18"/>
  <c r="I187" i="18"/>
  <c r="E187" i="18"/>
  <c r="I185" i="18"/>
  <c r="E185" i="18"/>
  <c r="I182" i="18"/>
  <c r="E182" i="18"/>
  <c r="I180" i="18"/>
  <c r="E180" i="18"/>
  <c r="I161" i="18"/>
  <c r="E161" i="18"/>
  <c r="I158" i="18"/>
  <c r="E158" i="18"/>
  <c r="I155" i="18"/>
  <c r="E155" i="18"/>
  <c r="I153" i="18"/>
  <c r="E153" i="18"/>
  <c r="I150" i="18"/>
  <c r="E150" i="18"/>
  <c r="I148" i="18"/>
  <c r="E148" i="18"/>
  <c r="I129" i="18"/>
  <c r="E129" i="18"/>
  <c r="I126" i="18"/>
  <c r="E126" i="18"/>
  <c r="I123" i="18"/>
  <c r="E123" i="18"/>
  <c r="I121" i="18"/>
  <c r="E121" i="18"/>
  <c r="I118" i="18"/>
  <c r="E118" i="18"/>
  <c r="I116" i="18"/>
  <c r="E116" i="18"/>
  <c r="I97" i="18"/>
  <c r="E97" i="18"/>
  <c r="I94" i="18"/>
  <c r="E94" i="18"/>
  <c r="I91" i="18"/>
  <c r="E91" i="18"/>
  <c r="I89" i="18"/>
  <c r="E89" i="18"/>
  <c r="I86" i="18"/>
  <c r="E86" i="18"/>
  <c r="I84" i="18"/>
  <c r="E84" i="18"/>
  <c r="I65" i="18"/>
  <c r="E65" i="18"/>
  <c r="I62" i="18"/>
  <c r="E62" i="18"/>
  <c r="I59" i="18"/>
  <c r="E59" i="18"/>
  <c r="I57" i="18"/>
  <c r="E57" i="18"/>
  <c r="I54" i="18"/>
  <c r="E54" i="18"/>
  <c r="I52" i="18"/>
  <c r="E52" i="18"/>
  <c r="F213" i="18" l="1"/>
  <c r="K213" i="18"/>
  <c r="F533" i="18"/>
  <c r="K533" i="18"/>
  <c r="F565" i="18"/>
  <c r="K565" i="18"/>
  <c r="F277" i="18"/>
  <c r="K277" i="18"/>
  <c r="F309" i="18"/>
  <c r="K309" i="18"/>
  <c r="F405" i="18"/>
  <c r="K405" i="18"/>
  <c r="F437" i="18"/>
  <c r="K437" i="18"/>
  <c r="F341" i="18"/>
  <c r="K341" i="18"/>
  <c r="F373" i="18"/>
  <c r="K373" i="18"/>
  <c r="K149" i="18"/>
  <c r="F149" i="18"/>
  <c r="F56" i="18"/>
  <c r="K56" i="18"/>
  <c r="F88" i="18"/>
  <c r="K88" i="18"/>
  <c r="F120" i="18"/>
  <c r="K120" i="18"/>
  <c r="F152" i="18"/>
  <c r="K152" i="18"/>
  <c r="F184" i="18"/>
  <c r="K184" i="18"/>
  <c r="K216" i="18"/>
  <c r="F216" i="18"/>
  <c r="F248" i="18"/>
  <c r="K248" i="18"/>
  <c r="F472" i="18"/>
  <c r="K472" i="18"/>
  <c r="K504" i="18"/>
  <c r="F504" i="18"/>
  <c r="F536" i="18"/>
  <c r="K536" i="18"/>
  <c r="F568" i="18"/>
  <c r="K568" i="18"/>
  <c r="F280" i="18"/>
  <c r="K280" i="18"/>
  <c r="F312" i="18"/>
  <c r="K312" i="18"/>
  <c r="K408" i="18"/>
  <c r="F408" i="18"/>
  <c r="F440" i="18"/>
  <c r="K440" i="18"/>
  <c r="F344" i="18"/>
  <c r="K344" i="18"/>
  <c r="F376" i="18"/>
  <c r="K376" i="18"/>
  <c r="F181" i="18"/>
  <c r="K181" i="18"/>
  <c r="F245" i="18"/>
  <c r="K245" i="18"/>
  <c r="F122" i="18"/>
  <c r="K122" i="18"/>
  <c r="F250" i="18"/>
  <c r="K250" i="18"/>
  <c r="F506" i="18"/>
  <c r="K506" i="18"/>
  <c r="F538" i="18"/>
  <c r="K538" i="18"/>
  <c r="F282" i="18"/>
  <c r="K282" i="18"/>
  <c r="F442" i="18"/>
  <c r="K442" i="18"/>
  <c r="F123" i="18"/>
  <c r="F155" i="18"/>
  <c r="F187" i="18"/>
  <c r="F219" i="18"/>
  <c r="F251" i="18"/>
  <c r="F475" i="18"/>
  <c r="F507" i="18"/>
  <c r="F539" i="18"/>
  <c r="F571" i="18"/>
  <c r="F283" i="18"/>
  <c r="F315" i="18"/>
  <c r="F411" i="18"/>
  <c r="F443" i="18"/>
  <c r="F347" i="18"/>
  <c r="F379" i="18"/>
  <c r="F501" i="18"/>
  <c r="K501" i="18"/>
  <c r="F186" i="18"/>
  <c r="K186" i="18"/>
  <c r="K346" i="18"/>
  <c r="F346" i="18"/>
  <c r="K59" i="18"/>
  <c r="F61" i="18"/>
  <c r="K61" i="18"/>
  <c r="K91" i="18"/>
  <c r="F93" i="18"/>
  <c r="K93" i="18"/>
  <c r="K123" i="18"/>
  <c r="F125" i="18"/>
  <c r="K125" i="18"/>
  <c r="K155" i="18"/>
  <c r="F157" i="18"/>
  <c r="K157" i="18"/>
  <c r="K187" i="18"/>
  <c r="K189" i="18"/>
  <c r="F189" i="18"/>
  <c r="K219" i="18"/>
  <c r="F221" i="18"/>
  <c r="K221" i="18"/>
  <c r="K251" i="18"/>
  <c r="F253" i="18"/>
  <c r="K253" i="18"/>
  <c r="K475" i="18"/>
  <c r="F477" i="18"/>
  <c r="K477" i="18"/>
  <c r="F509" i="18"/>
  <c r="K509" i="18"/>
  <c r="K507" i="18"/>
  <c r="F541" i="18"/>
  <c r="K539" i="18"/>
  <c r="K541" i="18"/>
  <c r="K571" i="18"/>
  <c r="F573" i="18"/>
  <c r="K573" i="18"/>
  <c r="K283" i="18"/>
  <c r="F285" i="18"/>
  <c r="K285" i="18"/>
  <c r="K315" i="18"/>
  <c r="F317" i="18"/>
  <c r="K317" i="18"/>
  <c r="K411" i="18"/>
  <c r="F413" i="18"/>
  <c r="K413" i="18"/>
  <c r="K443" i="18"/>
  <c r="F445" i="18"/>
  <c r="K445" i="18"/>
  <c r="F349" i="18"/>
  <c r="K347" i="18"/>
  <c r="K349" i="18"/>
  <c r="K379" i="18"/>
  <c r="F381" i="18"/>
  <c r="K381" i="18"/>
  <c r="F53" i="18"/>
  <c r="K53" i="18"/>
  <c r="F314" i="18"/>
  <c r="K314" i="18"/>
  <c r="F59" i="18"/>
  <c r="F117" i="18"/>
  <c r="K117" i="18"/>
  <c r="F90" i="18"/>
  <c r="K90" i="18"/>
  <c r="F474" i="18"/>
  <c r="K474" i="18"/>
  <c r="F410" i="18"/>
  <c r="K410" i="18"/>
  <c r="F91" i="18"/>
  <c r="F64" i="18"/>
  <c r="K64" i="18"/>
  <c r="F96" i="18"/>
  <c r="K96" i="18"/>
  <c r="F128" i="18"/>
  <c r="K128" i="18"/>
  <c r="F160" i="18"/>
  <c r="K160" i="18"/>
  <c r="F192" i="18"/>
  <c r="K192" i="18"/>
  <c r="F224" i="18"/>
  <c r="K224" i="18"/>
  <c r="F256" i="18"/>
  <c r="K256" i="18"/>
  <c r="F480" i="18"/>
  <c r="K480" i="18"/>
  <c r="F512" i="18"/>
  <c r="K512" i="18"/>
  <c r="K544" i="18"/>
  <c r="F544" i="18"/>
  <c r="F576" i="18"/>
  <c r="K576" i="18"/>
  <c r="F288" i="18"/>
  <c r="K288" i="18"/>
  <c r="F320" i="18"/>
  <c r="K320" i="18"/>
  <c r="F416" i="18"/>
  <c r="K416" i="18"/>
  <c r="F448" i="18"/>
  <c r="K448" i="18"/>
  <c r="F352" i="18"/>
  <c r="K352" i="18"/>
  <c r="F384" i="18"/>
  <c r="K384" i="18"/>
  <c r="F85" i="18"/>
  <c r="K85" i="18"/>
  <c r="F378" i="18"/>
  <c r="K378" i="18"/>
  <c r="F65" i="18"/>
  <c r="F97" i="18"/>
  <c r="F129" i="18"/>
  <c r="F161" i="18"/>
  <c r="F193" i="18"/>
  <c r="F225" i="18"/>
  <c r="F257" i="18"/>
  <c r="F481" i="18"/>
  <c r="F513" i="18"/>
  <c r="F545" i="18"/>
  <c r="F577" i="18"/>
  <c r="F289" i="18"/>
  <c r="F321" i="18"/>
  <c r="F417" i="18"/>
  <c r="F449" i="18"/>
  <c r="F353" i="18"/>
  <c r="F385" i="18"/>
  <c r="F469" i="18"/>
  <c r="K469" i="18"/>
  <c r="F58" i="18"/>
  <c r="K58" i="18"/>
  <c r="F154" i="18"/>
  <c r="K154" i="18"/>
  <c r="F218" i="18"/>
  <c r="K218" i="18"/>
  <c r="F570" i="18"/>
  <c r="K570" i="18"/>
  <c r="K65" i="18"/>
  <c r="F66" i="18"/>
  <c r="K66" i="18"/>
  <c r="K97" i="18"/>
  <c r="F98" i="18"/>
  <c r="K98" i="18"/>
  <c r="F130" i="18"/>
  <c r="K129" i="18"/>
  <c r="K130" i="18"/>
  <c r="F162" i="18"/>
  <c r="K161" i="18"/>
  <c r="K162" i="18"/>
  <c r="F194" i="18"/>
  <c r="K193" i="18"/>
  <c r="K194" i="18"/>
  <c r="F226" i="18"/>
  <c r="K225" i="18"/>
  <c r="K226" i="18"/>
  <c r="K257" i="18"/>
  <c r="F258" i="18"/>
  <c r="K258" i="18"/>
  <c r="K482" i="18"/>
  <c r="K481" i="18"/>
  <c r="F482" i="18"/>
  <c r="F514" i="18"/>
  <c r="K513" i="18"/>
  <c r="K514" i="18"/>
  <c r="K545" i="18"/>
  <c r="F546" i="18"/>
  <c r="K546" i="18"/>
  <c r="K577" i="18"/>
  <c r="F578" i="18"/>
  <c r="K578" i="18"/>
  <c r="K289" i="18"/>
  <c r="F290" i="18"/>
  <c r="K290" i="18"/>
  <c r="F322" i="18"/>
  <c r="K321" i="18"/>
  <c r="K322" i="18"/>
  <c r="K417" i="18"/>
  <c r="F418" i="18"/>
  <c r="K418" i="18"/>
  <c r="K449" i="18"/>
  <c r="F450" i="18"/>
  <c r="K450" i="18"/>
  <c r="F354" i="18"/>
  <c r="K354" i="18"/>
  <c r="K353" i="18"/>
  <c r="F386" i="18"/>
  <c r="K385" i="18"/>
  <c r="K386" i="18"/>
  <c r="K253" i="17"/>
  <c r="H253" i="17"/>
  <c r="K247" i="17"/>
  <c r="K256" i="17" s="1"/>
  <c r="H247" i="17"/>
  <c r="H256" i="17" s="1"/>
  <c r="K227" i="17"/>
  <c r="H227" i="17"/>
  <c r="K221" i="17"/>
  <c r="K230" i="17" s="1"/>
  <c r="H221" i="17"/>
  <c r="H230" i="17" s="1"/>
  <c r="K201" i="17"/>
  <c r="H201" i="17"/>
  <c r="K195" i="17"/>
  <c r="K204" i="17" s="1"/>
  <c r="H195" i="17"/>
  <c r="H204" i="17" s="1"/>
  <c r="K175" i="17"/>
  <c r="H175" i="17"/>
  <c r="K169" i="17"/>
  <c r="K178" i="17" s="1"/>
  <c r="H169" i="17"/>
  <c r="H178" i="17" s="1"/>
  <c r="K149" i="17"/>
  <c r="H149" i="17"/>
  <c r="K143" i="17"/>
  <c r="K152" i="17" s="1"/>
  <c r="H143" i="17"/>
  <c r="H152" i="17" s="1"/>
  <c r="K383" i="17"/>
  <c r="H383" i="17"/>
  <c r="K377" i="17"/>
  <c r="K386" i="17" s="1"/>
  <c r="H377" i="17"/>
  <c r="H386" i="17" s="1"/>
  <c r="K357" i="17"/>
  <c r="H357" i="17"/>
  <c r="K351" i="17"/>
  <c r="K360" i="17" s="1"/>
  <c r="H351" i="17"/>
  <c r="H360" i="17" s="1"/>
  <c r="K331" i="17"/>
  <c r="H331" i="17"/>
  <c r="K325" i="17"/>
  <c r="K334" i="17" s="1"/>
  <c r="H325" i="17"/>
  <c r="H334" i="17" s="1"/>
  <c r="K305" i="17"/>
  <c r="H305" i="17"/>
  <c r="K299" i="17"/>
  <c r="K308" i="17" s="1"/>
  <c r="H299" i="17"/>
  <c r="H308" i="17" s="1"/>
  <c r="K279" i="17"/>
  <c r="H279" i="17"/>
  <c r="K273" i="17"/>
  <c r="K282" i="17" s="1"/>
  <c r="H273" i="17"/>
  <c r="H282" i="17" s="1"/>
  <c r="K123" i="17"/>
  <c r="H123" i="17"/>
  <c r="K117" i="17"/>
  <c r="K126" i="17" s="1"/>
  <c r="H117" i="17"/>
  <c r="H126" i="17" s="1"/>
  <c r="K97" i="17"/>
  <c r="H97" i="17"/>
  <c r="K91" i="17"/>
  <c r="K100" i="17" s="1"/>
  <c r="H91" i="17"/>
  <c r="H100" i="17" s="1"/>
  <c r="K71" i="17"/>
  <c r="H71" i="17"/>
  <c r="K65" i="17"/>
  <c r="K74" i="17" s="1"/>
  <c r="H65" i="17"/>
  <c r="H74" i="17" s="1"/>
  <c r="K45" i="17"/>
  <c r="H45" i="17"/>
  <c r="K39" i="17"/>
  <c r="K48" i="17" s="1"/>
  <c r="H39" i="17"/>
  <c r="H48" i="17" s="1"/>
  <c r="K80" i="17" l="1"/>
  <c r="K81" i="17" s="1"/>
  <c r="K75" i="17"/>
  <c r="H366" i="17"/>
  <c r="H367" i="17" s="1"/>
  <c r="H361" i="17"/>
  <c r="H262" i="17"/>
  <c r="H263" i="17" s="1"/>
  <c r="H257" i="17"/>
  <c r="K366" i="17"/>
  <c r="K367" i="17" s="1"/>
  <c r="K361" i="17"/>
  <c r="H106" i="17"/>
  <c r="H107" i="17" s="1"/>
  <c r="H101" i="17"/>
  <c r="H314" i="17"/>
  <c r="H315" i="17" s="1"/>
  <c r="H309" i="17"/>
  <c r="H392" i="17"/>
  <c r="H393" i="17" s="1"/>
  <c r="H387" i="17"/>
  <c r="H210" i="17"/>
  <c r="H211" i="17" s="1"/>
  <c r="H205" i="17"/>
  <c r="K210" i="17"/>
  <c r="K211" i="17" s="1"/>
  <c r="K205" i="17"/>
  <c r="H184" i="17"/>
  <c r="H185" i="17" s="1"/>
  <c r="H179" i="17"/>
  <c r="K288" i="17"/>
  <c r="K289" i="17" s="1"/>
  <c r="K283" i="17"/>
  <c r="K106" i="17"/>
  <c r="K107" i="17" s="1"/>
  <c r="K101" i="17"/>
  <c r="H288" i="17"/>
  <c r="H289" i="17" s="1"/>
  <c r="H283" i="17"/>
  <c r="K184" i="17"/>
  <c r="K185" i="17" s="1"/>
  <c r="K179" i="17"/>
  <c r="K392" i="17"/>
  <c r="K393" i="17" s="1"/>
  <c r="K387" i="17"/>
  <c r="H132" i="17"/>
  <c r="H133" i="17" s="1"/>
  <c r="H127" i="17"/>
  <c r="H340" i="17"/>
  <c r="H341" i="17" s="1"/>
  <c r="H335" i="17"/>
  <c r="H158" i="17"/>
  <c r="H159" i="17" s="1"/>
  <c r="H153" i="17"/>
  <c r="H236" i="17"/>
  <c r="H237" i="17" s="1"/>
  <c r="H231" i="17"/>
  <c r="H80" i="17"/>
  <c r="H81" i="17" s="1"/>
  <c r="H75" i="17"/>
  <c r="K262" i="17"/>
  <c r="K263" i="17" s="1"/>
  <c r="K257" i="17"/>
  <c r="K314" i="17"/>
  <c r="K315" i="17" s="1"/>
  <c r="K309" i="17"/>
  <c r="K132" i="17"/>
  <c r="K133" i="17" s="1"/>
  <c r="K127" i="17"/>
  <c r="K340" i="17"/>
  <c r="K341" i="17" s="1"/>
  <c r="K335" i="17"/>
  <c r="K158" i="17"/>
  <c r="K159" i="17" s="1"/>
  <c r="K153" i="17"/>
  <c r="K236" i="17"/>
  <c r="K237" i="17" s="1"/>
  <c r="K231" i="17"/>
  <c r="H54" i="17"/>
  <c r="H55" i="17" s="1"/>
  <c r="H49" i="17"/>
  <c r="K54" i="17"/>
  <c r="K55" i="17" s="1"/>
  <c r="K49" i="17"/>
  <c r="K109" i="2" l="1"/>
  <c r="H109" i="2"/>
  <c r="K76" i="2" l="1"/>
  <c r="H76" i="2"/>
  <c r="C584" i="2" l="1"/>
  <c r="I64" i="2"/>
  <c r="J64" i="2"/>
  <c r="K77" i="2"/>
  <c r="H77" i="2"/>
  <c r="K80" i="2" l="1"/>
  <c r="H584" i="2" s="1"/>
  <c r="H80" i="2"/>
  <c r="E584" i="2" s="1"/>
  <c r="M33" i="18"/>
  <c r="K34" i="18" s="1"/>
  <c r="M30" i="18"/>
  <c r="I30" i="18"/>
  <c r="E30" i="18"/>
  <c r="E27" i="18"/>
  <c r="M25" i="18"/>
  <c r="K26" i="18" s="1"/>
  <c r="M20" i="18"/>
  <c r="I20" i="18"/>
  <c r="E20" i="18"/>
  <c r="F32" i="18" l="1"/>
  <c r="K21" i="18"/>
  <c r="K32" i="18"/>
  <c r="F21" i="18"/>
  <c r="F29" i="18"/>
  <c r="F27" i="18"/>
  <c r="F33" i="18"/>
  <c r="P33" i="18"/>
  <c r="P27" i="18"/>
  <c r="K19" i="17" l="1"/>
  <c r="K23" i="17" s="1"/>
  <c r="H19" i="17"/>
  <c r="H23" i="17" s="1"/>
  <c r="K13" i="17"/>
  <c r="K22" i="17" s="1"/>
  <c r="H13" i="17"/>
  <c r="H22" i="17" s="1"/>
  <c r="K28" i="17" l="1"/>
  <c r="K29" i="17" s="1"/>
  <c r="H28" i="17"/>
  <c r="H29" i="17" s="1"/>
  <c r="H232" i="17" l="1"/>
  <c r="H206" i="17"/>
  <c r="H284" i="17"/>
  <c r="K258" i="17"/>
  <c r="H180" i="17"/>
  <c r="H154" i="17"/>
  <c r="K284" i="17"/>
  <c r="H128" i="17"/>
  <c r="K310" i="17"/>
  <c r="K206" i="17"/>
  <c r="K154" i="17"/>
  <c r="K336" i="17"/>
  <c r="H24" i="17"/>
  <c r="H258" i="17"/>
  <c r="K388" i="17"/>
  <c r="H76" i="17"/>
  <c r="H362" i="17"/>
  <c r="K232" i="17"/>
  <c r="H310" i="17"/>
  <c r="K180" i="17"/>
  <c r="K362" i="17"/>
  <c r="K128" i="17"/>
  <c r="H388" i="17"/>
  <c r="H336" i="17"/>
  <c r="H102" i="17"/>
  <c r="K102" i="17"/>
  <c r="K24" i="17"/>
  <c r="K76" i="17"/>
  <c r="H50" i="17"/>
  <c r="K50" i="17"/>
  <c r="N4" i="4"/>
  <c r="N5" i="4"/>
  <c r="N6" i="4"/>
  <c r="N7" i="4"/>
  <c r="N8" i="4"/>
  <c r="N9" i="4"/>
  <c r="N10" i="4"/>
  <c r="N11" i="4"/>
  <c r="N12" i="4"/>
  <c r="N13" i="4"/>
  <c r="N14" i="4"/>
  <c r="N15" i="4"/>
  <c r="N16" i="4"/>
  <c r="N17" i="4"/>
  <c r="N18" i="4"/>
  <c r="N19" i="4"/>
  <c r="N20" i="4"/>
  <c r="N21" i="4"/>
  <c r="N22" i="4"/>
  <c r="N23" i="4"/>
  <c r="N24" i="4"/>
  <c r="N25" i="4"/>
  <c r="N26" i="4"/>
  <c r="N27" i="4"/>
  <c r="N28" i="4"/>
  <c r="N29" i="4"/>
  <c r="N30" i="4"/>
  <c r="N31" i="4"/>
  <c r="N32" i="4"/>
  <c r="N33" i="4"/>
  <c r="N34" i="4"/>
  <c r="N35" i="4"/>
  <c r="N36" i="4"/>
  <c r="N37" i="4"/>
  <c r="N38" i="4"/>
  <c r="N39" i="4"/>
  <c r="N40" i="4"/>
  <c r="N41" i="4"/>
  <c r="N42" i="4"/>
  <c r="N43" i="4"/>
  <c r="N44" i="4"/>
  <c r="N45" i="4"/>
  <c r="N46" i="4"/>
  <c r="N47" i="4"/>
  <c r="N48" i="4"/>
  <c r="N49" i="4"/>
  <c r="N50" i="4"/>
  <c r="N51" i="4"/>
  <c r="N52" i="4"/>
  <c r="N53" i="4"/>
  <c r="N54" i="4"/>
  <c r="N55" i="4"/>
  <c r="N56" i="4"/>
  <c r="N57" i="4"/>
  <c r="N58" i="4"/>
  <c r="N59" i="4"/>
  <c r="N60" i="4"/>
  <c r="N61" i="4"/>
  <c r="N62" i="4"/>
  <c r="N63" i="4"/>
  <c r="N64" i="4"/>
  <c r="N65" i="4"/>
  <c r="N66" i="4"/>
  <c r="N67" i="4"/>
  <c r="N68" i="4"/>
  <c r="N69" i="4"/>
  <c r="N3" i="4"/>
  <c r="M30" i="4"/>
  <c r="L9" i="4"/>
  <c r="L49" i="4"/>
  <c r="L67" i="4"/>
  <c r="M26" i="4"/>
  <c r="L8" i="4"/>
  <c r="M48" i="4"/>
  <c r="L56" i="4"/>
  <c r="L37" i="4"/>
  <c r="M4" i="4"/>
  <c r="M66" i="4"/>
  <c r="M11" i="4"/>
  <c r="L68" i="4"/>
  <c r="L23" i="4"/>
  <c r="M6" i="4"/>
  <c r="L4" i="4"/>
  <c r="L54" i="4"/>
  <c r="L22" i="4"/>
  <c r="L47" i="4"/>
  <c r="M18" i="4"/>
  <c r="L12" i="4"/>
  <c r="L33" i="4"/>
  <c r="L5" i="4"/>
  <c r="M63" i="4"/>
  <c r="L18" i="4"/>
  <c r="M28" i="4"/>
  <c r="L16" i="4"/>
  <c r="L64" i="4"/>
  <c r="M54" i="4"/>
  <c r="M49" i="4"/>
  <c r="L19" i="4"/>
  <c r="M67" i="4"/>
  <c r="L10" i="4"/>
  <c r="L57" i="4"/>
  <c r="L50" i="4"/>
  <c r="L17" i="4"/>
  <c r="L59" i="4"/>
  <c r="M60" i="4"/>
  <c r="L6" i="4"/>
  <c r="M32" i="4"/>
  <c r="M15" i="4"/>
  <c r="M53" i="4"/>
  <c r="L14" i="4"/>
  <c r="M36" i="4"/>
  <c r="L21" i="4"/>
  <c r="M5" i="4"/>
  <c r="L11" i="4"/>
  <c r="M14" i="4"/>
  <c r="M40" i="4"/>
  <c r="M42" i="4"/>
  <c r="M23" i="4"/>
  <c r="M25" i="4"/>
  <c r="M21" i="4"/>
  <c r="L26" i="4"/>
  <c r="M57" i="4"/>
  <c r="L43" i="4"/>
  <c r="L28" i="4"/>
  <c r="L41" i="4"/>
  <c r="L65" i="4"/>
  <c r="L38" i="4"/>
  <c r="M16" i="4"/>
  <c r="L31" i="4"/>
  <c r="M9" i="4"/>
  <c r="L53" i="4"/>
  <c r="M35" i="4"/>
  <c r="L60" i="4"/>
  <c r="M34" i="4"/>
  <c r="M68" i="4"/>
  <c r="L34" i="4"/>
  <c r="L62" i="4"/>
  <c r="M56" i="4"/>
  <c r="M50" i="4"/>
  <c r="L61" i="4"/>
  <c r="M55" i="4"/>
  <c r="L36" i="4"/>
  <c r="L35" i="4"/>
  <c r="L63" i="4"/>
  <c r="M17" i="4"/>
  <c r="L30" i="4"/>
  <c r="M52" i="4"/>
  <c r="L51" i="4"/>
  <c r="M46" i="4"/>
  <c r="M58" i="4"/>
  <c r="M41" i="4"/>
  <c r="M38" i="4"/>
  <c r="L48" i="4"/>
  <c r="L45" i="4"/>
  <c r="M13" i="4"/>
  <c r="M24" i="4"/>
  <c r="M47" i="4"/>
  <c r="M64" i="4"/>
  <c r="L58" i="4"/>
  <c r="L24" i="4"/>
  <c r="L7" i="4"/>
  <c r="L32" i="4"/>
  <c r="M27" i="4"/>
  <c r="M19" i="4"/>
  <c r="L42" i="4"/>
  <c r="M65" i="4"/>
  <c r="M12" i="4"/>
  <c r="L69" i="4"/>
  <c r="L40" i="4"/>
  <c r="M37" i="4"/>
  <c r="M51" i="4"/>
  <c r="M8" i="4"/>
  <c r="M20" i="4"/>
  <c r="M22" i="4"/>
  <c r="L20" i="4"/>
  <c r="M45" i="4"/>
  <c r="M33" i="4"/>
  <c r="M69" i="4"/>
  <c r="M44" i="4"/>
  <c r="M59" i="4"/>
  <c r="M43" i="4"/>
  <c r="L29" i="4"/>
  <c r="M7" i="4"/>
  <c r="L25" i="4"/>
  <c r="L27" i="4"/>
  <c r="L55" i="4"/>
  <c r="M62" i="4"/>
  <c r="L39" i="4"/>
  <c r="M61" i="4"/>
  <c r="M29" i="4"/>
  <c r="L15" i="4"/>
  <c r="L46" i="4"/>
  <c r="M39" i="4"/>
  <c r="L52" i="4"/>
  <c r="M10" i="4"/>
  <c r="M31" i="4"/>
  <c r="L13" i="4"/>
  <c r="L66" i="4"/>
  <c r="L44" i="4"/>
  <c r="O61" i="4" l="1"/>
  <c r="O69" i="4"/>
  <c r="O51" i="4"/>
  <c r="O45" i="4"/>
  <c r="O42" i="4"/>
  <c r="O33" i="4"/>
  <c r="O24" i="4"/>
  <c r="O21" i="4"/>
  <c r="O18" i="4"/>
  <c r="O15" i="4"/>
  <c r="O12" i="4"/>
  <c r="O9" i="4"/>
  <c r="O6" i="4"/>
  <c r="O39" i="4"/>
  <c r="O60" i="4"/>
  <c r="O30" i="4"/>
  <c r="O63" i="4"/>
  <c r="O36" i="4"/>
  <c r="O65" i="4"/>
  <c r="O62" i="4"/>
  <c r="O56" i="4"/>
  <c r="O53" i="4"/>
  <c r="O50" i="4"/>
  <c r="O47" i="4"/>
  <c r="O44" i="4"/>
  <c r="O41" i="4"/>
  <c r="O38" i="4"/>
  <c r="O32" i="4"/>
  <c r="O29" i="4"/>
  <c r="O26" i="4"/>
  <c r="O23" i="4"/>
  <c r="O20" i="4"/>
  <c r="O17" i="4"/>
  <c r="O14" i="4"/>
  <c r="O11" i="4"/>
  <c r="O8" i="4"/>
  <c r="O5" i="4"/>
  <c r="O57" i="4"/>
  <c r="O27" i="4"/>
  <c r="O68" i="4"/>
  <c r="O59" i="4"/>
  <c r="O35" i="4"/>
  <c r="O54" i="4"/>
  <c r="O66" i="4"/>
  <c r="O48" i="4"/>
  <c r="O67" i="4"/>
  <c r="O64" i="4"/>
  <c r="O58" i="4"/>
  <c r="O55" i="4"/>
  <c r="O52" i="4"/>
  <c r="O49" i="4"/>
  <c r="O46" i="4"/>
  <c r="O43" i="4"/>
  <c r="O40" i="4"/>
  <c r="O37" i="4"/>
  <c r="O34" i="4"/>
  <c r="O31" i="4"/>
  <c r="O28" i="4"/>
  <c r="O25" i="4"/>
  <c r="O22" i="4"/>
  <c r="O19" i="4"/>
  <c r="O16" i="4"/>
  <c r="O13" i="4"/>
  <c r="O10" i="4"/>
  <c r="O7" i="4"/>
  <c r="O4" i="4"/>
  <c r="J56" i="12"/>
  <c r="J4" i="12"/>
  <c r="L3" i="4"/>
  <c r="M3" i="4"/>
  <c r="O3" i="4" l="1"/>
  <c r="O70" i="4" s="1"/>
  <c r="M8" i="15"/>
  <c r="I8" i="15"/>
  <c r="K8" i="15"/>
  <c r="M6" i="15"/>
  <c r="M7" i="15"/>
  <c r="M5" i="15"/>
  <c r="K6" i="15"/>
  <c r="K7" i="15"/>
  <c r="K5" i="15"/>
  <c r="I5" i="15"/>
  <c r="I6" i="15"/>
  <c r="I7" i="15"/>
  <c r="W465" i="13" l="1"/>
  <c r="T465" i="13"/>
  <c r="Q465" i="13"/>
  <c r="N465" i="13"/>
  <c r="K465" i="13"/>
  <c r="H465" i="13"/>
  <c r="W439" i="13"/>
  <c r="T439" i="13"/>
  <c r="Q439" i="13"/>
  <c r="N439" i="13"/>
  <c r="K439" i="13"/>
  <c r="H439" i="13"/>
  <c r="W413" i="13"/>
  <c r="T413" i="13"/>
  <c r="Q413" i="13"/>
  <c r="N413" i="13"/>
  <c r="K413" i="13"/>
  <c r="H413" i="13"/>
  <c r="E472" i="13" l="1"/>
  <c r="F472" i="13" s="1"/>
  <c r="W467" i="13"/>
  <c r="W471" i="13" s="1"/>
  <c r="T467" i="13"/>
  <c r="T471" i="13" s="1"/>
  <c r="Q467" i="13"/>
  <c r="Q471" i="13" s="1"/>
  <c r="N467" i="13"/>
  <c r="N471" i="13" s="1"/>
  <c r="K467" i="13"/>
  <c r="K471" i="13" s="1"/>
  <c r="H467" i="13"/>
  <c r="H471" i="13" s="1"/>
  <c r="E463" i="13"/>
  <c r="F463" i="13" s="1"/>
  <c r="E462" i="13"/>
  <c r="F462" i="13" s="1"/>
  <c r="E461" i="13"/>
  <c r="F461" i="13" s="1"/>
  <c r="E460" i="13"/>
  <c r="F460" i="13" s="1"/>
  <c r="E459" i="13"/>
  <c r="F459" i="13" s="1"/>
  <c r="E446" i="13"/>
  <c r="F446" i="13" s="1"/>
  <c r="W441" i="13"/>
  <c r="W445" i="13" s="1"/>
  <c r="T441" i="13"/>
  <c r="T445" i="13" s="1"/>
  <c r="Q441" i="13"/>
  <c r="Q445" i="13" s="1"/>
  <c r="N441" i="13"/>
  <c r="N445" i="13" s="1"/>
  <c r="K441" i="13"/>
  <c r="K445" i="13" s="1"/>
  <c r="H441" i="13"/>
  <c r="H445" i="13" s="1"/>
  <c r="E437" i="13"/>
  <c r="F437" i="13" s="1"/>
  <c r="E436" i="13"/>
  <c r="F436" i="13" s="1"/>
  <c r="F435" i="13"/>
  <c r="E435" i="13"/>
  <c r="E434" i="13"/>
  <c r="F434" i="13" s="1"/>
  <c r="E433" i="13"/>
  <c r="F433" i="13" s="1"/>
  <c r="E408" i="13"/>
  <c r="F408" i="13" s="1"/>
  <c r="E409" i="13"/>
  <c r="F409" i="13" s="1"/>
  <c r="E407" i="13"/>
  <c r="F407" i="13" s="1"/>
  <c r="E392" i="13"/>
  <c r="F392" i="13" s="1"/>
  <c r="W385" i="13"/>
  <c r="W387" i="13" s="1"/>
  <c r="W391" i="13" s="1"/>
  <c r="T385" i="13"/>
  <c r="T387" i="13" s="1"/>
  <c r="T391" i="13" s="1"/>
  <c r="Q385" i="13"/>
  <c r="Q387" i="13" s="1"/>
  <c r="Q391" i="13" s="1"/>
  <c r="N385" i="13"/>
  <c r="N387" i="13" s="1"/>
  <c r="N391" i="13" s="1"/>
  <c r="K385" i="13"/>
  <c r="K387" i="13" s="1"/>
  <c r="K391" i="13" s="1"/>
  <c r="H385" i="13"/>
  <c r="H387" i="13" s="1"/>
  <c r="H391" i="13" s="1"/>
  <c r="E383" i="13"/>
  <c r="F383" i="13" s="1"/>
  <c r="E382" i="13"/>
  <c r="F382" i="13" s="1"/>
  <c r="E381" i="13"/>
  <c r="F381" i="13" s="1"/>
  <c r="E380" i="13"/>
  <c r="F380" i="13" s="1"/>
  <c r="E379" i="13"/>
  <c r="F379" i="13" s="1"/>
  <c r="E367" i="13"/>
  <c r="F367" i="13" s="1"/>
  <c r="W360" i="13"/>
  <c r="W362" i="13" s="1"/>
  <c r="W366" i="13" s="1"/>
  <c r="T360" i="13"/>
  <c r="T362" i="13" s="1"/>
  <c r="T366" i="13" s="1"/>
  <c r="Q360" i="13"/>
  <c r="Q362" i="13" s="1"/>
  <c r="Q366" i="13" s="1"/>
  <c r="N360" i="13"/>
  <c r="N362" i="13" s="1"/>
  <c r="N366" i="13" s="1"/>
  <c r="K360" i="13"/>
  <c r="K362" i="13" s="1"/>
  <c r="K366" i="13" s="1"/>
  <c r="H360" i="13"/>
  <c r="H362" i="13" s="1"/>
  <c r="H366" i="13" s="1"/>
  <c r="F358" i="13"/>
  <c r="E358" i="13"/>
  <c r="E357" i="13"/>
  <c r="F357" i="13" s="1"/>
  <c r="E356" i="13"/>
  <c r="F356" i="13" s="1"/>
  <c r="E355" i="13"/>
  <c r="F355" i="13" s="1"/>
  <c r="E354" i="13"/>
  <c r="F354" i="13" s="1"/>
  <c r="E342" i="13"/>
  <c r="F342" i="13" s="1"/>
  <c r="W335" i="13"/>
  <c r="W337" i="13" s="1"/>
  <c r="W341" i="13" s="1"/>
  <c r="T335" i="13"/>
  <c r="T337" i="13" s="1"/>
  <c r="T341" i="13" s="1"/>
  <c r="Q335" i="13"/>
  <c r="Q337" i="13" s="1"/>
  <c r="Q341" i="13" s="1"/>
  <c r="N335" i="13"/>
  <c r="N337" i="13" s="1"/>
  <c r="N341" i="13" s="1"/>
  <c r="K335" i="13"/>
  <c r="K337" i="13" s="1"/>
  <c r="K341" i="13" s="1"/>
  <c r="H335" i="13"/>
  <c r="H337" i="13" s="1"/>
  <c r="H341" i="13" s="1"/>
  <c r="E333" i="13"/>
  <c r="F333" i="13" s="1"/>
  <c r="E332" i="13"/>
  <c r="F332" i="13" s="1"/>
  <c r="E331" i="13"/>
  <c r="F331" i="13" s="1"/>
  <c r="E330" i="13"/>
  <c r="F330" i="13" s="1"/>
  <c r="E329" i="13"/>
  <c r="F329" i="13" s="1"/>
  <c r="E317" i="13"/>
  <c r="F317" i="13" s="1"/>
  <c r="W310" i="13"/>
  <c r="W312" i="13" s="1"/>
  <c r="W316" i="13" s="1"/>
  <c r="T310" i="13"/>
  <c r="T312" i="13" s="1"/>
  <c r="T316" i="13" s="1"/>
  <c r="Q310" i="13"/>
  <c r="Q312" i="13" s="1"/>
  <c r="Q316" i="13" s="1"/>
  <c r="N310" i="13"/>
  <c r="N312" i="13" s="1"/>
  <c r="N316" i="13" s="1"/>
  <c r="K310" i="13"/>
  <c r="K312" i="13" s="1"/>
  <c r="K316" i="13" s="1"/>
  <c r="H310" i="13"/>
  <c r="H312" i="13" s="1"/>
  <c r="H316" i="13" s="1"/>
  <c r="E308" i="13"/>
  <c r="F308" i="13" s="1"/>
  <c r="E307" i="13"/>
  <c r="F307" i="13" s="1"/>
  <c r="E306" i="13"/>
  <c r="F306" i="13" s="1"/>
  <c r="E305" i="13"/>
  <c r="F305" i="13" s="1"/>
  <c r="E304" i="13"/>
  <c r="F304" i="13" s="1"/>
  <c r="E292" i="13"/>
  <c r="F292" i="13" s="1"/>
  <c r="W285" i="13"/>
  <c r="W287" i="13" s="1"/>
  <c r="W291" i="13" s="1"/>
  <c r="T285" i="13"/>
  <c r="T287" i="13" s="1"/>
  <c r="T291" i="13" s="1"/>
  <c r="Q285" i="13"/>
  <c r="Q287" i="13" s="1"/>
  <c r="Q291" i="13" s="1"/>
  <c r="N285" i="13"/>
  <c r="N287" i="13" s="1"/>
  <c r="N291" i="13" s="1"/>
  <c r="K285" i="13"/>
  <c r="K287" i="13" s="1"/>
  <c r="K291" i="13" s="1"/>
  <c r="H285" i="13"/>
  <c r="H287" i="13" s="1"/>
  <c r="H291" i="13" s="1"/>
  <c r="E283" i="13"/>
  <c r="F283" i="13" s="1"/>
  <c r="E282" i="13"/>
  <c r="F282" i="13" s="1"/>
  <c r="E281" i="13"/>
  <c r="F281" i="13" s="1"/>
  <c r="E280" i="13"/>
  <c r="F280" i="13" s="1"/>
  <c r="E279" i="13"/>
  <c r="F279" i="13" s="1"/>
  <c r="E256" i="13"/>
  <c r="F256" i="13" s="1"/>
  <c r="E255" i="13"/>
  <c r="F255" i="13" s="1"/>
  <c r="E254" i="13"/>
  <c r="F254" i="13" s="1"/>
  <c r="F240" i="13"/>
  <c r="E240" i="13"/>
  <c r="W232" i="13"/>
  <c r="W234" i="13" s="1"/>
  <c r="W239" i="13" s="1"/>
  <c r="T232" i="13"/>
  <c r="T234" i="13" s="1"/>
  <c r="T239" i="13" s="1"/>
  <c r="Q232" i="13"/>
  <c r="Q234" i="13" s="1"/>
  <c r="Q239" i="13" s="1"/>
  <c r="N232" i="13"/>
  <c r="N234" i="13" s="1"/>
  <c r="N239" i="13" s="1"/>
  <c r="K232" i="13"/>
  <c r="K234" i="13" s="1"/>
  <c r="K239" i="13" s="1"/>
  <c r="H232" i="13"/>
  <c r="H234" i="13" s="1"/>
  <c r="H239" i="13" s="1"/>
  <c r="F230" i="13"/>
  <c r="E230" i="13"/>
  <c r="E229" i="13"/>
  <c r="F229" i="13" s="1"/>
  <c r="E228" i="13"/>
  <c r="F228" i="13" s="1"/>
  <c r="F227" i="13"/>
  <c r="E227" i="13"/>
  <c r="F226" i="13"/>
  <c r="E226" i="13"/>
  <c r="E214" i="13"/>
  <c r="F214" i="13" s="1"/>
  <c r="W206" i="13"/>
  <c r="W208" i="13" s="1"/>
  <c r="W213" i="13" s="1"/>
  <c r="T206" i="13"/>
  <c r="T208" i="13" s="1"/>
  <c r="T213" i="13" s="1"/>
  <c r="Q206" i="13"/>
  <c r="Q208" i="13" s="1"/>
  <c r="Q213" i="13" s="1"/>
  <c r="N206" i="13"/>
  <c r="N208" i="13" s="1"/>
  <c r="N213" i="13" s="1"/>
  <c r="K206" i="13"/>
  <c r="K208" i="13" s="1"/>
  <c r="K213" i="13" s="1"/>
  <c r="H206" i="13"/>
  <c r="H208" i="13" s="1"/>
  <c r="H213" i="13" s="1"/>
  <c r="E204" i="13"/>
  <c r="F204" i="13" s="1"/>
  <c r="E203" i="13"/>
  <c r="F203" i="13" s="1"/>
  <c r="E202" i="13"/>
  <c r="F202" i="13" s="1"/>
  <c r="E201" i="13"/>
  <c r="F201" i="13" s="1"/>
  <c r="E200" i="13"/>
  <c r="F200" i="13" s="1"/>
  <c r="F188" i="13"/>
  <c r="E188" i="13"/>
  <c r="W180" i="13"/>
  <c r="W182" i="13" s="1"/>
  <c r="W187" i="13" s="1"/>
  <c r="T180" i="13"/>
  <c r="T182" i="13" s="1"/>
  <c r="T187" i="13" s="1"/>
  <c r="Q180" i="13"/>
  <c r="Q182" i="13" s="1"/>
  <c r="Q187" i="13" s="1"/>
  <c r="N180" i="13"/>
  <c r="N182" i="13" s="1"/>
  <c r="N187" i="13" s="1"/>
  <c r="K180" i="13"/>
  <c r="K182" i="13" s="1"/>
  <c r="K187" i="13" s="1"/>
  <c r="H180" i="13"/>
  <c r="H182" i="13" s="1"/>
  <c r="H187" i="13" s="1"/>
  <c r="F178" i="13"/>
  <c r="E178" i="13"/>
  <c r="F177" i="13"/>
  <c r="E177" i="13"/>
  <c r="F176" i="13"/>
  <c r="E176" i="13"/>
  <c r="F175" i="13"/>
  <c r="E175" i="13"/>
  <c r="F174" i="13"/>
  <c r="E174" i="13"/>
  <c r="F162" i="13"/>
  <c r="E162" i="13"/>
  <c r="W154" i="13"/>
  <c r="W156" i="13" s="1"/>
  <c r="W161" i="13" s="1"/>
  <c r="T154" i="13"/>
  <c r="T156" i="13" s="1"/>
  <c r="T161" i="13" s="1"/>
  <c r="Q154" i="13"/>
  <c r="Q156" i="13" s="1"/>
  <c r="Q161" i="13" s="1"/>
  <c r="N154" i="13"/>
  <c r="N156" i="13" s="1"/>
  <c r="N161" i="13" s="1"/>
  <c r="K154" i="13"/>
  <c r="K156" i="13" s="1"/>
  <c r="K161" i="13" s="1"/>
  <c r="H154" i="13"/>
  <c r="H156" i="13" s="1"/>
  <c r="H161" i="13" s="1"/>
  <c r="E152" i="13"/>
  <c r="F152" i="13" s="1"/>
  <c r="F151" i="13"/>
  <c r="E151" i="13"/>
  <c r="F150" i="13"/>
  <c r="E150" i="13"/>
  <c r="F149" i="13"/>
  <c r="E149" i="13"/>
  <c r="F148" i="13"/>
  <c r="E148" i="13"/>
  <c r="F136" i="13"/>
  <c r="E136" i="13"/>
  <c r="W128" i="13"/>
  <c r="W130" i="13" s="1"/>
  <c r="W135" i="13" s="1"/>
  <c r="T128" i="13"/>
  <c r="T130" i="13" s="1"/>
  <c r="T135" i="13" s="1"/>
  <c r="Q128" i="13"/>
  <c r="Q130" i="13" s="1"/>
  <c r="Q135" i="13" s="1"/>
  <c r="N128" i="13"/>
  <c r="N130" i="13" s="1"/>
  <c r="N135" i="13" s="1"/>
  <c r="K128" i="13"/>
  <c r="K130" i="13" s="1"/>
  <c r="K135" i="13" s="1"/>
  <c r="H128" i="13"/>
  <c r="H130" i="13" s="1"/>
  <c r="H135" i="13" s="1"/>
  <c r="E126" i="13"/>
  <c r="F126" i="13" s="1"/>
  <c r="E125" i="13"/>
  <c r="F125" i="13" s="1"/>
  <c r="E124" i="13"/>
  <c r="F124" i="13" s="1"/>
  <c r="E123" i="13"/>
  <c r="F123" i="13" s="1"/>
  <c r="E122" i="13"/>
  <c r="F122" i="13" s="1"/>
  <c r="E98" i="13"/>
  <c r="F98" i="13" s="1"/>
  <c r="E97" i="13"/>
  <c r="F97" i="13" s="1"/>
  <c r="E96" i="13"/>
  <c r="F96" i="13" s="1"/>
  <c r="F75" i="13"/>
  <c r="E82" i="13"/>
  <c r="F82" i="13" s="1"/>
  <c r="W81" i="13"/>
  <c r="T81" i="13"/>
  <c r="Q81" i="13"/>
  <c r="N81" i="13"/>
  <c r="K81" i="13"/>
  <c r="H81" i="13"/>
  <c r="E79" i="13"/>
  <c r="F79" i="13" s="1"/>
  <c r="E78" i="13"/>
  <c r="F78" i="13" s="1"/>
  <c r="E77" i="13"/>
  <c r="F77" i="13" s="1"/>
  <c r="E76" i="13"/>
  <c r="F76" i="13" s="1"/>
  <c r="E75" i="13"/>
  <c r="F61" i="13"/>
  <c r="E61" i="13"/>
  <c r="W60" i="13"/>
  <c r="T60" i="13"/>
  <c r="Q60" i="13"/>
  <c r="N60" i="13"/>
  <c r="K60" i="13"/>
  <c r="H60" i="13"/>
  <c r="F58" i="13"/>
  <c r="E58" i="13"/>
  <c r="F57" i="13"/>
  <c r="E57" i="13"/>
  <c r="F56" i="13"/>
  <c r="E56" i="13"/>
  <c r="F55" i="13"/>
  <c r="E55" i="13"/>
  <c r="E54" i="13"/>
  <c r="F54" i="13" s="1"/>
  <c r="F42" i="13"/>
  <c r="E42" i="13"/>
  <c r="W41" i="13"/>
  <c r="T41" i="13"/>
  <c r="Q41" i="13"/>
  <c r="N41" i="13"/>
  <c r="K41" i="13"/>
  <c r="H41" i="13"/>
  <c r="E39" i="13"/>
  <c r="F39" i="13" s="1"/>
  <c r="F38" i="13"/>
  <c r="E38" i="13"/>
  <c r="F37" i="13"/>
  <c r="E37" i="13"/>
  <c r="F36" i="13"/>
  <c r="E36" i="13"/>
  <c r="E35" i="13"/>
  <c r="F35" i="13" s="1"/>
  <c r="E17" i="13"/>
  <c r="F17" i="13" s="1"/>
  <c r="E18" i="13"/>
  <c r="F18" i="13" s="1"/>
  <c r="E16" i="13"/>
  <c r="F16" i="13" s="1"/>
  <c r="T415" i="13"/>
  <c r="T419" i="13" s="1"/>
  <c r="Q415" i="13"/>
  <c r="Q419" i="13" s="1"/>
  <c r="T260" i="13"/>
  <c r="T262" i="13" s="1"/>
  <c r="T266" i="13" s="1"/>
  <c r="Q260" i="13"/>
  <c r="Q262" i="13" s="1"/>
  <c r="Q266" i="13" s="1"/>
  <c r="T102" i="13"/>
  <c r="T104" i="13" s="1"/>
  <c r="T109" i="13" s="1"/>
  <c r="Q102" i="13"/>
  <c r="Q104" i="13" s="1"/>
  <c r="Q109" i="13" s="1"/>
  <c r="T22" i="13"/>
  <c r="Q22" i="13"/>
  <c r="H136" i="13" l="1"/>
  <c r="H240" i="13"/>
  <c r="H446" i="13"/>
  <c r="Q446" i="13"/>
  <c r="Q420" i="13"/>
  <c r="T446" i="13"/>
  <c r="T420" i="13"/>
  <c r="W472" i="13"/>
  <c r="K472" i="13"/>
  <c r="N472" i="13"/>
  <c r="Q472" i="13"/>
  <c r="T472" i="13"/>
  <c r="H472" i="13"/>
  <c r="N446" i="13"/>
  <c r="W446" i="13"/>
  <c r="K446" i="13"/>
  <c r="H292" i="13"/>
  <c r="H367" i="13"/>
  <c r="K367" i="13"/>
  <c r="N367" i="13"/>
  <c r="Q367" i="13"/>
  <c r="T392" i="13"/>
  <c r="T367" i="13"/>
  <c r="T342" i="13"/>
  <c r="T292" i="13"/>
  <c r="N392" i="13"/>
  <c r="W392" i="13"/>
  <c r="H392" i="13"/>
  <c r="Q392" i="13"/>
  <c r="K392" i="13"/>
  <c r="W367" i="13"/>
  <c r="N342" i="13"/>
  <c r="Q342" i="13"/>
  <c r="W342" i="13"/>
  <c r="H342" i="13"/>
  <c r="K342" i="13"/>
  <c r="K317" i="13"/>
  <c r="N317" i="13"/>
  <c r="Q317" i="13"/>
  <c r="W317" i="13"/>
  <c r="T317" i="13"/>
  <c r="H317" i="13"/>
  <c r="Q292" i="13"/>
  <c r="W292" i="13"/>
  <c r="N292" i="13"/>
  <c r="K292" i="13"/>
  <c r="T267" i="13"/>
  <c r="Q267" i="13"/>
  <c r="Q162" i="13"/>
  <c r="H162" i="13"/>
  <c r="N162" i="13"/>
  <c r="K188" i="13"/>
  <c r="K214" i="13"/>
  <c r="N214" i="13"/>
  <c r="T162" i="13"/>
  <c r="Q214" i="13"/>
  <c r="T214" i="13"/>
  <c r="K240" i="13"/>
  <c r="Q240" i="13"/>
  <c r="Q136" i="13"/>
  <c r="K136" i="13"/>
  <c r="N136" i="13"/>
  <c r="T136" i="13"/>
  <c r="W136" i="13"/>
  <c r="W162" i="13"/>
  <c r="K162" i="13"/>
  <c r="H188" i="13"/>
  <c r="N188" i="13"/>
  <c r="Q188" i="13"/>
  <c r="T188" i="13"/>
  <c r="W188" i="13"/>
  <c r="W214" i="13"/>
  <c r="H214" i="13"/>
  <c r="N240" i="13"/>
  <c r="T240" i="13"/>
  <c r="W240" i="13"/>
  <c r="N61" i="13"/>
  <c r="Q61" i="13"/>
  <c r="T61" i="13"/>
  <c r="H42" i="13"/>
  <c r="N42" i="13"/>
  <c r="Q42" i="13"/>
  <c r="T42" i="13"/>
  <c r="K61" i="13"/>
  <c r="Q110" i="13"/>
  <c r="T110" i="13"/>
  <c r="K82" i="13"/>
  <c r="H82" i="13"/>
  <c r="W42" i="13"/>
  <c r="W61" i="13"/>
  <c r="N82" i="13"/>
  <c r="Q82" i="13"/>
  <c r="T82" i="13"/>
  <c r="W82" i="13"/>
  <c r="H61" i="13"/>
  <c r="K42" i="13"/>
  <c r="T23" i="13"/>
  <c r="Q23" i="13"/>
  <c r="N415" i="13"/>
  <c r="N419" i="13" s="1"/>
  <c r="W415" i="13"/>
  <c r="W419" i="13" s="1"/>
  <c r="W420" i="13" s="1"/>
  <c r="K415" i="13"/>
  <c r="K419" i="13" s="1"/>
  <c r="H415" i="13"/>
  <c r="H419" i="13" s="1"/>
  <c r="E420" i="13"/>
  <c r="F420" i="13" s="1"/>
  <c r="E411" i="13"/>
  <c r="F411" i="13" s="1"/>
  <c r="E410" i="13"/>
  <c r="F410" i="13" s="1"/>
  <c r="E267" i="13"/>
  <c r="F267" i="13" s="1"/>
  <c r="W260" i="13"/>
  <c r="W262" i="13" s="1"/>
  <c r="W266" i="13" s="1"/>
  <c r="W267" i="13" s="1"/>
  <c r="N260" i="13"/>
  <c r="N262" i="13" s="1"/>
  <c r="N266" i="13" s="1"/>
  <c r="K260" i="13"/>
  <c r="K262" i="13" s="1"/>
  <c r="K266" i="13" s="1"/>
  <c r="H260" i="13"/>
  <c r="H262" i="13" s="1"/>
  <c r="H266" i="13" s="1"/>
  <c r="E258" i="13"/>
  <c r="F258" i="13" s="1"/>
  <c r="E257" i="13"/>
  <c r="F257" i="13" s="1"/>
  <c r="E99" i="13"/>
  <c r="F99" i="13" s="1"/>
  <c r="E100" i="13"/>
  <c r="F100" i="13" s="1"/>
  <c r="E110" i="13"/>
  <c r="F110" i="13" s="1"/>
  <c r="W22" i="13"/>
  <c r="W23" i="13" s="1"/>
  <c r="N22" i="13"/>
  <c r="K22" i="13"/>
  <c r="E19" i="13"/>
  <c r="F19" i="13" s="1"/>
  <c r="E20" i="13"/>
  <c r="F20" i="13" s="1"/>
  <c r="E23" i="13"/>
  <c r="F23" i="13" s="1"/>
  <c r="H420" i="13" l="1"/>
  <c r="K420" i="13"/>
  <c r="N420" i="13"/>
  <c r="H267" i="13"/>
  <c r="N267" i="13"/>
  <c r="K267" i="13"/>
  <c r="K23" i="13"/>
  <c r="N23" i="13"/>
  <c r="W102" i="13" l="1"/>
  <c r="W104" i="13" s="1"/>
  <c r="N102" i="13"/>
  <c r="N104" i="13" s="1"/>
  <c r="K102" i="13"/>
  <c r="K104" i="13" s="1"/>
  <c r="H102" i="13"/>
  <c r="H104" i="13" s="1"/>
  <c r="N109" i="13" l="1"/>
  <c r="N110" i="13" s="1"/>
  <c r="W109" i="13"/>
  <c r="W110" i="13" s="1"/>
  <c r="K109" i="13"/>
  <c r="K110" i="13" s="1"/>
  <c r="H109" i="13"/>
  <c r="H110" i="13" s="1"/>
  <c r="H22" i="13" l="1"/>
  <c r="H23" i="13" s="1"/>
  <c r="C610" i="2" l="1"/>
  <c r="C609" i="2"/>
  <c r="C606" i="2"/>
  <c r="C605" i="2"/>
  <c r="C602" i="2"/>
  <c r="C601" i="2"/>
  <c r="C598" i="2"/>
  <c r="C597" i="2"/>
  <c r="C594" i="2"/>
  <c r="C593" i="2"/>
  <c r="C590" i="2"/>
  <c r="C589" i="2"/>
  <c r="G33" i="4"/>
  <c r="G29" i="4"/>
  <c r="G25" i="4"/>
  <c r="G21" i="4"/>
  <c r="G17" i="4"/>
  <c r="H610" i="2"/>
  <c r="E610" i="2"/>
  <c r="H606" i="2"/>
  <c r="E606" i="2"/>
  <c r="H602" i="2"/>
  <c r="E602" i="2"/>
  <c r="H598" i="2"/>
  <c r="E598" i="2"/>
  <c r="H594" i="2"/>
  <c r="E594" i="2"/>
  <c r="H590" i="2" l="1"/>
  <c r="E590" i="2"/>
  <c r="L610" i="2"/>
  <c r="L606" i="2"/>
  <c r="L602" i="2"/>
  <c r="L598" i="2"/>
  <c r="L594" i="2"/>
  <c r="L590" i="2"/>
  <c r="H644" i="2" l="1"/>
  <c r="E644" i="2"/>
  <c r="H641" i="2"/>
  <c r="E641" i="2"/>
  <c r="H638" i="2"/>
  <c r="E638" i="2"/>
  <c r="H634" i="2"/>
  <c r="E634" i="2"/>
  <c r="H630" i="2"/>
  <c r="E630" i="2"/>
  <c r="H626" i="2"/>
  <c r="E626" i="2"/>
  <c r="H622" i="2"/>
  <c r="E622" i="2"/>
  <c r="H618" i="2"/>
  <c r="E618" i="2"/>
  <c r="H614" i="2"/>
  <c r="E614" i="2"/>
  <c r="G10" i="4" l="1"/>
  <c r="G9" i="4"/>
  <c r="G8" i="4"/>
  <c r="G6" i="4"/>
  <c r="G5" i="4"/>
  <c r="G4" i="4"/>
  <c r="G3" i="4"/>
  <c r="B12" i="7" l="1"/>
  <c r="G62" i="4"/>
  <c r="G63" i="4"/>
  <c r="G64" i="4"/>
  <c r="G65" i="4"/>
  <c r="G66" i="4"/>
  <c r="G67" i="4"/>
  <c r="G68" i="4"/>
  <c r="G69" i="4"/>
  <c r="G61" i="4"/>
  <c r="G14" i="4"/>
  <c r="G15" i="4"/>
  <c r="G16" i="4"/>
  <c r="G18" i="4"/>
  <c r="G19" i="4"/>
  <c r="G20" i="4"/>
  <c r="G22" i="4"/>
  <c r="G23" i="4"/>
  <c r="G24" i="4"/>
  <c r="G26" i="4"/>
  <c r="G27" i="4"/>
  <c r="G28" i="4"/>
  <c r="G30" i="4"/>
  <c r="G31" i="4"/>
  <c r="G32" i="4"/>
  <c r="G34" i="4"/>
  <c r="G35" i="4"/>
  <c r="G36" i="4"/>
  <c r="G37" i="4"/>
  <c r="G38" i="4"/>
  <c r="G39" i="4"/>
  <c r="G40" i="4"/>
  <c r="G41" i="4"/>
  <c r="G42" i="4"/>
  <c r="G43" i="4"/>
  <c r="G44" i="4"/>
  <c r="G45" i="4"/>
  <c r="G46" i="4"/>
  <c r="G47" i="4"/>
  <c r="G48" i="4"/>
  <c r="G49" i="4"/>
  <c r="G50" i="4"/>
  <c r="G51" i="4"/>
  <c r="G52" i="4"/>
  <c r="G53" i="4"/>
  <c r="G54" i="4"/>
  <c r="G55" i="4"/>
  <c r="G56" i="4"/>
  <c r="G57" i="4"/>
  <c r="G58" i="4"/>
  <c r="G59" i="4"/>
  <c r="G12" i="4"/>
  <c r="C646" i="2"/>
  <c r="C645" i="2"/>
  <c r="C644" i="2"/>
  <c r="C643" i="2"/>
  <c r="C642" i="2"/>
  <c r="C641" i="2"/>
  <c r="C640" i="2"/>
  <c r="C639" i="2"/>
  <c r="C638" i="2"/>
  <c r="L645" i="2"/>
  <c r="L644" i="2"/>
  <c r="L642" i="2"/>
  <c r="L641" i="2"/>
  <c r="L639" i="2"/>
  <c r="L638" i="2"/>
  <c r="K568" i="2"/>
  <c r="H645" i="2" s="1"/>
  <c r="H568" i="2"/>
  <c r="E645" i="2" s="1"/>
  <c r="K544" i="2"/>
  <c r="H544" i="2"/>
  <c r="K541" i="2"/>
  <c r="H642" i="2" s="1"/>
  <c r="H541" i="2"/>
  <c r="E642" i="2" s="1"/>
  <c r="K517" i="2"/>
  <c r="H517" i="2"/>
  <c r="C634" i="2"/>
  <c r="C630" i="2"/>
  <c r="C626" i="2"/>
  <c r="C622" i="2"/>
  <c r="C618" i="2"/>
  <c r="C614" i="2"/>
  <c r="C636" i="2" l="1"/>
  <c r="C635" i="2"/>
  <c r="C633" i="2"/>
  <c r="C632" i="2"/>
  <c r="C631" i="2"/>
  <c r="C629" i="2"/>
  <c r="C628" i="2"/>
  <c r="C627" i="2"/>
  <c r="C625" i="2"/>
  <c r="C624" i="2"/>
  <c r="C623" i="2"/>
  <c r="C621" i="2"/>
  <c r="C616" i="2"/>
  <c r="C620" i="2"/>
  <c r="C619" i="2"/>
  <c r="C617" i="2"/>
  <c r="L635" i="2"/>
  <c r="L634" i="2"/>
  <c r="L633" i="2"/>
  <c r="L631" i="2"/>
  <c r="L630" i="2"/>
  <c r="L629" i="2"/>
  <c r="L627" i="2"/>
  <c r="L626" i="2"/>
  <c r="L625" i="2"/>
  <c r="L623" i="2"/>
  <c r="L622" i="2"/>
  <c r="L621" i="2"/>
  <c r="L619" i="2"/>
  <c r="L618" i="2"/>
  <c r="L617" i="2"/>
  <c r="C615" i="2"/>
  <c r="C613" i="2"/>
  <c r="L614" i="2"/>
  <c r="L615" i="2"/>
  <c r="L613" i="2"/>
  <c r="K485" i="2" l="1"/>
  <c r="H635" i="2" s="1"/>
  <c r="H485" i="2"/>
  <c r="E635" i="2" s="1"/>
  <c r="K465" i="2"/>
  <c r="H633" i="2" s="1"/>
  <c r="H465" i="2"/>
  <c r="E633" i="2" s="1"/>
  <c r="K458" i="2"/>
  <c r="H458" i="2"/>
  <c r="K455" i="2"/>
  <c r="H631" i="2" s="1"/>
  <c r="H455" i="2"/>
  <c r="E631" i="2" s="1"/>
  <c r="K435" i="2"/>
  <c r="H629" i="2" s="1"/>
  <c r="H435" i="2"/>
  <c r="E629" i="2" s="1"/>
  <c r="K428" i="2"/>
  <c r="H428" i="2"/>
  <c r="K425" i="2"/>
  <c r="H627" i="2" s="1"/>
  <c r="H425" i="2"/>
  <c r="E627" i="2" s="1"/>
  <c r="K405" i="2"/>
  <c r="H625" i="2" s="1"/>
  <c r="H405" i="2"/>
  <c r="E625" i="2" s="1"/>
  <c r="K398" i="2"/>
  <c r="H398" i="2"/>
  <c r="K395" i="2"/>
  <c r="H623" i="2" s="1"/>
  <c r="H395" i="2"/>
  <c r="E623" i="2" s="1"/>
  <c r="K375" i="2"/>
  <c r="H621" i="2" s="1"/>
  <c r="H375" i="2"/>
  <c r="E621" i="2" s="1"/>
  <c r="K368" i="2"/>
  <c r="H368" i="2"/>
  <c r="K365" i="2"/>
  <c r="H619" i="2" s="1"/>
  <c r="H365" i="2"/>
  <c r="E619" i="2" s="1"/>
  <c r="K345" i="2"/>
  <c r="H617" i="2" s="1"/>
  <c r="H345" i="2"/>
  <c r="E617" i="2" s="1"/>
  <c r="K338" i="2"/>
  <c r="H338" i="2"/>
  <c r="K335" i="2"/>
  <c r="H335" i="2"/>
  <c r="K315" i="2"/>
  <c r="H315" i="2"/>
  <c r="E613" i="2" s="1"/>
  <c r="K308" i="2"/>
  <c r="H308" i="2"/>
  <c r="J635" i="2" l="1"/>
  <c r="J629" i="2"/>
  <c r="H632" i="2"/>
  <c r="J622" i="2"/>
  <c r="J623" i="2"/>
  <c r="J627" i="2"/>
  <c r="J621" i="2"/>
  <c r="H624" i="2"/>
  <c r="E615" i="2"/>
  <c r="H615" i="2"/>
  <c r="H613" i="2"/>
  <c r="C612" i="2"/>
  <c r="C608" i="2"/>
  <c r="C604" i="2"/>
  <c r="C600" i="2"/>
  <c r="C596" i="2"/>
  <c r="C592" i="2"/>
  <c r="J624" i="2" l="1"/>
  <c r="J631" i="2"/>
  <c r="H628" i="2"/>
  <c r="E624" i="2"/>
  <c r="J630" i="2"/>
  <c r="E636" i="2"/>
  <c r="J633" i="2"/>
  <c r="J634" i="2"/>
  <c r="H636" i="2"/>
  <c r="E632" i="2"/>
  <c r="J626" i="2"/>
  <c r="H616" i="2"/>
  <c r="E628" i="2"/>
  <c r="J625" i="2"/>
  <c r="E616" i="2"/>
  <c r="J619" i="2"/>
  <c r="J618" i="2"/>
  <c r="H620" i="2"/>
  <c r="E620" i="2"/>
  <c r="J617" i="2"/>
  <c r="C611" i="2"/>
  <c r="C607" i="2"/>
  <c r="L611" i="2"/>
  <c r="L609" i="2"/>
  <c r="L607" i="2"/>
  <c r="L605" i="2"/>
  <c r="C603" i="2"/>
  <c r="C599" i="2"/>
  <c r="C595" i="2"/>
  <c r="C591" i="2"/>
  <c r="J632" i="2" l="1"/>
  <c r="J636" i="2"/>
  <c r="J628" i="2"/>
  <c r="J620" i="2"/>
  <c r="K303" i="2"/>
  <c r="H303" i="2"/>
  <c r="K282" i="2"/>
  <c r="H282" i="2"/>
  <c r="K274" i="2"/>
  <c r="H274" i="2"/>
  <c r="K271" i="2"/>
  <c r="H271" i="2"/>
  <c r="K250" i="2"/>
  <c r="H250" i="2"/>
  <c r="K242" i="2"/>
  <c r="H242" i="2"/>
  <c r="K239" i="2"/>
  <c r="H239" i="2"/>
  <c r="K218" i="2"/>
  <c r="H218" i="2"/>
  <c r="K210" i="2"/>
  <c r="H210" i="2"/>
  <c r="K207" i="2"/>
  <c r="H207" i="2"/>
  <c r="K186" i="2"/>
  <c r="H186" i="2"/>
  <c r="K178" i="2"/>
  <c r="H178" i="2"/>
  <c r="K175" i="2"/>
  <c r="H175" i="2"/>
  <c r="K154" i="2"/>
  <c r="H154" i="2"/>
  <c r="K146" i="2"/>
  <c r="H146" i="2"/>
  <c r="K143" i="2"/>
  <c r="H143" i="2"/>
  <c r="K57" i="2"/>
  <c r="K42" i="2"/>
  <c r="H57" i="2"/>
  <c r="H42" i="2"/>
  <c r="K27" i="2"/>
  <c r="H27" i="2"/>
  <c r="J606" i="2" l="1"/>
  <c r="J610" i="2"/>
  <c r="J602" i="2"/>
  <c r="J645" i="2"/>
  <c r="J642" i="2"/>
  <c r="J614" i="2"/>
  <c r="E605" i="2"/>
  <c r="H595" i="2"/>
  <c r="E595" i="2"/>
  <c r="H591" i="2"/>
  <c r="H607" i="2"/>
  <c r="H593" i="2"/>
  <c r="E607" i="2"/>
  <c r="H605" i="2"/>
  <c r="E591" i="2"/>
  <c r="E593" i="2"/>
  <c r="E609" i="2"/>
  <c r="H609" i="2"/>
  <c r="E611" i="2"/>
  <c r="H611" i="2"/>
  <c r="H597" i="2"/>
  <c r="E599" i="2"/>
  <c r="E597" i="2"/>
  <c r="H599" i="2"/>
  <c r="E601" i="2"/>
  <c r="H601" i="2"/>
  <c r="E603" i="2"/>
  <c r="H603" i="2"/>
  <c r="H578" i="2"/>
  <c r="E578" i="2"/>
  <c r="H596" i="2" l="1"/>
  <c r="E600" i="2"/>
  <c r="E612" i="2"/>
  <c r="E596" i="2"/>
  <c r="H612" i="2"/>
  <c r="E608" i="2"/>
  <c r="H608" i="2"/>
  <c r="H604" i="2"/>
  <c r="E604" i="2"/>
  <c r="H600" i="2"/>
  <c r="J598" i="2"/>
  <c r="J594" i="2"/>
  <c r="J590" i="2"/>
  <c r="J611" i="2"/>
  <c r="J615" i="2"/>
  <c r="J605" i="2"/>
  <c r="J609" i="2"/>
  <c r="J607" i="2"/>
  <c r="L603" i="2"/>
  <c r="L601" i="2"/>
  <c r="L599" i="2"/>
  <c r="L597" i="2"/>
  <c r="L595" i="2"/>
  <c r="L593" i="2"/>
  <c r="L591" i="2"/>
  <c r="L589" i="2"/>
  <c r="L587" i="2"/>
  <c r="L586" i="2"/>
  <c r="L585" i="2"/>
  <c r="C583" i="2"/>
  <c r="L584" i="2"/>
  <c r="L583" i="2"/>
  <c r="C582" i="2"/>
  <c r="L582" i="2"/>
  <c r="C581" i="2"/>
  <c r="L581" i="2"/>
  <c r="L580" i="2"/>
  <c r="H490" i="2"/>
  <c r="J612" i="2" l="1"/>
  <c r="J608" i="2"/>
  <c r="K514" i="2"/>
  <c r="H514" i="2"/>
  <c r="K490" i="2"/>
  <c r="H639" i="2" l="1"/>
  <c r="E639" i="2"/>
  <c r="J639" i="2" l="1"/>
  <c r="K122" i="2"/>
  <c r="H646" i="2" s="1"/>
  <c r="H122" i="2"/>
  <c r="K114" i="2"/>
  <c r="H114" i="2"/>
  <c r="E646" i="2" l="1"/>
  <c r="J644" i="2"/>
  <c r="J646" i="2" s="1"/>
  <c r="H640" i="2"/>
  <c r="H643" i="2"/>
  <c r="E640" i="2"/>
  <c r="J638" i="2"/>
  <c r="J640" i="2" s="1"/>
  <c r="J597" i="2"/>
  <c r="J603" i="2"/>
  <c r="J601" i="2"/>
  <c r="J599" i="2"/>
  <c r="J595" i="2"/>
  <c r="J593" i="2"/>
  <c r="H589" i="2"/>
  <c r="H592" i="2" s="1"/>
  <c r="J591" i="2"/>
  <c r="E589" i="2"/>
  <c r="E592" i="2" s="1"/>
  <c r="K48" i="2"/>
  <c r="H48" i="2"/>
  <c r="K33" i="2"/>
  <c r="H33" i="2"/>
  <c r="H18" i="2"/>
  <c r="H16" i="2"/>
  <c r="K18" i="2"/>
  <c r="K16" i="2"/>
  <c r="J604" i="2" l="1"/>
  <c r="J596" i="2"/>
  <c r="J600" i="2"/>
  <c r="E643" i="2"/>
  <c r="J641" i="2"/>
  <c r="J643" i="2" s="1"/>
  <c r="J613" i="2"/>
  <c r="J616" i="2" s="1"/>
  <c r="J589" i="2"/>
  <c r="J592" i="2" s="1"/>
  <c r="H587" i="2"/>
  <c r="E587" i="2"/>
  <c r="K99" i="2"/>
  <c r="H99" i="2"/>
  <c r="K96" i="2"/>
  <c r="H586" i="2" s="1"/>
  <c r="H96" i="2"/>
  <c r="E586" i="2" s="1"/>
  <c r="K90" i="2"/>
  <c r="H90" i="2"/>
  <c r="K87" i="2"/>
  <c r="H585" i="2" s="1"/>
  <c r="H87" i="2"/>
  <c r="E585" i="2" s="1"/>
  <c r="K83" i="2"/>
  <c r="H83" i="2"/>
  <c r="K58" i="2"/>
  <c r="H58" i="2"/>
  <c r="K43" i="2"/>
  <c r="H43" i="2"/>
  <c r="K28" i="2"/>
  <c r="H28" i="2"/>
  <c r="K13" i="2"/>
  <c r="H580" i="2" s="1"/>
  <c r="H13" i="2"/>
  <c r="E580" i="2" s="1"/>
  <c r="K8" i="2"/>
  <c r="H8" i="2"/>
  <c r="K46" i="2" l="1"/>
  <c r="H582" i="2" s="1"/>
  <c r="H46" i="2"/>
  <c r="E582" i="2" s="1"/>
  <c r="K61" i="2"/>
  <c r="H583" i="2" s="1"/>
  <c r="H61" i="2"/>
  <c r="E583" i="2" s="1"/>
  <c r="K31" i="2"/>
  <c r="H581" i="2" s="1"/>
  <c r="H31" i="2"/>
  <c r="E581" i="2" s="1"/>
  <c r="J580" i="2"/>
  <c r="J587" i="2"/>
  <c r="J586" i="2"/>
  <c r="J585" i="2"/>
  <c r="J584" i="2"/>
  <c r="J582" i="2" l="1"/>
  <c r="J583" i="2"/>
  <c r="J581" i="2"/>
  <c r="J647" i="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Dave Endres</author>
  </authors>
  <commentList>
    <comment ref="C10" authorId="0" shapeId="0" xr:uid="{BAFDB79B-9ADD-43D8-9FE4-8E51417B887B}">
      <text>
        <r>
          <rPr>
            <b/>
            <sz val="9"/>
            <color indexed="81"/>
            <rFont val="Tahoma"/>
            <family val="2"/>
          </rPr>
          <t>Recurring Interest Income:</t>
        </r>
        <r>
          <rPr>
            <sz val="9"/>
            <color indexed="81"/>
            <rFont val="Tahoma"/>
            <family val="2"/>
          </rPr>
          <t xml:space="preserve">
Input interest income only from the borrower’s business.  Review Schedule B, Part I and/or IRS Schedule K-1 or Form 1099-INT to confirm payer is the business.</t>
        </r>
      </text>
    </comment>
    <comment ref="C11" authorId="0" shapeId="0" xr:uid="{31744A8B-3C89-4E73-A13F-0399E151024E}">
      <text>
        <r>
          <rPr>
            <b/>
            <sz val="9"/>
            <color indexed="81"/>
            <rFont val="Tahoma"/>
            <family val="2"/>
          </rPr>
          <t>Recurring Dividend Income:</t>
        </r>
        <r>
          <rPr>
            <sz val="9"/>
            <color indexed="81"/>
            <rFont val="Tahoma"/>
            <family val="2"/>
          </rPr>
          <t xml:space="preserve">
Input dividend income only from the borrower’s business.  Review Schedule B, Part II and/or IRS Schedule K-1 or Form 1099-DIV to confirm payer is the business. </t>
        </r>
      </text>
    </comment>
    <comment ref="C21" authorId="0" shapeId="0" xr:uid="{600CB561-B2CB-429C-B928-AC1C99A745DF}">
      <text>
        <r>
          <rPr>
            <b/>
            <sz val="9"/>
            <color indexed="81"/>
            <rFont val="Tahoma"/>
            <family val="2"/>
          </rPr>
          <t>Deduct nonrecurring income:</t>
        </r>
        <r>
          <rPr>
            <sz val="9"/>
            <color indexed="81"/>
            <rFont val="Tahoma"/>
            <family val="2"/>
          </rPr>
          <t xml:space="preserve">
Other income should be subtracted unless it can be identified, there is a history of receipt, and it can be documented as ongoing.</t>
        </r>
      </text>
    </comment>
    <comment ref="C24" authorId="0" shapeId="0" xr:uid="{665A99C0-ACE9-4577-BABC-6A9DA2993C0B}">
      <text>
        <r>
          <rPr>
            <b/>
            <sz val="9"/>
            <color indexed="81"/>
            <rFont val="Tahoma"/>
            <family val="2"/>
          </rPr>
          <t>Non-Deductible Meals and Entertainment Exclusion:</t>
        </r>
        <r>
          <rPr>
            <sz val="9"/>
            <color indexed="81"/>
            <rFont val="Tahoma"/>
            <family val="2"/>
          </rPr>
          <t xml:space="preserve">
In general, borrowers deduct 50% of these out-of-pocket costs on the tax return.  Adjust here for the other 50% by entering number found on Line 24b.</t>
        </r>
      </text>
    </comment>
    <comment ref="C26" authorId="0" shapeId="0" xr:uid="{87B86F41-F4A5-4CD9-9A64-8BBDC28F6B5B}">
      <text>
        <r>
          <rPr>
            <b/>
            <sz val="9"/>
            <color indexed="81"/>
            <rFont val="Tahoma"/>
            <family val="2"/>
          </rPr>
          <t>Business Miles:</t>
        </r>
        <r>
          <rPr>
            <sz val="9"/>
            <color indexed="81"/>
            <rFont val="Tahoma"/>
            <family val="2"/>
          </rPr>
          <t xml:space="preserve">
If standard mileage was claimed, enter mileage claimed either on page 2, part IV, Line 44a OR on related 4562, line 30.  This amount will be used to calculate the depreciation add back.</t>
        </r>
      </text>
    </comment>
    <comment ref="C36" authorId="0" shapeId="0" xr:uid="{BCE18DC3-153B-44E3-B2E9-3D0EB7FFA96B}">
      <text>
        <r>
          <rPr>
            <b/>
            <sz val="9"/>
            <color indexed="81"/>
            <rFont val="Tahoma"/>
            <family val="2"/>
          </rPr>
          <t>Deduct nonrecurring income:</t>
        </r>
        <r>
          <rPr>
            <sz val="9"/>
            <color indexed="81"/>
            <rFont val="Tahoma"/>
            <family val="2"/>
          </rPr>
          <t xml:space="preserve">
Other income should be subtracted unless it can be identified, there is a history of receipt, and it can be documented as ongoing.</t>
        </r>
      </text>
    </comment>
    <comment ref="C39" authorId="0" shapeId="0" xr:uid="{1BB81AF5-5E54-4C8B-8B1B-08E4D8A2AF5D}">
      <text>
        <r>
          <rPr>
            <b/>
            <sz val="9"/>
            <color indexed="81"/>
            <rFont val="Tahoma"/>
            <family val="2"/>
          </rPr>
          <t>Non-Deductible Meals and Entertainment Exclusion:</t>
        </r>
        <r>
          <rPr>
            <sz val="9"/>
            <color indexed="81"/>
            <rFont val="Tahoma"/>
            <family val="2"/>
          </rPr>
          <t xml:space="preserve">
In general, borrowers deduct 50% of these out-of-pocket costs on the tax return.  Adjust here for the other 50% by entering number found on Line 24b.</t>
        </r>
      </text>
    </comment>
    <comment ref="C41" authorId="0" shapeId="0" xr:uid="{0EAE0166-9F04-49A1-A303-78EEEB6538A5}">
      <text>
        <r>
          <rPr>
            <b/>
            <sz val="9"/>
            <color indexed="81"/>
            <rFont val="Tahoma"/>
            <family val="2"/>
          </rPr>
          <t>Business Miles:</t>
        </r>
        <r>
          <rPr>
            <sz val="9"/>
            <color indexed="81"/>
            <rFont val="Tahoma"/>
            <family val="2"/>
          </rPr>
          <t xml:space="preserve">
If standard mileage was claimed, enter mileage claimed either on page 2, part IV, Line 44a OR on related 4562, line 30.  This amount will be used to calculate the depreciation add back.</t>
        </r>
      </text>
    </comment>
    <comment ref="C51" authorId="0" shapeId="0" xr:uid="{9E4C6B13-1BD2-4B80-B2B1-014BB784AF73}">
      <text>
        <r>
          <rPr>
            <b/>
            <sz val="9"/>
            <color indexed="81"/>
            <rFont val="Tahoma"/>
            <family val="2"/>
          </rPr>
          <t>Deduct nonrecurring income:</t>
        </r>
        <r>
          <rPr>
            <sz val="9"/>
            <color indexed="81"/>
            <rFont val="Tahoma"/>
            <family val="2"/>
          </rPr>
          <t xml:space="preserve">
Other income should be subtracted unless it can be identified, there is a history of receipt, and it can be documented as ongoing.</t>
        </r>
      </text>
    </comment>
    <comment ref="C54" authorId="0" shapeId="0" xr:uid="{8FB08F20-66FE-404D-AA23-676BEBD0CFEC}">
      <text>
        <r>
          <rPr>
            <b/>
            <sz val="9"/>
            <color indexed="81"/>
            <rFont val="Tahoma"/>
            <family val="2"/>
          </rPr>
          <t>Non-Deductible Meals and Entertainment Exclusion:</t>
        </r>
        <r>
          <rPr>
            <sz val="9"/>
            <color indexed="81"/>
            <rFont val="Tahoma"/>
            <family val="2"/>
          </rPr>
          <t xml:space="preserve">
In general, borrowers deduct 50% of these out-of-pocket costs on the tax return.  Adjust here for the other 50% by entering number found on Line 24b.</t>
        </r>
      </text>
    </comment>
    <comment ref="C56" authorId="0" shapeId="0" xr:uid="{46085014-0548-4850-AEE2-48C44BFA4FA1}">
      <text>
        <r>
          <rPr>
            <b/>
            <sz val="9"/>
            <color indexed="81"/>
            <rFont val="Tahoma"/>
            <family val="2"/>
          </rPr>
          <t>Business Miles:</t>
        </r>
        <r>
          <rPr>
            <sz val="9"/>
            <color indexed="81"/>
            <rFont val="Tahoma"/>
            <family val="2"/>
          </rPr>
          <t xml:space="preserve">
If standard mileage was claimed, enter mileage claimed either on page 2, part IV, Line 44a OR on related 4562, line 30.  This amount will be used to calculate the depreciation add back.</t>
        </r>
      </text>
    </comment>
    <comment ref="C70" authorId="0" shapeId="0" xr:uid="{A2C06A28-14B1-486B-957C-12C81893687D}">
      <text>
        <r>
          <rPr>
            <b/>
            <sz val="9"/>
            <color indexed="81"/>
            <rFont val="Tahoma"/>
            <family val="2"/>
          </rPr>
          <t>Deduct nonrecurring income:</t>
        </r>
        <r>
          <rPr>
            <sz val="9"/>
            <color indexed="81"/>
            <rFont val="Tahoma"/>
            <family val="2"/>
          </rPr>
          <t xml:space="preserve">
Other income should be subtracted unless it can be identified, there is a history of receipt, and it can be documented as ongoing.</t>
        </r>
      </text>
    </comment>
    <comment ref="C73" authorId="0" shapeId="0" xr:uid="{31722483-CB76-4A7C-B29F-44009BEEB7BC}">
      <text>
        <r>
          <rPr>
            <b/>
            <sz val="9"/>
            <color indexed="81"/>
            <rFont val="Tahoma"/>
            <family val="2"/>
          </rPr>
          <t>Non-Deductible Meals and Entertainment Exclusion:</t>
        </r>
        <r>
          <rPr>
            <sz val="9"/>
            <color indexed="81"/>
            <rFont val="Tahoma"/>
            <family val="2"/>
          </rPr>
          <t xml:space="preserve">
In general, borrowers deduct 50% of these out-of-pocket costs on the tax return.  Adjust here for the other 50% by entering number found on Line 24b.</t>
        </r>
      </text>
    </comment>
    <comment ref="C75" authorId="0" shapeId="0" xr:uid="{2DA792A1-E200-40C3-829F-D8E82F60AFFE}">
      <text>
        <r>
          <rPr>
            <b/>
            <sz val="9"/>
            <color indexed="81"/>
            <rFont val="Tahoma"/>
            <family val="2"/>
          </rPr>
          <t>Business Miles:</t>
        </r>
        <r>
          <rPr>
            <sz val="9"/>
            <color indexed="81"/>
            <rFont val="Tahoma"/>
            <family val="2"/>
          </rPr>
          <t xml:space="preserve">
If standard mileage was claimed, enter mileage claimed either on page 2, part IV, Line 44a OR on related 4562, line 30.  This amount will be used to calculate the depreciation add back.</t>
        </r>
      </text>
    </comment>
    <comment ref="C118" authorId="0" shapeId="0" xr:uid="{3A1E2829-6F73-4736-9B8F-56EA2E816C14}">
      <text>
        <r>
          <rPr>
            <b/>
            <sz val="9"/>
            <color indexed="81"/>
            <rFont val="Tahoma"/>
            <family val="2"/>
          </rPr>
          <t>Ordinary Income (Loss):</t>
        </r>
        <r>
          <rPr>
            <sz val="9"/>
            <color indexed="81"/>
            <rFont val="Tahoma"/>
            <family val="2"/>
          </rPr>
          <t xml:space="preserve">
Can be used if borrower has a history of receiving cash distributions of income (found on Line 19, code A) consistent with the ordinary income or if adequate business liquidity can be verified.  See liquidity worksheet for liquidity test.</t>
        </r>
      </text>
    </comment>
    <comment ref="C119" authorId="0" shapeId="0" xr:uid="{1064526A-80A5-4FE4-BCDE-0B6B44F04C31}">
      <text>
        <r>
          <rPr>
            <b/>
            <sz val="9"/>
            <color indexed="81"/>
            <rFont val="Tahoma"/>
            <family val="2"/>
          </rPr>
          <t>Net Rental Income (Loss):</t>
        </r>
        <r>
          <rPr>
            <sz val="9"/>
            <color indexed="81"/>
            <rFont val="Tahoma"/>
            <family val="2"/>
          </rPr>
          <t xml:space="preserve">
Can be used if borrower has a history of receiving cash distributions of income consistent with the net rental income or if adequate business liquidity can be verified.  See liquidity worksheet for liquidity test.</t>
        </r>
      </text>
    </comment>
    <comment ref="C120" authorId="0" shapeId="0" xr:uid="{72128BEE-64E1-4FAD-A4AF-256FA8578721}">
      <text>
        <r>
          <rPr>
            <b/>
            <sz val="9"/>
            <color indexed="81"/>
            <rFont val="Tahoma"/>
            <family val="2"/>
          </rPr>
          <t>Guaranteed Payments:</t>
        </r>
        <r>
          <rPr>
            <sz val="9"/>
            <color indexed="81"/>
            <rFont val="Tahoma"/>
            <family val="2"/>
          </rPr>
          <t xml:space="preserve">
Document two-year history of receipt.</t>
        </r>
      </text>
    </comment>
    <comment ref="C130" authorId="0" shapeId="0" xr:uid="{223F1E4B-4DA9-4CEC-BBB0-EC2F213D01CE}">
      <text>
        <r>
          <rPr>
            <b/>
            <sz val="9"/>
            <color indexed="81"/>
            <rFont val="Tahoma"/>
            <family val="2"/>
          </rPr>
          <t>Passthrough (Income) Loss from Other Partnerships:</t>
        </r>
        <r>
          <rPr>
            <sz val="9"/>
            <color indexed="81"/>
            <rFont val="Tahoma"/>
            <family val="2"/>
          </rPr>
          <t xml:space="preserve">
Subtract income reflected on line 4 unless proven to be recurring.  Add back in losses.</t>
        </r>
      </text>
    </comment>
    <comment ref="C131" authorId="0" shapeId="0" xr:uid="{668A6B1A-882A-45EF-83DD-0416DC11DEED}">
      <text>
        <r>
          <rPr>
            <b/>
            <sz val="9"/>
            <color indexed="81"/>
            <rFont val="Tahoma"/>
            <family val="2"/>
          </rPr>
          <t>Deduct nonrecurring income:</t>
        </r>
        <r>
          <rPr>
            <sz val="9"/>
            <color indexed="81"/>
            <rFont val="Tahoma"/>
            <family val="2"/>
          </rPr>
          <t xml:space="preserve">
Other income should be subtracted unless it can be identified, there is a history of receipt, and it can be documented as ongoing.</t>
        </r>
      </text>
    </comment>
    <comment ref="C136" authorId="0" shapeId="0" xr:uid="{02125745-5241-4CDE-B48A-779DE9D3B4E3}">
      <text>
        <r>
          <rPr>
            <b/>
            <sz val="9"/>
            <color indexed="81"/>
            <rFont val="Tahoma"/>
            <family val="2"/>
          </rPr>
          <t>Mortgages or Notes Payable in Less Than 1 Year:</t>
        </r>
        <r>
          <rPr>
            <sz val="9"/>
            <color indexed="81"/>
            <rFont val="Tahoma"/>
            <family val="2"/>
          </rPr>
          <t xml:space="preserve">
In general, deduct the amount in Column D, however, if you determine these obligations have a “rollover” clause or there are ample liquid assets to cover these obligations a deduction may not be necessary</t>
        </r>
      </text>
    </comment>
    <comment ref="C137" authorId="0" shapeId="0" xr:uid="{4727FFF6-ADCD-470C-86E1-66D75F320E96}">
      <text>
        <r>
          <rPr>
            <b/>
            <sz val="9"/>
            <color indexed="81"/>
            <rFont val="Tahoma"/>
            <family val="2"/>
          </rPr>
          <t>Non-Deductible Travel and Entertainment Exclusion:</t>
        </r>
        <r>
          <rPr>
            <sz val="9"/>
            <color indexed="81"/>
            <rFont val="Tahoma"/>
            <family val="2"/>
          </rPr>
          <t xml:space="preserve">
In general, borrowers deduct 50% of these out-of-pocket costs on the tax return.  Adjust here for the other 50% by entering number found on Line 4b</t>
        </r>
      </text>
    </comment>
    <comment ref="C150" authorId="0" shapeId="0" xr:uid="{8F7A10F3-7DB4-429E-B1BA-D7E8A0654377}">
      <text>
        <r>
          <rPr>
            <b/>
            <sz val="9"/>
            <color indexed="81"/>
            <rFont val="Tahoma"/>
            <family val="2"/>
          </rPr>
          <t>Ordinary Income (Loss):</t>
        </r>
        <r>
          <rPr>
            <sz val="9"/>
            <color indexed="81"/>
            <rFont val="Tahoma"/>
            <family val="2"/>
          </rPr>
          <t xml:space="preserve">
Can be used if borrower has a history of receiving cash distributions of income (found on Line 19, code A) consistent with the ordinary income or if adequate business liquidity can be verified.  See liquidity worksheet for liquidity test.</t>
        </r>
      </text>
    </comment>
    <comment ref="C151" authorId="0" shapeId="0" xr:uid="{C4A471B9-34E8-4C40-B35B-21EEC9E83B13}">
      <text>
        <r>
          <rPr>
            <b/>
            <sz val="9"/>
            <color indexed="81"/>
            <rFont val="Tahoma"/>
            <family val="2"/>
          </rPr>
          <t>Net Rental Income (Loss):</t>
        </r>
        <r>
          <rPr>
            <sz val="9"/>
            <color indexed="81"/>
            <rFont val="Tahoma"/>
            <family val="2"/>
          </rPr>
          <t xml:space="preserve">
Can be used if borrower has a history of receiving cash distributions of income consistent with the net rental income or if adequate business liquidity can be verified.  See liquidity worksheet for liquidity test.</t>
        </r>
      </text>
    </comment>
    <comment ref="C152" authorId="0" shapeId="0" xr:uid="{452DB9F0-4766-4E91-944E-464D507646FB}">
      <text>
        <r>
          <rPr>
            <b/>
            <sz val="9"/>
            <color indexed="81"/>
            <rFont val="Tahoma"/>
            <family val="2"/>
          </rPr>
          <t>Guaranteed Payments:</t>
        </r>
        <r>
          <rPr>
            <sz val="9"/>
            <color indexed="81"/>
            <rFont val="Tahoma"/>
            <family val="2"/>
          </rPr>
          <t xml:space="preserve">
Document two-year history of receipt.</t>
        </r>
      </text>
    </comment>
    <comment ref="C162" authorId="0" shapeId="0" xr:uid="{26D5FABB-3B25-46B4-BF50-0FB0F6756068}">
      <text>
        <r>
          <rPr>
            <b/>
            <sz val="9"/>
            <color indexed="81"/>
            <rFont val="Tahoma"/>
            <family val="2"/>
          </rPr>
          <t>Passthrough (Income) Loss from Other Partnerships:</t>
        </r>
        <r>
          <rPr>
            <sz val="9"/>
            <color indexed="81"/>
            <rFont val="Tahoma"/>
            <family val="2"/>
          </rPr>
          <t xml:space="preserve">
Subtract income reflected on line 4 unless proven to be recurring.  Add back in losses.</t>
        </r>
      </text>
    </comment>
    <comment ref="C163" authorId="0" shapeId="0" xr:uid="{9B7B4A73-FC17-4527-8E4E-F095396BE694}">
      <text>
        <r>
          <rPr>
            <b/>
            <sz val="9"/>
            <color indexed="81"/>
            <rFont val="Tahoma"/>
            <family val="2"/>
          </rPr>
          <t>Deduct nonrecurring income:</t>
        </r>
        <r>
          <rPr>
            <sz val="9"/>
            <color indexed="81"/>
            <rFont val="Tahoma"/>
            <family val="2"/>
          </rPr>
          <t xml:space="preserve">
Other income should be subtracted unless it can be identified, there is a history of receipt, and it can be documented as ongoing.</t>
        </r>
      </text>
    </comment>
    <comment ref="C168" authorId="0" shapeId="0" xr:uid="{76AFAED4-7B43-4A09-9E68-79D841427486}">
      <text>
        <r>
          <rPr>
            <b/>
            <sz val="9"/>
            <color indexed="81"/>
            <rFont val="Tahoma"/>
            <family val="2"/>
          </rPr>
          <t>Mortgages or Notes Payable in Less Than 1 Year:</t>
        </r>
        <r>
          <rPr>
            <sz val="9"/>
            <color indexed="81"/>
            <rFont val="Tahoma"/>
            <family val="2"/>
          </rPr>
          <t xml:space="preserve">
In general, deduct the amount in Column D, however, if you determine these obligations have a “rollover” clause or there are ample liquid assets to cover these obligations a deduction may not be necessary</t>
        </r>
      </text>
    </comment>
    <comment ref="C169" authorId="0" shapeId="0" xr:uid="{BB7197A1-7A7E-4A27-AC85-38F3BEBA3CBD}">
      <text>
        <r>
          <rPr>
            <b/>
            <sz val="9"/>
            <color indexed="81"/>
            <rFont val="Tahoma"/>
            <family val="2"/>
          </rPr>
          <t>Non-Deductible Travel and Entertainment Exclusion:</t>
        </r>
        <r>
          <rPr>
            <sz val="9"/>
            <color indexed="81"/>
            <rFont val="Tahoma"/>
            <family val="2"/>
          </rPr>
          <t xml:space="preserve">
In general, borrowers deduct 50% of these out-of-pocket costs on the tax return.  Adjust here for the other 50% by entering number found on Line 4b</t>
        </r>
      </text>
    </comment>
    <comment ref="C182" authorId="0" shapeId="0" xr:uid="{99765F36-F9FC-46BE-A85B-F897A1E2C3F3}">
      <text>
        <r>
          <rPr>
            <b/>
            <sz val="9"/>
            <color indexed="81"/>
            <rFont val="Tahoma"/>
            <family val="2"/>
          </rPr>
          <t>Ordinary Income (Loss):</t>
        </r>
        <r>
          <rPr>
            <sz val="9"/>
            <color indexed="81"/>
            <rFont val="Tahoma"/>
            <family val="2"/>
          </rPr>
          <t xml:space="preserve">
Can be used if borrower has a history of receiving cash distributions of income (found on Line 19, code A) consistent with the ordinary income or if adequate business liquidity can be verified.  See liquidity worksheet for liquidity test.</t>
        </r>
      </text>
    </comment>
    <comment ref="C183" authorId="0" shapeId="0" xr:uid="{DFB73E82-9051-4F46-BEB5-E97F568D6DAB}">
      <text>
        <r>
          <rPr>
            <b/>
            <sz val="9"/>
            <color indexed="81"/>
            <rFont val="Tahoma"/>
            <family val="2"/>
          </rPr>
          <t>Net Rental Income (Loss):</t>
        </r>
        <r>
          <rPr>
            <sz val="9"/>
            <color indexed="81"/>
            <rFont val="Tahoma"/>
            <family val="2"/>
          </rPr>
          <t xml:space="preserve">
Can be used if borrower has a history of receiving cash distributions of income consistent with the net rental income or if adequate business liquidity can be verified.  See liquidity worksheet for liquidity test.</t>
        </r>
      </text>
    </comment>
    <comment ref="C184" authorId="0" shapeId="0" xr:uid="{95B76343-4AB0-4890-9594-54F9CC22FC0F}">
      <text>
        <r>
          <rPr>
            <b/>
            <sz val="9"/>
            <color indexed="81"/>
            <rFont val="Tahoma"/>
            <family val="2"/>
          </rPr>
          <t>Guaranteed Payments:</t>
        </r>
        <r>
          <rPr>
            <sz val="9"/>
            <color indexed="81"/>
            <rFont val="Tahoma"/>
            <family val="2"/>
          </rPr>
          <t xml:space="preserve">
Document two-year history of receipt.</t>
        </r>
      </text>
    </comment>
    <comment ref="C194" authorId="0" shapeId="0" xr:uid="{A23CD0E8-1DFB-4391-B7A3-6A7B362AB257}">
      <text>
        <r>
          <rPr>
            <b/>
            <sz val="9"/>
            <color indexed="81"/>
            <rFont val="Tahoma"/>
            <family val="2"/>
          </rPr>
          <t>Passthrough (Income) Loss from Other Partnerships:</t>
        </r>
        <r>
          <rPr>
            <sz val="9"/>
            <color indexed="81"/>
            <rFont val="Tahoma"/>
            <family val="2"/>
          </rPr>
          <t xml:space="preserve">
Subtract income reflected on line 4 unless proven to be recurring.  Add back in losses.</t>
        </r>
      </text>
    </comment>
    <comment ref="C195" authorId="0" shapeId="0" xr:uid="{D049C554-4162-4A6A-8832-AA5EEE89662E}">
      <text>
        <r>
          <rPr>
            <b/>
            <sz val="9"/>
            <color indexed="81"/>
            <rFont val="Tahoma"/>
            <family val="2"/>
          </rPr>
          <t>Deduct nonrecurring income:</t>
        </r>
        <r>
          <rPr>
            <sz val="9"/>
            <color indexed="81"/>
            <rFont val="Tahoma"/>
            <family val="2"/>
          </rPr>
          <t xml:space="preserve">
Other income should be subtracted unless it can be identified, there is a history of receipt, and it can be documented as ongoing.</t>
        </r>
      </text>
    </comment>
    <comment ref="C200" authorId="0" shapeId="0" xr:uid="{65301830-782B-4B9A-A9EA-87ADCE879573}">
      <text>
        <r>
          <rPr>
            <b/>
            <sz val="9"/>
            <color indexed="81"/>
            <rFont val="Tahoma"/>
            <family val="2"/>
          </rPr>
          <t>Mortgages or Notes Payable in Less Than 1 Year:</t>
        </r>
        <r>
          <rPr>
            <sz val="9"/>
            <color indexed="81"/>
            <rFont val="Tahoma"/>
            <family val="2"/>
          </rPr>
          <t xml:space="preserve">
In general, deduct the amount in Column D, however, if you determine these obligations have a “rollover” clause or there are ample liquid assets to cover these obligations a deduction may not be necessary</t>
        </r>
      </text>
    </comment>
    <comment ref="C201" authorId="0" shapeId="0" xr:uid="{CF609582-706F-49D6-AD74-B6CC44D0C602}">
      <text>
        <r>
          <rPr>
            <b/>
            <sz val="9"/>
            <color indexed="81"/>
            <rFont val="Tahoma"/>
            <family val="2"/>
          </rPr>
          <t>Non-Deductible Travel and Entertainment Exclusion:</t>
        </r>
        <r>
          <rPr>
            <sz val="9"/>
            <color indexed="81"/>
            <rFont val="Tahoma"/>
            <family val="2"/>
          </rPr>
          <t xml:space="preserve">
In general, borrowers deduct 50% of these out-of-pocket costs on the tax return.  Adjust here for the other 50% by entering number found on Line 4b</t>
        </r>
      </text>
    </comment>
    <comment ref="C214" authorId="0" shapeId="0" xr:uid="{887B98DC-22E3-4A6A-9D91-81696E6F4521}">
      <text>
        <r>
          <rPr>
            <b/>
            <sz val="9"/>
            <color indexed="81"/>
            <rFont val="Tahoma"/>
            <family val="2"/>
          </rPr>
          <t>Ordinary Income (Loss):</t>
        </r>
        <r>
          <rPr>
            <sz val="9"/>
            <color indexed="81"/>
            <rFont val="Tahoma"/>
            <family val="2"/>
          </rPr>
          <t xml:space="preserve">
Can be used if borrower has a history of receiving cash distributions of income (found on Line 19, code A) consistent with the ordinary income or if adequate business liquidity can be verified.  See liquidity worksheet for liquidity test.</t>
        </r>
      </text>
    </comment>
    <comment ref="C215" authorId="0" shapeId="0" xr:uid="{E8E6947C-645D-40ED-A6DF-21688FC47905}">
      <text>
        <r>
          <rPr>
            <b/>
            <sz val="9"/>
            <color indexed="81"/>
            <rFont val="Tahoma"/>
            <family val="2"/>
          </rPr>
          <t>Net Rental Income (Loss):</t>
        </r>
        <r>
          <rPr>
            <sz val="9"/>
            <color indexed="81"/>
            <rFont val="Tahoma"/>
            <family val="2"/>
          </rPr>
          <t xml:space="preserve">
Can be used if borrower has a history of receiving cash distributions of income consistent with the net rental income or if adequate business liquidity can be verified.  See liquidity worksheet for liquidity test.</t>
        </r>
      </text>
    </comment>
    <comment ref="C216" authorId="0" shapeId="0" xr:uid="{E6BDA1CF-F041-4312-8B3A-E5B6044F19AA}">
      <text>
        <r>
          <rPr>
            <b/>
            <sz val="9"/>
            <color indexed="81"/>
            <rFont val="Tahoma"/>
            <family val="2"/>
          </rPr>
          <t>Guaranteed Payments:</t>
        </r>
        <r>
          <rPr>
            <sz val="9"/>
            <color indexed="81"/>
            <rFont val="Tahoma"/>
            <family val="2"/>
          </rPr>
          <t xml:space="preserve">
Document two-year history of receipt.</t>
        </r>
      </text>
    </comment>
    <comment ref="C226" authorId="0" shapeId="0" xr:uid="{F164EB55-3614-4961-80B4-AAD57E9C669C}">
      <text>
        <r>
          <rPr>
            <b/>
            <sz val="9"/>
            <color indexed="81"/>
            <rFont val="Tahoma"/>
            <family val="2"/>
          </rPr>
          <t>Passthrough (Income) Loss from Other Partnerships:</t>
        </r>
        <r>
          <rPr>
            <sz val="9"/>
            <color indexed="81"/>
            <rFont val="Tahoma"/>
            <family val="2"/>
          </rPr>
          <t xml:space="preserve">
Subtract income reflected on line 4 unless proven to be recurring.  Add back in losses.</t>
        </r>
      </text>
    </comment>
    <comment ref="C227" authorId="0" shapeId="0" xr:uid="{26924349-A55A-406A-A11C-56DB798BF17A}">
      <text>
        <r>
          <rPr>
            <b/>
            <sz val="9"/>
            <color indexed="81"/>
            <rFont val="Tahoma"/>
            <family val="2"/>
          </rPr>
          <t>Deduct nonrecurring income:</t>
        </r>
        <r>
          <rPr>
            <sz val="9"/>
            <color indexed="81"/>
            <rFont val="Tahoma"/>
            <family val="2"/>
          </rPr>
          <t xml:space="preserve">
Other income should be subtracted unless it can be identified, there is a history of receipt, and it can be documented as ongoing.</t>
        </r>
      </text>
    </comment>
    <comment ref="C232" authorId="0" shapeId="0" xr:uid="{8D677562-9D7A-4D69-962E-709249A097C6}">
      <text>
        <r>
          <rPr>
            <b/>
            <sz val="9"/>
            <color indexed="81"/>
            <rFont val="Tahoma"/>
            <family val="2"/>
          </rPr>
          <t>Mortgages or Notes Payable in Less Than 1 Year:</t>
        </r>
        <r>
          <rPr>
            <sz val="9"/>
            <color indexed="81"/>
            <rFont val="Tahoma"/>
            <family val="2"/>
          </rPr>
          <t xml:space="preserve">
In general, deduct the amount in Column D, however, if you determine these obligations have a “rollover” clause or there are ample liquid assets to cover these obligations a deduction may not be necessary</t>
        </r>
      </text>
    </comment>
    <comment ref="C233" authorId="0" shapeId="0" xr:uid="{ACCDA771-CA20-4BCB-AAB3-F7B7966E9332}">
      <text>
        <r>
          <rPr>
            <b/>
            <sz val="9"/>
            <color indexed="81"/>
            <rFont val="Tahoma"/>
            <family val="2"/>
          </rPr>
          <t>Non-Deductible Travel and Entertainment Exclusion:</t>
        </r>
        <r>
          <rPr>
            <sz val="9"/>
            <color indexed="81"/>
            <rFont val="Tahoma"/>
            <family val="2"/>
          </rPr>
          <t xml:space="preserve">
In general, borrowers deduct 50% of these out-of-pocket costs on the tax return.  Adjust here for the other 50% by entering number found on Line 4b</t>
        </r>
      </text>
    </comment>
    <comment ref="C246" authorId="0" shapeId="0" xr:uid="{6AA648B2-8C4F-4ADF-932B-8060E74A0507}">
      <text>
        <r>
          <rPr>
            <b/>
            <sz val="9"/>
            <color indexed="81"/>
            <rFont val="Tahoma"/>
            <family val="2"/>
          </rPr>
          <t>Ordinary Income (Loss):</t>
        </r>
        <r>
          <rPr>
            <sz val="9"/>
            <color indexed="81"/>
            <rFont val="Tahoma"/>
            <family val="2"/>
          </rPr>
          <t xml:space="preserve">
Can be used if borrower has a history of receiving cash distributions of income (found on Line 19, code A) consistent with the ordinary income or if adequate business liquidity can be verified.  See liquidity worksheet for liquidity test.</t>
        </r>
      </text>
    </comment>
    <comment ref="C247" authorId="0" shapeId="0" xr:uid="{E7F984D7-F1F9-4FAB-B646-616F7C878CC3}">
      <text>
        <r>
          <rPr>
            <b/>
            <sz val="9"/>
            <color indexed="81"/>
            <rFont val="Tahoma"/>
            <family val="2"/>
          </rPr>
          <t>Net Rental Income (Loss):</t>
        </r>
        <r>
          <rPr>
            <sz val="9"/>
            <color indexed="81"/>
            <rFont val="Tahoma"/>
            <family val="2"/>
          </rPr>
          <t xml:space="preserve">
Can be used if borrower has a history of receiving cash distributions of income consistent with the net rental income or if adequate business liquidity can be verified.  See liquidity worksheet for liquidity test.</t>
        </r>
      </text>
    </comment>
    <comment ref="C248" authorId="0" shapeId="0" xr:uid="{FF07AE14-F277-41F1-8FF6-3FAE4E6674C2}">
      <text>
        <r>
          <rPr>
            <b/>
            <sz val="9"/>
            <color indexed="81"/>
            <rFont val="Tahoma"/>
            <family val="2"/>
          </rPr>
          <t>Guaranteed Payments:</t>
        </r>
        <r>
          <rPr>
            <sz val="9"/>
            <color indexed="81"/>
            <rFont val="Tahoma"/>
            <family val="2"/>
          </rPr>
          <t xml:space="preserve">
Document two-year history of receipt.</t>
        </r>
      </text>
    </comment>
    <comment ref="C258" authorId="0" shapeId="0" xr:uid="{C4963055-FDC3-4192-AFDB-CE88DAC50ACB}">
      <text>
        <r>
          <rPr>
            <b/>
            <sz val="9"/>
            <color indexed="81"/>
            <rFont val="Tahoma"/>
            <family val="2"/>
          </rPr>
          <t>Passthrough (Income) Loss from Other Partnerships:</t>
        </r>
        <r>
          <rPr>
            <sz val="9"/>
            <color indexed="81"/>
            <rFont val="Tahoma"/>
            <family val="2"/>
          </rPr>
          <t xml:space="preserve">
Subtract income reflected on line 4 unless proven to be recurring.  Add back in losses.</t>
        </r>
      </text>
    </comment>
    <comment ref="C259" authorId="0" shapeId="0" xr:uid="{9EF6E42C-C9AB-4AF8-8269-5570BF21629B}">
      <text>
        <r>
          <rPr>
            <b/>
            <sz val="9"/>
            <color indexed="81"/>
            <rFont val="Tahoma"/>
            <family val="2"/>
          </rPr>
          <t>Deduct nonrecurring income:</t>
        </r>
        <r>
          <rPr>
            <sz val="9"/>
            <color indexed="81"/>
            <rFont val="Tahoma"/>
            <family val="2"/>
          </rPr>
          <t xml:space="preserve">
Other income should be subtracted unless it can be identified, there is a history of receipt, and it can be documented as ongoing.</t>
        </r>
      </text>
    </comment>
    <comment ref="C264" authorId="0" shapeId="0" xr:uid="{9783592D-3272-41E5-977D-0DB977E051B5}">
      <text>
        <r>
          <rPr>
            <b/>
            <sz val="9"/>
            <color indexed="81"/>
            <rFont val="Tahoma"/>
            <family val="2"/>
          </rPr>
          <t>Mortgages or Notes Payable in Less Than 1 Year:</t>
        </r>
        <r>
          <rPr>
            <sz val="9"/>
            <color indexed="81"/>
            <rFont val="Tahoma"/>
            <family val="2"/>
          </rPr>
          <t xml:space="preserve">
In general, deduct the amount in Column D, however, if you determine these obligations have a “rollover” clause or there are ample liquid assets to cover these obligations a deduction may not be necessary</t>
        </r>
      </text>
    </comment>
    <comment ref="C265" authorId="0" shapeId="0" xr:uid="{83910CF8-843D-4B12-A5AA-8F4A492252E3}">
      <text>
        <r>
          <rPr>
            <b/>
            <sz val="9"/>
            <color indexed="81"/>
            <rFont val="Tahoma"/>
            <family val="2"/>
          </rPr>
          <t>Non-Deductible Travel and Entertainment Exclusion:</t>
        </r>
        <r>
          <rPr>
            <sz val="9"/>
            <color indexed="81"/>
            <rFont val="Tahoma"/>
            <family val="2"/>
          </rPr>
          <t xml:space="preserve">
In general, borrowers deduct 50% of these out-of-pocket costs on the tax return.  Adjust here for the other 50% by entering number found on Line 4b</t>
        </r>
      </text>
    </comment>
    <comment ref="C278" authorId="0" shapeId="0" xr:uid="{88696678-6E5F-415E-9FA2-37B129919FB1}">
      <text>
        <r>
          <rPr>
            <b/>
            <sz val="9"/>
            <color indexed="81"/>
            <rFont val="Tahoma"/>
            <family val="2"/>
          </rPr>
          <t>Ordinary Income (Loss):</t>
        </r>
        <r>
          <rPr>
            <sz val="9"/>
            <color indexed="81"/>
            <rFont val="Tahoma"/>
            <family val="2"/>
          </rPr>
          <t xml:space="preserve">
Can be used if borrower has a history of receiving cash distributions of income (found on Line 19, code A) consistent with the ordinary income or if adequate business liquidity can be verified.  See liquidity worksheet for liquidity test.</t>
        </r>
      </text>
    </comment>
    <comment ref="C279" authorId="0" shapeId="0" xr:uid="{312504CD-7F96-4439-9A4E-B4699983C7EC}">
      <text>
        <r>
          <rPr>
            <b/>
            <sz val="9"/>
            <color indexed="81"/>
            <rFont val="Tahoma"/>
            <family val="2"/>
          </rPr>
          <t>Net Rental Income (Loss):</t>
        </r>
        <r>
          <rPr>
            <sz val="9"/>
            <color indexed="81"/>
            <rFont val="Tahoma"/>
            <family val="2"/>
          </rPr>
          <t xml:space="preserve">
Can be used if borrower has a history of receiving cash distributions of income consistent with the net rental income or if adequate business liquidity can be verified.  See liquidity worksheet for liquidity test.</t>
        </r>
      </text>
    </comment>
    <comment ref="C280" authorId="0" shapeId="0" xr:uid="{C8D7D9CB-C818-4271-A3BF-D3012F361CAF}">
      <text>
        <r>
          <rPr>
            <b/>
            <sz val="9"/>
            <color indexed="81"/>
            <rFont val="Tahoma"/>
            <family val="2"/>
          </rPr>
          <t>Guaranteed Payments:</t>
        </r>
        <r>
          <rPr>
            <sz val="9"/>
            <color indexed="81"/>
            <rFont val="Tahoma"/>
            <family val="2"/>
          </rPr>
          <t xml:space="preserve">
Document two-year history of receipt.</t>
        </r>
      </text>
    </comment>
    <comment ref="C290" authorId="0" shapeId="0" xr:uid="{F5846258-7B89-4CA6-A691-B4F0DD136D01}">
      <text>
        <r>
          <rPr>
            <b/>
            <sz val="9"/>
            <color indexed="81"/>
            <rFont val="Tahoma"/>
            <family val="2"/>
          </rPr>
          <t>Passthrough (Income) Loss from Other Partnerships:</t>
        </r>
        <r>
          <rPr>
            <sz val="9"/>
            <color indexed="81"/>
            <rFont val="Tahoma"/>
            <family val="2"/>
          </rPr>
          <t xml:space="preserve">
Subtract income reflected on line 4 unless proven to be recurring.  Add back in losses.</t>
        </r>
      </text>
    </comment>
    <comment ref="C291" authorId="0" shapeId="0" xr:uid="{824D49FF-BCD6-4AA5-84F5-2809A9425607}">
      <text>
        <r>
          <rPr>
            <b/>
            <sz val="9"/>
            <color indexed="81"/>
            <rFont val="Tahoma"/>
            <family val="2"/>
          </rPr>
          <t>Deduct nonrecurring income:</t>
        </r>
        <r>
          <rPr>
            <sz val="9"/>
            <color indexed="81"/>
            <rFont val="Tahoma"/>
            <family val="2"/>
          </rPr>
          <t xml:space="preserve">
Other income should be subtracted unless it can be identified, there is a history of receipt, and it can be documented as ongoing.</t>
        </r>
      </text>
    </comment>
    <comment ref="C296" authorId="0" shapeId="0" xr:uid="{38A35087-8986-4A58-BE42-8E7EB3706B80}">
      <text>
        <r>
          <rPr>
            <b/>
            <sz val="9"/>
            <color indexed="81"/>
            <rFont val="Tahoma"/>
            <family val="2"/>
          </rPr>
          <t>Mortgages or Notes Payable in Less Than 1 Year:</t>
        </r>
        <r>
          <rPr>
            <sz val="9"/>
            <color indexed="81"/>
            <rFont val="Tahoma"/>
            <family val="2"/>
          </rPr>
          <t xml:space="preserve">
In general, deduct the amount in Column D, however, if you determine these obligations have a “rollover” clause or there are ample liquid assets to cover these obligations a deduction may not be necessary</t>
        </r>
      </text>
    </comment>
    <comment ref="C297" authorId="0" shapeId="0" xr:uid="{4C3BDB74-B9DE-466A-B2F2-B605DE483FE8}">
      <text>
        <r>
          <rPr>
            <b/>
            <sz val="9"/>
            <color indexed="81"/>
            <rFont val="Tahoma"/>
            <family val="2"/>
          </rPr>
          <t>Non-Deductible Travel and Entertainment Exclusion:</t>
        </r>
        <r>
          <rPr>
            <sz val="9"/>
            <color indexed="81"/>
            <rFont val="Tahoma"/>
            <family val="2"/>
          </rPr>
          <t xml:space="preserve">
In general, borrowers deduct 50% of these out-of-pocket costs on the tax return.  Adjust here for the other 50% by entering number found on Line 4b</t>
        </r>
      </text>
    </comment>
    <comment ref="C312" authorId="0" shapeId="0" xr:uid="{7BA20410-7440-42A3-839A-5DC81E9227AA}">
      <text>
        <r>
          <rPr>
            <b/>
            <sz val="9"/>
            <color indexed="81"/>
            <rFont val="Tahoma"/>
            <family val="2"/>
          </rPr>
          <t>Ordinary Income (Loss):</t>
        </r>
        <r>
          <rPr>
            <sz val="9"/>
            <color indexed="81"/>
            <rFont val="Tahoma"/>
            <family val="2"/>
          </rPr>
          <t xml:space="preserve">
Can be used if borrower has a history of receiving cash distributions of income (found on Line 16, code D) consistent with the ordinary income or if adequate business liquidity can be verified.  See liquidity worksheet for liquidity test.</t>
        </r>
      </text>
    </comment>
    <comment ref="C313" authorId="0" shapeId="0" xr:uid="{340D6336-FBCD-47AD-A65A-B328391EC7C8}">
      <text>
        <r>
          <rPr>
            <b/>
            <sz val="9"/>
            <color indexed="81"/>
            <rFont val="Tahoma"/>
            <family val="2"/>
          </rPr>
          <t>Net Rental Income (Loss):</t>
        </r>
        <r>
          <rPr>
            <sz val="9"/>
            <color indexed="81"/>
            <rFont val="Tahoma"/>
            <family val="2"/>
          </rPr>
          <t xml:space="preserve">
Can be used if borrower has a history of receiving cash distributions of income consistent with the net rental income or if adequate business liquidity can be verified.  See liquidity worksheet for liquidity test.</t>
        </r>
      </text>
    </comment>
    <comment ref="C323" authorId="0" shapeId="0" xr:uid="{5B2543EA-2067-42EB-98E7-F13E8DF6374E}">
      <text>
        <r>
          <rPr>
            <b/>
            <sz val="9"/>
            <color indexed="81"/>
            <rFont val="Tahoma"/>
            <family val="2"/>
          </rPr>
          <t>Deduct nonrecurring income:</t>
        </r>
        <r>
          <rPr>
            <sz val="9"/>
            <color indexed="81"/>
            <rFont val="Tahoma"/>
            <family val="2"/>
          </rPr>
          <t xml:space="preserve">
Other income should be subtracted unless it can be identified, there is a history of receipt, and it can be documented as ongoing.</t>
        </r>
      </text>
    </comment>
    <comment ref="C328" authorId="0" shapeId="0" xr:uid="{B044363D-5C3C-4C75-8B66-4488D8DA4261}">
      <text>
        <r>
          <rPr>
            <b/>
            <sz val="9"/>
            <color indexed="81"/>
            <rFont val="Tahoma"/>
            <family val="2"/>
          </rPr>
          <t>Mortgages or Notes Payable in Less Than 1 Year:</t>
        </r>
        <r>
          <rPr>
            <sz val="9"/>
            <color indexed="81"/>
            <rFont val="Tahoma"/>
            <family val="2"/>
          </rPr>
          <t xml:space="preserve">
In general, deduct the amount in Column D, however, if you determine these obligations have a “rollover” clause or there are ample liquid assets to cover these obligations a deduction may not be necessary</t>
        </r>
      </text>
    </comment>
    <comment ref="C329" authorId="0" shapeId="0" xr:uid="{87E7CE9C-5864-4044-A24D-E637B29E8B31}">
      <text>
        <r>
          <rPr>
            <b/>
            <sz val="9"/>
            <color indexed="81"/>
            <rFont val="Tahoma"/>
            <family val="2"/>
          </rPr>
          <t>Non-Deductible Travel and Entertainment Exclusion:</t>
        </r>
        <r>
          <rPr>
            <sz val="9"/>
            <color indexed="81"/>
            <rFont val="Tahoma"/>
            <family val="2"/>
          </rPr>
          <t xml:space="preserve">
In general, borrowers deduct 50% of these out-of-pocket costs on the tax return.  Adjust here for the other 50% by entering number found on Line 4b</t>
        </r>
      </text>
    </comment>
    <comment ref="C342" authorId="0" shapeId="0" xr:uid="{8F025404-A98B-42B7-B6E8-FD98BD9B88F9}">
      <text>
        <r>
          <rPr>
            <b/>
            <sz val="9"/>
            <color indexed="81"/>
            <rFont val="Tahoma"/>
            <family val="2"/>
          </rPr>
          <t>Ordinary Income (Loss):</t>
        </r>
        <r>
          <rPr>
            <sz val="9"/>
            <color indexed="81"/>
            <rFont val="Tahoma"/>
            <family val="2"/>
          </rPr>
          <t xml:space="preserve">
Can be used if borrower has a history of receiving cash distributions of income (found on Line 16, code D) consistent with the ordinary income or if adequate business liquidity can be verified.  See liquidity worksheet for liquidity test.</t>
        </r>
      </text>
    </comment>
    <comment ref="C343" authorId="0" shapeId="0" xr:uid="{532A6CC2-FFBD-4D85-8D9A-50E6F6E2822C}">
      <text>
        <r>
          <rPr>
            <b/>
            <sz val="9"/>
            <color indexed="81"/>
            <rFont val="Tahoma"/>
            <family val="2"/>
          </rPr>
          <t>Net Rental Income (Loss):</t>
        </r>
        <r>
          <rPr>
            <sz val="9"/>
            <color indexed="81"/>
            <rFont val="Tahoma"/>
            <family val="2"/>
          </rPr>
          <t xml:space="preserve">
Can be used if borrower has a history of receiving cash distributions of income consistent with the net rental income or if adequate business liquidity can be verified.  See liquidity worksheet for liquidity test.</t>
        </r>
      </text>
    </comment>
    <comment ref="C353" authorId="0" shapeId="0" xr:uid="{F5BEF56C-C33A-47F3-B24B-477621F6BBE4}">
      <text>
        <r>
          <rPr>
            <b/>
            <sz val="9"/>
            <color indexed="81"/>
            <rFont val="Tahoma"/>
            <family val="2"/>
          </rPr>
          <t>Deduct nonrecurring income:</t>
        </r>
        <r>
          <rPr>
            <sz val="9"/>
            <color indexed="81"/>
            <rFont val="Tahoma"/>
            <family val="2"/>
          </rPr>
          <t xml:space="preserve">
Other income should be subtracted unless it can be identified, there is a history of receipt, and it can be documented as ongoing.</t>
        </r>
      </text>
    </comment>
    <comment ref="C358" authorId="0" shapeId="0" xr:uid="{6B6ADB3C-4A28-49D4-B18C-84FA25DC72BC}">
      <text>
        <r>
          <rPr>
            <b/>
            <sz val="9"/>
            <color indexed="81"/>
            <rFont val="Tahoma"/>
            <family val="2"/>
          </rPr>
          <t>Mortgages or Notes Payable in Less Than 1 Year:</t>
        </r>
        <r>
          <rPr>
            <sz val="9"/>
            <color indexed="81"/>
            <rFont val="Tahoma"/>
            <family val="2"/>
          </rPr>
          <t xml:space="preserve">
In general, deduct the amount in Column D, however, if you determine these obligations have a “rollover” clause or there are ample liquid assets to cover these obligations a deduction may not be necessary</t>
        </r>
      </text>
    </comment>
    <comment ref="C359" authorId="0" shapeId="0" xr:uid="{CE844D9F-E60C-491D-B671-F90A05B2EAF3}">
      <text>
        <r>
          <rPr>
            <b/>
            <sz val="9"/>
            <color indexed="81"/>
            <rFont val="Tahoma"/>
            <family val="2"/>
          </rPr>
          <t>Non-Deductible Travel and Entertainment Exclusion:</t>
        </r>
        <r>
          <rPr>
            <sz val="9"/>
            <color indexed="81"/>
            <rFont val="Tahoma"/>
            <family val="2"/>
          </rPr>
          <t xml:space="preserve">
In general, borrowers deduct 50% of these out-of-pocket costs on the tax return.  Adjust here for the other 50% by entering number found on Line 4b</t>
        </r>
      </text>
    </comment>
    <comment ref="C372" authorId="0" shapeId="0" xr:uid="{8EB37645-7DEA-4F46-AE8F-785A701E833E}">
      <text>
        <r>
          <rPr>
            <b/>
            <sz val="9"/>
            <color indexed="81"/>
            <rFont val="Tahoma"/>
            <family val="2"/>
          </rPr>
          <t>Ordinary Income (Loss):</t>
        </r>
        <r>
          <rPr>
            <sz val="9"/>
            <color indexed="81"/>
            <rFont val="Tahoma"/>
            <family val="2"/>
          </rPr>
          <t xml:space="preserve">
Can be used if borrower has a history of receiving cash distributions of income (found on Line 16, code D) consistent with the ordinary income or if adequate business liquidity can be verified.  See liquidity worksheet for liquidity test.</t>
        </r>
      </text>
    </comment>
    <comment ref="C373" authorId="0" shapeId="0" xr:uid="{93475D91-D741-4FA0-82E7-C32643D08DF7}">
      <text>
        <r>
          <rPr>
            <b/>
            <sz val="9"/>
            <color indexed="81"/>
            <rFont val="Tahoma"/>
            <family val="2"/>
          </rPr>
          <t>Net Rental Income (Loss):</t>
        </r>
        <r>
          <rPr>
            <sz val="9"/>
            <color indexed="81"/>
            <rFont val="Tahoma"/>
            <family val="2"/>
          </rPr>
          <t xml:space="preserve">
Can be used if borrower has a history of receiving cash distributions of income consistent with the net rental income or if adequate business liquidity can be verified.  See liquidity worksheet for liquidity test.</t>
        </r>
      </text>
    </comment>
    <comment ref="C383" authorId="0" shapeId="0" xr:uid="{16EBDCD7-DBF3-4D7D-A849-1966DCDE4D29}">
      <text>
        <r>
          <rPr>
            <b/>
            <sz val="9"/>
            <color indexed="81"/>
            <rFont val="Tahoma"/>
            <family val="2"/>
          </rPr>
          <t>Deduct nonrecurring income:</t>
        </r>
        <r>
          <rPr>
            <sz val="9"/>
            <color indexed="81"/>
            <rFont val="Tahoma"/>
            <family val="2"/>
          </rPr>
          <t xml:space="preserve">
Other income should be subtracted unless it can be identified, there is a history of receipt, and it can be documented as ongoing.</t>
        </r>
      </text>
    </comment>
    <comment ref="C388" authorId="0" shapeId="0" xr:uid="{22C85186-0456-463E-AE1A-49B49CFA43A0}">
      <text>
        <r>
          <rPr>
            <b/>
            <sz val="9"/>
            <color indexed="81"/>
            <rFont val="Tahoma"/>
            <family val="2"/>
          </rPr>
          <t>Mortgages or Notes Payable in Less Than 1 Year:</t>
        </r>
        <r>
          <rPr>
            <sz val="9"/>
            <color indexed="81"/>
            <rFont val="Tahoma"/>
            <family val="2"/>
          </rPr>
          <t xml:space="preserve">
In general, deduct the amount in Column D, however, if you determine these obligations have a “rollover” clause or there are ample liquid assets to cover these obligations a deduction may not be necessary</t>
        </r>
      </text>
    </comment>
    <comment ref="C389" authorId="0" shapeId="0" xr:uid="{4BEEB852-77EE-43CB-85E6-9708FD05737E}">
      <text>
        <r>
          <rPr>
            <b/>
            <sz val="9"/>
            <color indexed="81"/>
            <rFont val="Tahoma"/>
            <family val="2"/>
          </rPr>
          <t>Non-Deductible Travel and Entertainment Exclusion:</t>
        </r>
        <r>
          <rPr>
            <sz val="9"/>
            <color indexed="81"/>
            <rFont val="Tahoma"/>
            <family val="2"/>
          </rPr>
          <t xml:space="preserve">
In general, borrowers deduct 50% of these out-of-pocket costs on the tax return.  Adjust here for the other 50% by entering number found on Line 4b</t>
        </r>
      </text>
    </comment>
    <comment ref="C402" authorId="0" shapeId="0" xr:uid="{0EF73441-DD71-4656-914A-43ADF060269B}">
      <text>
        <r>
          <rPr>
            <b/>
            <sz val="9"/>
            <color indexed="81"/>
            <rFont val="Tahoma"/>
            <family val="2"/>
          </rPr>
          <t>Ordinary Income (Loss):</t>
        </r>
        <r>
          <rPr>
            <sz val="9"/>
            <color indexed="81"/>
            <rFont val="Tahoma"/>
            <family val="2"/>
          </rPr>
          <t xml:space="preserve">
Can be used if borrower has a history of receiving cash distributions of income (found on Line 16, code D) consistent with the ordinary income or if adequate business liquidity can be verified.  See liquidity worksheet for liquidity test.</t>
        </r>
      </text>
    </comment>
    <comment ref="C403" authorId="0" shapeId="0" xr:uid="{2E8F7A6C-71DD-4A4B-ACFE-0CB5B90DE695}">
      <text>
        <r>
          <rPr>
            <b/>
            <sz val="9"/>
            <color indexed="81"/>
            <rFont val="Tahoma"/>
            <family val="2"/>
          </rPr>
          <t>Net Rental Income (Loss):</t>
        </r>
        <r>
          <rPr>
            <sz val="9"/>
            <color indexed="81"/>
            <rFont val="Tahoma"/>
            <family val="2"/>
          </rPr>
          <t xml:space="preserve">
Can be used if borrower has a history of receiving cash distributions of income consistent with the net rental income or if adequate business liquidity can be verified.  See liquidity worksheet for liquidity test.</t>
        </r>
      </text>
    </comment>
    <comment ref="C413" authorId="0" shapeId="0" xr:uid="{A6764B4B-B5DF-42D1-A191-B953DF20F3CB}">
      <text>
        <r>
          <rPr>
            <b/>
            <sz val="9"/>
            <color indexed="81"/>
            <rFont val="Tahoma"/>
            <family val="2"/>
          </rPr>
          <t>Deduct nonrecurring income:</t>
        </r>
        <r>
          <rPr>
            <sz val="9"/>
            <color indexed="81"/>
            <rFont val="Tahoma"/>
            <family val="2"/>
          </rPr>
          <t xml:space="preserve">
Other income should be subtracted unless it can be identified, there is a history of receipt, and it can be documented as ongoing.</t>
        </r>
      </text>
    </comment>
    <comment ref="C418" authorId="0" shapeId="0" xr:uid="{EB53C4A2-B369-40D4-B7E0-C31C4E667C6B}">
      <text>
        <r>
          <rPr>
            <b/>
            <sz val="9"/>
            <color indexed="81"/>
            <rFont val="Tahoma"/>
            <family val="2"/>
          </rPr>
          <t>Mortgages or Notes Payable in Less Than 1 Year:</t>
        </r>
        <r>
          <rPr>
            <sz val="9"/>
            <color indexed="81"/>
            <rFont val="Tahoma"/>
            <family val="2"/>
          </rPr>
          <t xml:space="preserve">
In general, deduct the amount in Column D, however, if you determine these obligations have a “rollover” clause or there are ample liquid assets to cover these obligations a deduction may not be necessary</t>
        </r>
      </text>
    </comment>
    <comment ref="C419" authorId="0" shapeId="0" xr:uid="{63778D99-3AC8-4F8C-898D-007E2443E958}">
      <text>
        <r>
          <rPr>
            <b/>
            <sz val="9"/>
            <color indexed="81"/>
            <rFont val="Tahoma"/>
            <family val="2"/>
          </rPr>
          <t>Non-Deductible Travel and Entertainment Exclusion:</t>
        </r>
        <r>
          <rPr>
            <sz val="9"/>
            <color indexed="81"/>
            <rFont val="Tahoma"/>
            <family val="2"/>
          </rPr>
          <t xml:space="preserve">
In general, borrowers deduct 50% of these out-of-pocket costs on the tax return.  Adjust here for the other 50% by entering number found on Line 4b</t>
        </r>
      </text>
    </comment>
    <comment ref="C432" authorId="0" shapeId="0" xr:uid="{5A51B01C-AC56-4B65-8505-6CC8267F4C34}">
      <text>
        <r>
          <rPr>
            <b/>
            <sz val="9"/>
            <color indexed="81"/>
            <rFont val="Tahoma"/>
            <family val="2"/>
          </rPr>
          <t>Ordinary Income (Loss):</t>
        </r>
        <r>
          <rPr>
            <sz val="9"/>
            <color indexed="81"/>
            <rFont val="Tahoma"/>
            <family val="2"/>
          </rPr>
          <t xml:space="preserve">
Can be used if borrower has a history of receiving cash distributions of income (found on Line 16, code D) consistent with the ordinary income or if adequate business liquidity can be verified.  See liquidity worksheet for liquidity test.</t>
        </r>
      </text>
    </comment>
    <comment ref="C433" authorId="0" shapeId="0" xr:uid="{9705469C-CC31-410B-A1A5-D096735518EB}">
      <text>
        <r>
          <rPr>
            <b/>
            <sz val="9"/>
            <color indexed="81"/>
            <rFont val="Tahoma"/>
            <family val="2"/>
          </rPr>
          <t>Net Rental Income (Loss):</t>
        </r>
        <r>
          <rPr>
            <sz val="9"/>
            <color indexed="81"/>
            <rFont val="Tahoma"/>
            <family val="2"/>
          </rPr>
          <t xml:space="preserve">
Can be used if borrower has a history of receiving cash distributions of income consistent with the net rental income or if adequate business liquidity can be verified.  See liquidity worksheet for liquidity test.</t>
        </r>
      </text>
    </comment>
    <comment ref="C443" authorId="0" shapeId="0" xr:uid="{B8BA84C3-24C3-49ED-BCAA-02B6084D8B0C}">
      <text>
        <r>
          <rPr>
            <b/>
            <sz val="9"/>
            <color indexed="81"/>
            <rFont val="Tahoma"/>
            <family val="2"/>
          </rPr>
          <t>Deduct nonrecurring income:</t>
        </r>
        <r>
          <rPr>
            <sz val="9"/>
            <color indexed="81"/>
            <rFont val="Tahoma"/>
            <family val="2"/>
          </rPr>
          <t xml:space="preserve">
Other income should be subtracted unless it can be identified, there is a history of receipt, and it can be documented as ongoing.</t>
        </r>
      </text>
    </comment>
    <comment ref="C448" authorId="0" shapeId="0" xr:uid="{E3FEE8D5-5C6C-492F-96DA-D3C28B1FC9EA}">
      <text>
        <r>
          <rPr>
            <b/>
            <sz val="9"/>
            <color indexed="81"/>
            <rFont val="Tahoma"/>
            <family val="2"/>
          </rPr>
          <t>Mortgages or Notes Payable in Less Than 1 Year:</t>
        </r>
        <r>
          <rPr>
            <sz val="9"/>
            <color indexed="81"/>
            <rFont val="Tahoma"/>
            <family val="2"/>
          </rPr>
          <t xml:space="preserve">
In general, deduct the amount in Column D, however, if you determine these obligations have a “rollover” clause or there are ample liquid assets to cover these obligations a deduction may not be necessary</t>
        </r>
      </text>
    </comment>
    <comment ref="C449" authorId="0" shapeId="0" xr:uid="{80CF98DD-E255-4553-A02D-D0AA70846FC5}">
      <text>
        <r>
          <rPr>
            <b/>
            <sz val="9"/>
            <color indexed="81"/>
            <rFont val="Tahoma"/>
            <family val="2"/>
          </rPr>
          <t>Non-Deductible Travel and Entertainment Exclusion:</t>
        </r>
        <r>
          <rPr>
            <sz val="9"/>
            <color indexed="81"/>
            <rFont val="Tahoma"/>
            <family val="2"/>
          </rPr>
          <t xml:space="preserve">
In general, borrowers deduct 50% of these out-of-pocket costs on the tax return.  Adjust here for the other 50% by entering number found on Line 4b</t>
        </r>
      </text>
    </comment>
    <comment ref="C462" authorId="0" shapeId="0" xr:uid="{C2A3CC12-2E70-4FE9-9695-4698A16785DE}">
      <text>
        <r>
          <rPr>
            <b/>
            <sz val="9"/>
            <color indexed="81"/>
            <rFont val="Tahoma"/>
            <family val="2"/>
          </rPr>
          <t>Ordinary Income (Loss):</t>
        </r>
        <r>
          <rPr>
            <sz val="9"/>
            <color indexed="81"/>
            <rFont val="Tahoma"/>
            <family val="2"/>
          </rPr>
          <t xml:space="preserve">
Can be used if borrower has a history of receiving cash distributions of income (found on Line 16, code D) consistent with the ordinary income or if adequate business liquidity can be verified.  See liquidity worksheet for liquidity test.</t>
        </r>
      </text>
    </comment>
    <comment ref="C463" authorId="0" shapeId="0" xr:uid="{21DDF914-F1D6-4C58-9ECC-6B956A3D5A14}">
      <text>
        <r>
          <rPr>
            <b/>
            <sz val="9"/>
            <color indexed="81"/>
            <rFont val="Tahoma"/>
            <family val="2"/>
          </rPr>
          <t>Net Rental Income (Loss):</t>
        </r>
        <r>
          <rPr>
            <sz val="9"/>
            <color indexed="81"/>
            <rFont val="Tahoma"/>
            <family val="2"/>
          </rPr>
          <t xml:space="preserve">
Can be used if borrower has a history of receiving cash distributions of income consistent with the net rental income or if adequate business liquidity can be verified.  See liquidity worksheet for liquidity test.</t>
        </r>
      </text>
    </comment>
    <comment ref="C473" authorId="0" shapeId="0" xr:uid="{5740A4A9-C95A-4FA0-B45F-9C7A03DA9E12}">
      <text>
        <r>
          <rPr>
            <b/>
            <sz val="9"/>
            <color indexed="81"/>
            <rFont val="Tahoma"/>
            <family val="2"/>
          </rPr>
          <t>Deduct nonrecurring income:</t>
        </r>
        <r>
          <rPr>
            <sz val="9"/>
            <color indexed="81"/>
            <rFont val="Tahoma"/>
            <family val="2"/>
          </rPr>
          <t xml:space="preserve">
Other income should be subtracted unless it can be identified, there is a history of receipt, and it can be documented as ongoing.</t>
        </r>
      </text>
    </comment>
    <comment ref="C478" authorId="0" shapeId="0" xr:uid="{0A2DD2CA-496B-489F-9883-F74B45C535FC}">
      <text>
        <r>
          <rPr>
            <b/>
            <sz val="9"/>
            <color indexed="81"/>
            <rFont val="Tahoma"/>
            <family val="2"/>
          </rPr>
          <t>Mortgages or Notes Payable in Less Than 1 Year:</t>
        </r>
        <r>
          <rPr>
            <sz val="9"/>
            <color indexed="81"/>
            <rFont val="Tahoma"/>
            <family val="2"/>
          </rPr>
          <t xml:space="preserve">
In general, deduct the amount in Column D, however, if you determine these obligations have a “rollover” clause or there are ample liquid assets to cover these obligations a deduction may not be necessary</t>
        </r>
      </text>
    </comment>
    <comment ref="C479" authorId="0" shapeId="0" xr:uid="{0F5913AF-F670-4CFA-B7C3-534EE17A4FB4}">
      <text>
        <r>
          <rPr>
            <b/>
            <sz val="9"/>
            <color indexed="81"/>
            <rFont val="Tahoma"/>
            <family val="2"/>
          </rPr>
          <t>Non-Deductible Travel and Entertainment Exclusion:</t>
        </r>
        <r>
          <rPr>
            <sz val="9"/>
            <color indexed="81"/>
            <rFont val="Tahoma"/>
            <family val="2"/>
          </rPr>
          <t xml:space="preserve">
In general, borrowers deduct 50% of these out-of-pocket costs on the tax return.  Adjust here for the other 50% by entering number found on Line 4b</t>
        </r>
      </text>
    </comment>
    <comment ref="C500" authorId="0" shapeId="0" xr:uid="{6694C505-B747-443A-8DE4-902712B2DB2F}">
      <text>
        <r>
          <rPr>
            <b/>
            <sz val="9"/>
            <color indexed="81"/>
            <rFont val="Tahoma"/>
            <family val="2"/>
          </rPr>
          <t>Deduct nonrecurring gains/add nonrecurring losses:</t>
        </r>
        <r>
          <rPr>
            <sz val="9"/>
            <color indexed="81"/>
            <rFont val="Tahoma"/>
            <family val="2"/>
          </rPr>
          <t xml:space="preserve">
Other gains should be subtracted unless there is a history of receipt, and it can be documented as ongoing.  Losses that have been documented as one-time expenses can be added back.</t>
        </r>
      </text>
    </comment>
    <comment ref="C501" authorId="0" shapeId="0" xr:uid="{54C970C5-4450-4993-85BD-F8AB3D1DCB75}">
      <text>
        <r>
          <rPr>
            <b/>
            <sz val="9"/>
            <color indexed="81"/>
            <rFont val="Tahoma"/>
            <family val="2"/>
          </rPr>
          <t>Deduct nonrecurring income:</t>
        </r>
        <r>
          <rPr>
            <sz val="9"/>
            <color indexed="81"/>
            <rFont val="Tahoma"/>
            <family val="2"/>
          </rPr>
          <t xml:space="preserve">
Other income should be subtracted unless it can be identified, there is a history of receipt, and it can be documented as ongoing.  </t>
        </r>
      </text>
    </comment>
    <comment ref="C505" authorId="0" shapeId="0" xr:uid="{1641AD1B-B8F0-475B-BD32-B698D81DDBDF}">
      <text>
        <r>
          <rPr>
            <b/>
            <sz val="9"/>
            <color indexed="81"/>
            <rFont val="Tahoma"/>
            <family val="2"/>
          </rPr>
          <t>Net Operating Loss and Special Deductions:</t>
        </r>
        <r>
          <rPr>
            <sz val="9"/>
            <color indexed="81"/>
            <rFont val="Tahoma"/>
            <family val="2"/>
          </rPr>
          <t xml:space="preserve">
NOL should only be added back if letter explaining nature of loss, date of loss, and amount of loss is obtained and there is an expectation that this type of event will not reoccur.</t>
        </r>
      </text>
    </comment>
    <comment ref="C506" authorId="0" shapeId="0" xr:uid="{AB56860F-917C-4392-81D8-30E96A956086}">
      <text>
        <r>
          <rPr>
            <b/>
            <sz val="9"/>
            <color indexed="81"/>
            <rFont val="Tahoma"/>
            <family val="2"/>
          </rPr>
          <t>Mortgages or Notes Payable in Less Than 1 Year:</t>
        </r>
        <r>
          <rPr>
            <sz val="9"/>
            <color indexed="81"/>
            <rFont val="Tahoma"/>
            <family val="2"/>
          </rPr>
          <t xml:space="preserve">
In general, deduct the amount in Column D, however, if you determine these obligations have a “rollover” clause or there are ample liquid assets to cover these obligations a deduction may not be necessary</t>
        </r>
      </text>
    </comment>
    <comment ref="C507" authorId="0" shapeId="0" xr:uid="{DCA81C0F-F360-4D22-BCAA-554D0ABB770F}">
      <text>
        <r>
          <rPr>
            <b/>
            <sz val="9"/>
            <color indexed="81"/>
            <rFont val="Tahoma"/>
            <family val="2"/>
          </rPr>
          <t>Non-Deductible Travel and Entertainment Exclusion:</t>
        </r>
        <r>
          <rPr>
            <sz val="9"/>
            <color indexed="81"/>
            <rFont val="Tahoma"/>
            <family val="2"/>
          </rPr>
          <t xml:space="preserve">
In most cases, the IRS allows the business to claim 50% for meals and travel.  You must account for the non-deductible portion by entering number on Schedule M-1, Line 5c.</t>
        </r>
      </text>
    </comment>
    <comment ref="C511" authorId="0" shapeId="0" xr:uid="{7C953CBA-EE1F-4014-BF65-9824A026E87F}">
      <text>
        <r>
          <rPr>
            <b/>
            <sz val="9"/>
            <color indexed="81"/>
            <rFont val="Tahoma"/>
            <family val="2"/>
          </rPr>
          <t>Reminder:</t>
        </r>
        <r>
          <rPr>
            <sz val="9"/>
            <color indexed="81"/>
            <rFont val="Tahoma"/>
            <family val="2"/>
          </rPr>
          <t xml:space="preserve">
Include corporate earnings in cash flow only if the borrower is a 100% owner, as generally required by investors.</t>
        </r>
      </text>
    </comment>
    <comment ref="C512" authorId="0" shapeId="0" xr:uid="{124DE277-7407-4922-8E4E-AEA9E19CAF03}">
      <text>
        <r>
          <rPr>
            <b/>
            <sz val="9"/>
            <color indexed="81"/>
            <rFont val="Tahoma"/>
            <family val="2"/>
          </rPr>
          <t>Dividends Paid to Borrower:</t>
        </r>
        <r>
          <rPr>
            <sz val="9"/>
            <color indexed="81"/>
            <rFont val="Tahoma"/>
            <family val="2"/>
          </rPr>
          <t xml:space="preserve">
Dividends paid to borrower as reflected on Schedule M-2 of Form 1120 will be reported on Schedule B of Form 1040 and should be deducted from the business cash flow if previously included in Schedule B cash flow to avoid double counting this income.</t>
        </r>
      </text>
    </comment>
    <comment ref="C527" authorId="0" shapeId="0" xr:uid="{0B6FFDDE-6C5C-463B-8EAB-32BA3027F560}">
      <text>
        <r>
          <rPr>
            <b/>
            <sz val="9"/>
            <color indexed="81"/>
            <rFont val="Tahoma"/>
            <family val="2"/>
          </rPr>
          <t>Deduct nonrecurring gains/add nonrecurring losses:</t>
        </r>
        <r>
          <rPr>
            <sz val="9"/>
            <color indexed="81"/>
            <rFont val="Tahoma"/>
            <family val="2"/>
          </rPr>
          <t xml:space="preserve">
Other gains should be subtracted unless there is a history of receipt, and it can be documented as ongoing.  Losses that have been documented as one-time expenses can be added back.</t>
        </r>
      </text>
    </comment>
    <comment ref="C528" authorId="0" shapeId="0" xr:uid="{9C4990F1-0F3F-43FA-8FF3-38596664E386}">
      <text>
        <r>
          <rPr>
            <b/>
            <sz val="9"/>
            <color indexed="81"/>
            <rFont val="Tahoma"/>
            <family val="2"/>
          </rPr>
          <t>Deduct nonrecurring income:</t>
        </r>
        <r>
          <rPr>
            <sz val="9"/>
            <color indexed="81"/>
            <rFont val="Tahoma"/>
            <family val="2"/>
          </rPr>
          <t xml:space="preserve">
Other income should be subtracted unless it can be identified, there is a history of receipt, and it can be documented as ongoing.  </t>
        </r>
      </text>
    </comment>
    <comment ref="C532" authorId="0" shapeId="0" xr:uid="{C70E9D1C-2437-4B60-9C28-76FCCFF8F499}">
      <text>
        <r>
          <rPr>
            <b/>
            <sz val="9"/>
            <color indexed="81"/>
            <rFont val="Tahoma"/>
            <family val="2"/>
          </rPr>
          <t>Net Operating Loss and Special Deductions:</t>
        </r>
        <r>
          <rPr>
            <sz val="9"/>
            <color indexed="81"/>
            <rFont val="Tahoma"/>
            <family val="2"/>
          </rPr>
          <t xml:space="preserve">
NOL should only be added back if letter explaining nature of loss, date of loss, and amount of loss is obtained and there is an expectation that this type of event will not reoccur.</t>
        </r>
      </text>
    </comment>
    <comment ref="C533" authorId="0" shapeId="0" xr:uid="{93048172-F727-463C-8829-BCFB3B7FBEF6}">
      <text>
        <r>
          <rPr>
            <b/>
            <sz val="9"/>
            <color indexed="81"/>
            <rFont val="Tahoma"/>
            <family val="2"/>
          </rPr>
          <t>Mortgages or Notes Payable in Less Than 1 Year:</t>
        </r>
        <r>
          <rPr>
            <sz val="9"/>
            <color indexed="81"/>
            <rFont val="Tahoma"/>
            <family val="2"/>
          </rPr>
          <t xml:space="preserve">
In general, deduct the amount in Column D, however, if you determine these obligations have a “rollover” clause or there are ample liquid assets to cover these obligations a deduction may not be necessary</t>
        </r>
      </text>
    </comment>
    <comment ref="C534" authorId="0" shapeId="0" xr:uid="{EDB8A509-F784-428D-8CEF-F1BE40D26C70}">
      <text>
        <r>
          <rPr>
            <b/>
            <sz val="9"/>
            <color indexed="81"/>
            <rFont val="Tahoma"/>
            <family val="2"/>
          </rPr>
          <t>Non-Deductible Travel and Entertainment Exclusion:</t>
        </r>
        <r>
          <rPr>
            <sz val="9"/>
            <color indexed="81"/>
            <rFont val="Tahoma"/>
            <family val="2"/>
          </rPr>
          <t xml:space="preserve">
In most cases, the IRS allows the business to claim 50% for meals and travel.  You must account for the non-deductible portion by entering number on Schedule M-1, Line 5c.</t>
        </r>
      </text>
    </comment>
    <comment ref="C538" authorId="0" shapeId="0" xr:uid="{A9C67157-40ED-4632-BC15-FA6E8C74C458}">
      <text>
        <r>
          <rPr>
            <b/>
            <sz val="9"/>
            <color indexed="81"/>
            <rFont val="Tahoma"/>
            <family val="2"/>
          </rPr>
          <t>Reminder:</t>
        </r>
        <r>
          <rPr>
            <sz val="9"/>
            <color indexed="81"/>
            <rFont val="Tahoma"/>
            <family val="2"/>
          </rPr>
          <t xml:space="preserve">
Include corporate earnings in cash flow only if the borrower is a 100% owner, as generally required by investors.</t>
        </r>
      </text>
    </comment>
    <comment ref="C539" authorId="0" shapeId="0" xr:uid="{C9B2E41A-7454-49DB-956A-2A54560A83AC}">
      <text>
        <r>
          <rPr>
            <b/>
            <sz val="9"/>
            <color indexed="81"/>
            <rFont val="Tahoma"/>
            <family val="2"/>
          </rPr>
          <t>Dividends Paid to Borrower:</t>
        </r>
        <r>
          <rPr>
            <sz val="9"/>
            <color indexed="81"/>
            <rFont val="Tahoma"/>
            <family val="2"/>
          </rPr>
          <t xml:space="preserve">
Dividends paid to borrower as reflected on Schedule M-2 of Form 1120 will be reported on Schedule B of Form 1040 and should be deducted from the business cash flow if previously included in Schedule B cash flow to avoid double counting this income.</t>
        </r>
      </text>
    </comment>
    <comment ref="C554" authorId="0" shapeId="0" xr:uid="{FD0DE7C9-E3FD-428D-A3FA-6D701C09627D}">
      <text>
        <r>
          <rPr>
            <b/>
            <sz val="9"/>
            <color indexed="81"/>
            <rFont val="Tahoma"/>
            <family val="2"/>
          </rPr>
          <t>Deduct nonrecurring gains/add nonrecurring losses:</t>
        </r>
        <r>
          <rPr>
            <sz val="9"/>
            <color indexed="81"/>
            <rFont val="Tahoma"/>
            <family val="2"/>
          </rPr>
          <t xml:space="preserve">
Other gains should be subtracted unless there is a history of receipt, and it can be documented as ongoing.  Losses that have been documented as one-time expenses can be added back.</t>
        </r>
      </text>
    </comment>
    <comment ref="C555" authorId="0" shapeId="0" xr:uid="{BB65FDD1-451F-4859-9B09-10CE4AB3F35E}">
      <text>
        <r>
          <rPr>
            <b/>
            <sz val="9"/>
            <color indexed="81"/>
            <rFont val="Tahoma"/>
            <family val="2"/>
          </rPr>
          <t>Deduct nonrecurring income:</t>
        </r>
        <r>
          <rPr>
            <sz val="9"/>
            <color indexed="81"/>
            <rFont val="Tahoma"/>
            <family val="2"/>
          </rPr>
          <t xml:space="preserve">
Other income should be subtracted unless it can be identified, there is a history of receipt, and it can be documented as ongoing.  </t>
        </r>
      </text>
    </comment>
    <comment ref="C559" authorId="0" shapeId="0" xr:uid="{4EC0ACB2-8E37-412C-9B82-351A9DF60C65}">
      <text>
        <r>
          <rPr>
            <b/>
            <sz val="9"/>
            <color indexed="81"/>
            <rFont val="Tahoma"/>
            <family val="2"/>
          </rPr>
          <t>Net Operating Loss and Special Deductions:</t>
        </r>
        <r>
          <rPr>
            <sz val="9"/>
            <color indexed="81"/>
            <rFont val="Tahoma"/>
            <family val="2"/>
          </rPr>
          <t xml:space="preserve">
NOL should only be added back if letter explaining nature of loss, date of loss, and amount of loss is obtained and there is an expectation that this type of event will not reoccur.</t>
        </r>
      </text>
    </comment>
    <comment ref="C560" authorId="0" shapeId="0" xr:uid="{8E825650-0127-41C6-B7A5-E62D01C31AF8}">
      <text>
        <r>
          <rPr>
            <b/>
            <sz val="9"/>
            <color indexed="81"/>
            <rFont val="Tahoma"/>
            <family val="2"/>
          </rPr>
          <t>Mortgages or Notes Payable in Less Than 1 Year:</t>
        </r>
        <r>
          <rPr>
            <sz val="9"/>
            <color indexed="81"/>
            <rFont val="Tahoma"/>
            <family val="2"/>
          </rPr>
          <t xml:space="preserve">
In general, deduct the amount in Column D, however, if you determine these obligations have a “rollover” clause or there are ample liquid assets to cover these obligations a deduction may not be necessary</t>
        </r>
      </text>
    </comment>
    <comment ref="C561" authorId="0" shapeId="0" xr:uid="{AC7E6B2F-312D-419A-9029-D234E672A08E}">
      <text>
        <r>
          <rPr>
            <b/>
            <sz val="9"/>
            <color indexed="81"/>
            <rFont val="Tahoma"/>
            <family val="2"/>
          </rPr>
          <t>Non-Deductible Travel and Entertainment Exclusion:</t>
        </r>
        <r>
          <rPr>
            <sz val="9"/>
            <color indexed="81"/>
            <rFont val="Tahoma"/>
            <family val="2"/>
          </rPr>
          <t xml:space="preserve">
In most cases, the IRS allows the business to claim 50% for meals and travel.  You must account for the non-deductible portion by entering number on Schedule M-1, Line 5c.</t>
        </r>
      </text>
    </comment>
    <comment ref="C565" authorId="0" shapeId="0" xr:uid="{ED362644-F43B-4798-89BB-E00D3D3FBB1B}">
      <text>
        <r>
          <rPr>
            <b/>
            <sz val="9"/>
            <color indexed="81"/>
            <rFont val="Tahoma"/>
            <family val="2"/>
          </rPr>
          <t>Reminder:</t>
        </r>
        <r>
          <rPr>
            <sz val="9"/>
            <color indexed="81"/>
            <rFont val="Tahoma"/>
            <family val="2"/>
          </rPr>
          <t xml:space="preserve">
Include corporate earnings in cash flow only if the borrower is a 100% owner, as generally required by investors.</t>
        </r>
      </text>
    </comment>
    <comment ref="C566" authorId="0" shapeId="0" xr:uid="{CB56A179-19F5-4916-B853-D54ECF2D88B1}">
      <text>
        <r>
          <rPr>
            <b/>
            <sz val="9"/>
            <color indexed="81"/>
            <rFont val="Tahoma"/>
            <family val="2"/>
          </rPr>
          <t>Dividends Paid to Borrower:</t>
        </r>
        <r>
          <rPr>
            <sz val="9"/>
            <color indexed="81"/>
            <rFont val="Tahoma"/>
            <family val="2"/>
          </rPr>
          <t xml:space="preserve">
Dividends paid to borrower as reflected on Schedule M-2 of Form 1120 will be reported on Schedule B of Form 1040 and should be deducted from the business cash flow if previously included in Schedule B cash flow to avoid double counting this income.</t>
        </r>
      </text>
    </comment>
  </commentList>
</comments>
</file>

<file path=xl/sharedStrings.xml><?xml version="1.0" encoding="utf-8"?>
<sst xmlns="http://schemas.openxmlformats.org/spreadsheetml/2006/main" count="4127" uniqueCount="599">
  <si>
    <t xml:space="preserve">DATE:  </t>
  </si>
  <si>
    <t>LKP_YEAR</t>
  </si>
  <si>
    <t>X</t>
  </si>
  <si>
    <t>SUBTOTAL</t>
  </si>
  <si>
    <t>HAS_DATA_PROMPT</t>
  </si>
  <si>
    <t>HAS_DATA_DEL</t>
  </si>
  <si>
    <t>MILEAGE_RATE</t>
  </si>
  <si>
    <t>= Total Mileage Depreciation</t>
  </si>
  <si>
    <t>*Miles</t>
  </si>
  <si>
    <t>(</t>
  </si>
  <si>
    <t>)</t>
  </si>
  <si>
    <t>Name:</t>
  </si>
  <si>
    <t>SCHEDULE C - SOLE PROPRIETORSHIP</t>
  </si>
  <si>
    <t>SCHEDULE D - CAPITAL GAINS AND LOSSES</t>
  </si>
  <si>
    <t>SCHEDULE F - FARM INCOME</t>
  </si>
  <si>
    <t>Partnership Cash Flow</t>
  </si>
  <si>
    <t>Multiplied by Ownership Percentage</t>
  </si>
  <si>
    <t>S Corporation Cash Flow</t>
  </si>
  <si>
    <t>Shareholder’s Total Share of Income (Loss)</t>
  </si>
  <si>
    <t>Cash Flow Analysis Summary</t>
  </si>
  <si>
    <t>PERSONAL CASH FLOW SUBTOTALS:</t>
  </si>
  <si>
    <t>Total
No. of
Months</t>
  </si>
  <si>
    <t>Qualifying Income</t>
  </si>
  <si>
    <t>p.1</t>
  </si>
  <si>
    <t>LKP_MONTHS</t>
  </si>
  <si>
    <t>Subtotal</t>
  </si>
  <si>
    <t># mo.</t>
  </si>
  <si>
    <t>IV</t>
  </si>
  <si>
    <t>Schedule B</t>
  </si>
  <si>
    <t>V</t>
  </si>
  <si>
    <t>VI</t>
  </si>
  <si>
    <t>Schedule D</t>
  </si>
  <si>
    <t>Schedule E</t>
  </si>
  <si>
    <t>Schedule F</t>
  </si>
  <si>
    <t>VIII</t>
  </si>
  <si>
    <t>IX</t>
  </si>
  <si>
    <t>p.2</t>
  </si>
  <si>
    <t>PARTNERSHIP &amp; S CORPORATION CASH FLOW SUBTOTALS:</t>
  </si>
  <si>
    <t>XI</t>
  </si>
  <si>
    <t>p.3</t>
  </si>
  <si>
    <t>CORPORATION CASH FLOW SUBTOTALS:</t>
  </si>
  <si>
    <t>XIV</t>
  </si>
  <si>
    <t>Average Monthly Cash Flow (Total)</t>
  </si>
  <si>
    <t>SUMM_DATA_VALIDATION</t>
  </si>
  <si>
    <t xml:space="preserve">Schedule C   </t>
  </si>
  <si>
    <t xml:space="preserve">K-1 (Form 1065)   </t>
  </si>
  <si>
    <t xml:space="preserve">Form 1065   </t>
  </si>
  <si>
    <t>L</t>
  </si>
  <si>
    <t>TITLE</t>
  </si>
  <si>
    <t>DATA_ROW</t>
  </si>
  <si>
    <t>SECTION</t>
  </si>
  <si>
    <t>NA</t>
  </si>
  <si>
    <t>strMyDataCols</t>
  </si>
  <si>
    <t>strMyDataRows</t>
  </si>
  <si>
    <t>strMyExtra</t>
  </si>
  <si>
    <t>SUMM_ROW</t>
  </si>
  <si>
    <t>2,3,4</t>
  </si>
  <si>
    <t>iMyRefRow</t>
  </si>
  <si>
    <t>NONE</t>
  </si>
  <si>
    <t>H,K</t>
  </si>
  <si>
    <t>2,3</t>
  </si>
  <si>
    <t>2,3,4,5,6,7,8,11</t>
  </si>
  <si>
    <t>D0</t>
  </si>
  <si>
    <t>iThisRow</t>
  </si>
  <si>
    <t>iSummRefRow</t>
  </si>
  <si>
    <t>M</t>
  </si>
  <si>
    <t>SCHEDULE B - INTEREST AND DIVIDENDS FROM SELF-EMPLOYMENT</t>
  </si>
  <si>
    <t>SCHEDULE K-1</t>
  </si>
  <si>
    <t>FORM 1065</t>
  </si>
  <si>
    <t>Partnership Subtotal</t>
  </si>
  <si>
    <t>4,5,6</t>
  </si>
  <si>
    <t>SCHEDULE E - SUPPLEMENTAL INCOME AND LOSS</t>
  </si>
  <si>
    <t>FORM 1120S</t>
  </si>
  <si>
    <t>K-1</t>
  </si>
  <si>
    <t>W2 Wages</t>
  </si>
  <si>
    <t>Form 1120S</t>
  </si>
  <si>
    <t>4,5</t>
  </si>
  <si>
    <t>S Corporation Subtotal</t>
  </si>
  <si>
    <t>FORM W-2</t>
  </si>
  <si>
    <t>FORM 1120</t>
  </si>
  <si>
    <t>Corporation’s Total Share of Income (Loss)</t>
  </si>
  <si>
    <t>For corporate earnings to be included in cash flow, investors generally require the borrower is a 100% owner.</t>
  </si>
  <si>
    <t>H685</t>
  </si>
  <si>
    <t>K685</t>
  </si>
  <si>
    <t>PROC_ADDR</t>
  </si>
  <si>
    <t>H716</t>
  </si>
  <si>
    <t>K716</t>
  </si>
  <si>
    <t>H747</t>
  </si>
  <si>
    <t>K747</t>
  </si>
  <si>
    <t>TRUE_MSG</t>
  </si>
  <si>
    <t>PROC_FORMULA</t>
  </si>
  <si>
    <t>=IF(AND(ISNUMBER(_MY_VAL_),_MY_VAL_&lt;&gt;1,_MY_VAL_&lt;&gt;100),TRUE,FALSE)</t>
  </si>
  <si>
    <t>Corporation Cash Flow</t>
  </si>
  <si>
    <t>Partner's Total Share of Income (Loss)</t>
  </si>
  <si>
    <t>E0</t>
  </si>
  <si>
    <t>4,5,11,15,16,17,18,19,20,21,25</t>
  </si>
  <si>
    <t>4,8,9,10,11,12,13,14,15,16,17,18,22,23</t>
  </si>
  <si>
    <t>15,16,17,18,19,20,21,25</t>
  </si>
  <si>
    <t>8,9,10,11,12,13,14,15,16,17,18,22,23</t>
  </si>
  <si>
    <t>VIRGIN_WBK</t>
  </si>
  <si>
    <t>10a</t>
  </si>
  <si>
    <t>10b</t>
  </si>
  <si>
    <t>W-2 Wages</t>
  </si>
  <si>
    <t>16,17,18,19,20,21,22,23,27</t>
  </si>
  <si>
    <t>4,5,6,12,16,17,18,19,20,21,22,23,27</t>
  </si>
  <si>
    <t>Evaluate business income as required by your investor.</t>
  </si>
  <si>
    <t>PARTNERSHIP                                                                 Name:</t>
  </si>
  <si>
    <t>S CORPORATION                                                            Name:</t>
  </si>
  <si>
    <t>CORPORATION                                                               Name:</t>
  </si>
  <si>
    <t>Depreciation: LINE 14</t>
  </si>
  <si>
    <t>Depreciation (FORM 8825): LINE 14</t>
  </si>
  <si>
    <t>NUM</t>
  </si>
  <si>
    <t>BASE_PATH</t>
  </si>
  <si>
    <t>FILE_NAME</t>
  </si>
  <si>
    <t>ADDTL</t>
  </si>
  <si>
    <t>view=fit</t>
  </si>
  <si>
    <t>EXAMPLE_URL</t>
  </si>
  <si>
    <r>
      <t>Net Profit (Loss):</t>
    </r>
    <r>
      <rPr>
        <b/>
        <sz val="11"/>
        <color rgb="FF70AD47"/>
        <rFont val="Calibri"/>
        <family val="2"/>
        <scheme val="minor"/>
      </rPr>
      <t xml:space="preserve"> LINE 31</t>
    </r>
  </si>
  <si>
    <r>
      <t>Depletion:</t>
    </r>
    <r>
      <rPr>
        <b/>
        <sz val="11"/>
        <color rgb="FF70AD47"/>
        <rFont val="Calibri"/>
        <family val="2"/>
        <scheme val="minor"/>
      </rPr>
      <t xml:space="preserve"> LINE 12</t>
    </r>
  </si>
  <si>
    <r>
      <t>Depreciation:</t>
    </r>
    <r>
      <rPr>
        <b/>
        <sz val="11"/>
        <color rgb="FF70AD47"/>
        <rFont val="Calibri"/>
        <family val="2"/>
        <scheme val="minor"/>
      </rPr>
      <t xml:space="preserve"> LINE 13</t>
    </r>
  </si>
  <si>
    <r>
      <t>Business Use of Home:</t>
    </r>
    <r>
      <rPr>
        <b/>
        <sz val="11"/>
        <color rgb="FF70AD47"/>
        <rFont val="Calibri"/>
        <family val="2"/>
        <scheme val="minor"/>
      </rPr>
      <t xml:space="preserve"> LINE 30</t>
    </r>
  </si>
  <si>
    <r>
      <t>Amortization/Casualty Loss (only if noted):</t>
    </r>
    <r>
      <rPr>
        <b/>
        <sz val="11"/>
        <color rgb="FF70AD47"/>
        <rFont val="Calibri"/>
        <family val="2"/>
        <scheme val="minor"/>
      </rPr>
      <t xml:space="preserve"> page 2, part V</t>
    </r>
  </si>
  <si>
    <r>
      <t>Recurring Capital Gains (Loss):</t>
    </r>
    <r>
      <rPr>
        <b/>
        <sz val="11"/>
        <color rgb="FF70AD47"/>
        <rFont val="Calibri"/>
        <family val="2"/>
        <scheme val="minor"/>
      </rPr>
      <t xml:space="preserve"> page 2, LINE 16 (details on FORM 8949)</t>
    </r>
  </si>
  <si>
    <r>
      <t>Royalty Income (Loss):</t>
    </r>
    <r>
      <rPr>
        <b/>
        <sz val="11"/>
        <color rgb="FF70AD47"/>
        <rFont val="Calibri"/>
        <family val="2"/>
        <scheme val="minor"/>
      </rPr>
      <t xml:space="preserve"> LINE 4</t>
    </r>
  </si>
  <si>
    <r>
      <t>Total Expenses:</t>
    </r>
    <r>
      <rPr>
        <b/>
        <sz val="11"/>
        <color rgb="FF70AD47"/>
        <rFont val="Calibri"/>
        <family val="2"/>
        <scheme val="minor"/>
      </rPr>
      <t xml:space="preserve"> LINE 20</t>
    </r>
  </si>
  <si>
    <r>
      <t>Net Profit (Loss):</t>
    </r>
    <r>
      <rPr>
        <b/>
        <sz val="11"/>
        <color rgb="FF70AD47"/>
        <rFont val="Calibri"/>
        <family val="2"/>
        <scheme val="minor"/>
      </rPr>
      <t xml:space="preserve"> LINE 34</t>
    </r>
  </si>
  <si>
    <r>
      <t>Non-Tax Portion Ongoing Co-op &amp; CCC Pmts:</t>
    </r>
    <r>
      <rPr>
        <b/>
        <sz val="11"/>
        <color rgb="FF70AD47"/>
        <rFont val="Calibri"/>
        <family val="2"/>
        <scheme val="minor"/>
      </rPr>
      <t xml:space="preserve"> LINES 3a minus b through 6a minus b</t>
    </r>
  </si>
  <si>
    <r>
      <t>Depreciation:</t>
    </r>
    <r>
      <rPr>
        <b/>
        <sz val="11"/>
        <color rgb="FF70AD47"/>
        <rFont val="Calibri"/>
        <family val="2"/>
        <scheme val="minor"/>
      </rPr>
      <t xml:space="preserve"> LINE 14 </t>
    </r>
  </si>
  <si>
    <r>
      <t>Amortization/Casualty Loss/Depletion (only if noted):</t>
    </r>
    <r>
      <rPr>
        <b/>
        <sz val="11"/>
        <color rgb="FF70AD47"/>
        <rFont val="Calibri"/>
        <family val="2"/>
        <scheme val="minor"/>
      </rPr>
      <t xml:space="preserve"> LINE 32</t>
    </r>
  </si>
  <si>
    <r>
      <t>Business Use of Home (only if noted):</t>
    </r>
    <r>
      <rPr>
        <b/>
        <sz val="11"/>
        <color rgb="FF70AD47"/>
        <rFont val="Calibri"/>
        <family val="2"/>
        <scheme val="minor"/>
      </rPr>
      <t xml:space="preserve"> LINE 32</t>
    </r>
  </si>
  <si>
    <r>
      <t>Ordinary Income (Loss):</t>
    </r>
    <r>
      <rPr>
        <b/>
        <sz val="11"/>
        <color rgb="FF70AD47"/>
        <rFont val="Calibri"/>
        <family val="2"/>
        <scheme val="minor"/>
      </rPr>
      <t xml:space="preserve"> LINE 1  If &gt; Distributions see additional requirements.</t>
    </r>
  </si>
  <si>
    <r>
      <t>Net Rental Income (Loss):</t>
    </r>
    <r>
      <rPr>
        <b/>
        <sz val="11"/>
        <color rgb="FF70AD47"/>
        <rFont val="Calibri"/>
        <family val="2"/>
        <scheme val="minor"/>
      </rPr>
      <t xml:space="preserve"> LINES 2 &amp; 3  If &gt; Distributions see additional requirements.</t>
    </r>
  </si>
  <si>
    <r>
      <t>Wages:</t>
    </r>
    <r>
      <rPr>
        <b/>
        <sz val="11"/>
        <color rgb="FF70AD47"/>
        <rFont val="Calibri"/>
        <family val="2"/>
        <scheme val="minor"/>
      </rPr>
      <t xml:space="preserve"> W-2, Box 5 (in general)</t>
    </r>
  </si>
  <si>
    <r>
      <t>Passthrough (Income) Loss from Other Partnerships:</t>
    </r>
    <r>
      <rPr>
        <b/>
        <sz val="11"/>
        <color rgb="FF70AD47"/>
        <rFont val="Calibri"/>
        <family val="2"/>
        <scheme val="minor"/>
      </rPr>
      <t xml:space="preserve"> LINE 4 </t>
    </r>
  </si>
  <si>
    <r>
      <t>Depreciation:</t>
    </r>
    <r>
      <rPr>
        <b/>
        <sz val="11"/>
        <color rgb="FF70AD47"/>
        <rFont val="Calibri"/>
        <family val="2"/>
        <scheme val="minor"/>
      </rPr>
      <t xml:space="preserve"> LINE 16c</t>
    </r>
  </si>
  <si>
    <r>
      <t>Depreciation (FORM 8825):</t>
    </r>
    <r>
      <rPr>
        <b/>
        <sz val="11"/>
        <color rgb="FF70AD47"/>
        <rFont val="Calibri"/>
        <family val="2"/>
        <scheme val="minor"/>
      </rPr>
      <t xml:space="preserve"> LINE 14</t>
    </r>
  </si>
  <si>
    <r>
      <t>Depletion:</t>
    </r>
    <r>
      <rPr>
        <b/>
        <sz val="11"/>
        <color rgb="FF70AD47"/>
        <rFont val="Calibri"/>
        <family val="2"/>
        <scheme val="minor"/>
      </rPr>
      <t xml:space="preserve"> LINE 17</t>
    </r>
  </si>
  <si>
    <r>
      <t>Mortgages or Notes Payable in Less Than 1 Year:</t>
    </r>
    <r>
      <rPr>
        <b/>
        <sz val="11"/>
        <color rgb="FF70AD47"/>
        <rFont val="Calibri"/>
        <family val="2"/>
        <scheme val="minor"/>
      </rPr>
      <t xml:space="preserve"> Schedule L, LINE 16, Column d</t>
    </r>
  </si>
  <si>
    <r>
      <t>Depreciation:</t>
    </r>
    <r>
      <rPr>
        <b/>
        <sz val="11"/>
        <color rgb="FF70AD47"/>
        <rFont val="Calibri"/>
        <family val="2"/>
        <scheme val="minor"/>
      </rPr>
      <t xml:space="preserve"> LINE 14</t>
    </r>
  </si>
  <si>
    <r>
      <t>Depletion:</t>
    </r>
    <r>
      <rPr>
        <b/>
        <sz val="11"/>
        <color rgb="FF70AD47"/>
        <rFont val="Calibri"/>
        <family val="2"/>
        <scheme val="minor"/>
      </rPr>
      <t xml:space="preserve"> LINE 15</t>
    </r>
  </si>
  <si>
    <r>
      <t>Mortgages or Notes Payable in Less Than 1 Year:</t>
    </r>
    <r>
      <rPr>
        <b/>
        <sz val="11"/>
        <color rgb="FF70AD47"/>
        <rFont val="Calibri"/>
        <family val="2"/>
        <scheme val="minor"/>
      </rPr>
      <t xml:space="preserve"> Schedule L, LINE 17, Column d</t>
    </r>
  </si>
  <si>
    <r>
      <t>Taxable Income:</t>
    </r>
    <r>
      <rPr>
        <b/>
        <sz val="11"/>
        <color rgb="FF70AD47"/>
        <rFont val="Calibri"/>
        <family val="2"/>
        <scheme val="minor"/>
      </rPr>
      <t xml:space="preserve"> LINE 30</t>
    </r>
  </si>
  <si>
    <r>
      <t>Total Tax:</t>
    </r>
    <r>
      <rPr>
        <b/>
        <sz val="11"/>
        <color rgb="FF70AD47"/>
        <rFont val="Calibri"/>
        <family val="2"/>
        <scheme val="minor"/>
      </rPr>
      <t xml:space="preserve"> LINE 31</t>
    </r>
  </si>
  <si>
    <r>
      <t>Deduct nonrecurring gains/add nonrecurring losses:</t>
    </r>
    <r>
      <rPr>
        <b/>
        <sz val="11"/>
        <color rgb="FF70AD47"/>
        <rFont val="Calibri"/>
        <family val="2"/>
        <scheme val="minor"/>
      </rPr>
      <t xml:space="preserve"> LINES 8 &amp; 9</t>
    </r>
  </si>
  <si>
    <r>
      <t>Depreciation:</t>
    </r>
    <r>
      <rPr>
        <b/>
        <sz val="11"/>
        <color rgb="FF70AD47"/>
        <rFont val="Calibri"/>
        <family val="2"/>
        <scheme val="minor"/>
      </rPr>
      <t xml:space="preserve"> LINE 20</t>
    </r>
  </si>
  <si>
    <r>
      <t>Depletion:</t>
    </r>
    <r>
      <rPr>
        <b/>
        <sz val="11"/>
        <color rgb="FF70AD47"/>
        <rFont val="Calibri"/>
        <family val="2"/>
        <scheme val="minor"/>
      </rPr>
      <t xml:space="preserve"> LINE 21</t>
    </r>
  </si>
  <si>
    <r>
      <t>Net Operating Loss and Special Deductions:</t>
    </r>
    <r>
      <rPr>
        <b/>
        <sz val="11"/>
        <color rgb="FF70AD47"/>
        <rFont val="Calibri"/>
        <family val="2"/>
        <scheme val="minor"/>
      </rPr>
      <t xml:space="preserve"> LINES 29a &amp; b</t>
    </r>
  </si>
  <si>
    <r>
      <t>Dividends Paid to Borrower:</t>
    </r>
    <r>
      <rPr>
        <b/>
        <sz val="11"/>
        <color rgb="FF70AD47"/>
        <rFont val="Calibri"/>
        <family val="2"/>
        <scheme val="minor"/>
      </rPr>
      <t xml:space="preserve"> Form 1040, Schedule B, LINE 5</t>
    </r>
  </si>
  <si>
    <t>Comments / Notes  (For a new line, hold Alt and press Enter)</t>
  </si>
  <si>
    <t>Recurring Interest Income</t>
  </si>
  <si>
    <t>Recurring Dividend Income</t>
  </si>
  <si>
    <t>Schedule C</t>
  </si>
  <si>
    <t>Net Profit</t>
  </si>
  <si>
    <t>Deduct nonrecurring income</t>
  </si>
  <si>
    <t>Depletion</t>
  </si>
  <si>
    <t>Depreciation</t>
  </si>
  <si>
    <t>Meals or Meals and Entertainment</t>
  </si>
  <si>
    <t>Business Use of Home</t>
  </si>
  <si>
    <t>Business Miles</t>
  </si>
  <si>
    <t>x Depreciation Rate</t>
  </si>
  <si>
    <t>Total Mileage Depreciation</t>
  </si>
  <si>
    <t>Amortization/Casualty Loss</t>
  </si>
  <si>
    <t>Recurring Capital Gains (Loss)</t>
  </si>
  <si>
    <t>Royalty Income (Loss)</t>
  </si>
  <si>
    <t>Total Expenses</t>
  </si>
  <si>
    <t>Net Profit (Loss)</t>
  </si>
  <si>
    <t>Non-Tax Portion</t>
  </si>
  <si>
    <t>Partnership</t>
  </si>
  <si>
    <t>Ordinary Income (Loss)</t>
  </si>
  <si>
    <t>Net Rental Income (Loss)</t>
  </si>
  <si>
    <t>Guaranteed Payments</t>
  </si>
  <si>
    <t>Wages</t>
  </si>
  <si>
    <t>#page13</t>
  </si>
  <si>
    <t>Passthrough</t>
  </si>
  <si>
    <t xml:space="preserve">Depreciation: LINE 16c </t>
  </si>
  <si>
    <t>Depreciation (Form 8825)</t>
  </si>
  <si>
    <t>Mortgages or Notes Payable</t>
  </si>
  <si>
    <t>Travel and Entertainment</t>
  </si>
  <si>
    <t>S Corporation</t>
  </si>
  <si>
    <t>Corporation</t>
  </si>
  <si>
    <t>Taxable Income</t>
  </si>
  <si>
    <t>Total Tax</t>
  </si>
  <si>
    <t xml:space="preserve">Depreciation </t>
  </si>
  <si>
    <t>Net Operating Loss and Special Deductions</t>
  </si>
  <si>
    <t>Dividends Paid to Borrower</t>
  </si>
  <si>
    <t>ROW_NUM</t>
  </si>
  <si>
    <t>LINE_TEXT</t>
  </si>
  <si>
    <t>PAGE_LINK</t>
  </si>
  <si>
    <t>B</t>
  </si>
  <si>
    <t>COL_REF</t>
  </si>
  <si>
    <t>SOLE PROPRIETORSHIP</t>
  </si>
  <si>
    <t>Net Profit (Loss):</t>
  </si>
  <si>
    <t>Deduct nonrecurring income:</t>
  </si>
  <si>
    <t>Add nonrecurring loss:</t>
  </si>
  <si>
    <t>Depletion:</t>
  </si>
  <si>
    <t>Amortization/Casualty Loss:</t>
  </si>
  <si>
    <t>Other:</t>
  </si>
  <si>
    <t>Depreciation:</t>
  </si>
  <si>
    <t>Date From:</t>
  </si>
  <si>
    <t>HIDE</t>
  </si>
  <si>
    <t>Sole Proprietorship</t>
  </si>
  <si>
    <t>PARTNERSHIP</t>
  </si>
  <si>
    <t>Net Income:</t>
  </si>
  <si>
    <t>Partner's Share of Income (Loss):</t>
  </si>
  <si>
    <t>Wages:</t>
  </si>
  <si>
    <t>Guaranteed Payments:</t>
  </si>
  <si>
    <t>Sole Proprietorship Cash Flow</t>
  </si>
  <si>
    <t>Use of this information is discretionary.  FOLLOW INVESTOR GUIDELINES.</t>
  </si>
  <si>
    <t>Date Paid Through:</t>
  </si>
  <si>
    <t>Total Income:</t>
  </si>
  <si>
    <t>Monthly Income:</t>
  </si>
  <si>
    <t>2,4,5,7,8,9,10,11,12,13</t>
  </si>
  <si>
    <t>2,4,5,7,8,9,10,11,12,13,16,19,20</t>
  </si>
  <si>
    <t>Multiplied by Ownership Percentage:</t>
  </si>
  <si>
    <t>S CORPORATION</t>
  </si>
  <si>
    <t>Shareholder's Share of Income (Loss):</t>
  </si>
  <si>
    <t>2,4,5,7,8,9,10,11,12,13,16,19</t>
  </si>
  <si>
    <t>CORPORATION</t>
  </si>
  <si>
    <t>Taxable Income:</t>
  </si>
  <si>
    <t>Total Tax:</t>
  </si>
  <si>
    <t>Corporation's Total Share of Income (Loss):</t>
  </si>
  <si>
    <t>2,4,5,7,8,9,10,11,12,13,14,17,20</t>
  </si>
  <si>
    <t>1/1/2021</t>
  </si>
  <si>
    <t>1-1-2021</t>
  </si>
  <si>
    <t>1.1.2021</t>
  </si>
  <si>
    <t>1/1-2021</t>
  </si>
  <si>
    <r>
      <t>Recurring Interest Income:</t>
    </r>
    <r>
      <rPr>
        <b/>
        <sz val="11"/>
        <color rgb="FF70AD47"/>
        <rFont val="Calibri"/>
        <family val="2"/>
        <scheme val="minor"/>
      </rPr>
      <t xml:space="preserve"> LINE 1 or 1040 LINE 2b</t>
    </r>
  </si>
  <si>
    <r>
      <t>Recurring Dividend Income:</t>
    </r>
    <r>
      <rPr>
        <b/>
        <sz val="11"/>
        <color rgb="FF70AD47"/>
        <rFont val="Calibri"/>
        <family val="2"/>
        <scheme val="minor"/>
      </rPr>
      <t xml:space="preserve"> LINE 5 or 1040 LINE 3b</t>
    </r>
  </si>
  <si>
    <t>8,9,10,11,12,13,14,15,16,17,21,22</t>
  </si>
  <si>
    <t>4,8,9,10,11,12,13,14,15,16,17,21,22</t>
  </si>
  <si>
    <t>Time Frame (i.e., YTD, quarterly):</t>
  </si>
  <si>
    <t>H,K,N,Q,T,W</t>
  </si>
  <si>
    <t>colsElements</t>
  </si>
  <si>
    <t>dataElements</t>
  </si>
  <si>
    <t>plus</t>
  </si>
  <si>
    <t>total</t>
  </si>
  <si>
    <t>D13</t>
  </si>
  <si>
    <t>strDefFormula</t>
  </si>
  <si>
    <t>strDefFormRef</t>
  </si>
  <si>
    <t>G0</t>
  </si>
  <si>
    <t>BORROWER NAME:</t>
  </si>
  <si>
    <t>Profit and Loss Statement Analysis</t>
  </si>
  <si>
    <t>Select the Year(s):</t>
  </si>
  <si>
    <t>Brian J. Torreano (BT)</t>
  </si>
  <si>
    <t>DATE</t>
  </si>
  <si>
    <t>NOTES_BY</t>
  </si>
  <si>
    <t>NOTE</t>
  </si>
  <si>
    <t>https://www.mgic.com/-/media/MGIC/seb/22-25000_sam_worksheet_help_doc-2021.pdf</t>
  </si>
  <si>
    <t>#page2</t>
  </si>
  <si>
    <t>#page3</t>
  </si>
  <si>
    <t>#page4</t>
  </si>
  <si>
    <t>#page5</t>
  </si>
  <si>
    <t>#page6</t>
  </si>
  <si>
    <t>#page7</t>
  </si>
  <si>
    <t>#page8</t>
  </si>
  <si>
    <t>#page9</t>
  </si>
  <si>
    <t>#page10</t>
  </si>
  <si>
    <t>#page11</t>
  </si>
  <si>
    <t>#page12</t>
  </si>
  <si>
    <t>#page14</t>
  </si>
  <si>
    <t>#page15</t>
  </si>
  <si>
    <t>#page16</t>
  </si>
  <si>
    <t>For updates to hyperlinks on the SAM worksheet, open the '_HYPER_LKP_NEW_' worksheet and update the document, page numbers and links.  This updates the links throughout the SAM page.  After hyperlinks have been fixed, run the 'URLSetScreenTips' macro to update the screentips.</t>
  </si>
  <si>
    <t>20220206_1955</t>
  </si>
  <si>
    <r>
      <t>Depreciation Expense or Depletion:</t>
    </r>
    <r>
      <rPr>
        <b/>
        <sz val="11"/>
        <color rgb="FF70AD47"/>
        <rFont val="Calibri"/>
        <family val="2"/>
        <scheme val="minor"/>
      </rPr>
      <t xml:space="preserve"> LINE 18</t>
    </r>
  </si>
  <si>
    <r>
      <t>Guaranteed Payments:</t>
    </r>
    <r>
      <rPr>
        <b/>
        <sz val="11"/>
        <color rgb="FF70AD47"/>
        <rFont val="Calibri"/>
        <family val="2"/>
        <scheme val="minor"/>
      </rPr>
      <t xml:space="preserve"> LINE 4c</t>
    </r>
  </si>
  <si>
    <t>https://www.mgic.com/-/media/value-adds/seb/</t>
  </si>
  <si>
    <t>22-25000-sam-worksheet-help-doc.pdf</t>
  </si>
  <si>
    <t xml:space="preserve"> Liquidity Worksheet</t>
  </si>
  <si>
    <t xml:space="preserve">Business Name:   </t>
  </si>
  <si>
    <t>Completed by:</t>
  </si>
  <si>
    <t xml:space="preserve">Date:   </t>
  </si>
  <si>
    <t xml:space="preserve">Annualization date: </t>
  </si>
  <si>
    <t>Schedule L - Assets</t>
  </si>
  <si>
    <r>
      <t xml:space="preserve">Cash: </t>
    </r>
    <r>
      <rPr>
        <b/>
        <sz val="12"/>
        <color rgb="FF5B9BD5"/>
        <rFont val="Calibri"/>
        <family val="2"/>
        <scheme val="minor"/>
      </rPr>
      <t>Line 1, Column d</t>
    </r>
  </si>
  <si>
    <r>
      <t xml:space="preserve">Trade notes and accounts receivable, less bad debt: </t>
    </r>
    <r>
      <rPr>
        <b/>
        <sz val="12"/>
        <color rgb="FF5B9BD5"/>
        <rFont val="Calibri"/>
        <family val="2"/>
        <scheme val="minor"/>
      </rPr>
      <t>Line 2b, Column d</t>
    </r>
  </si>
  <si>
    <r>
      <t xml:space="preserve">Inventories: </t>
    </r>
    <r>
      <rPr>
        <b/>
        <sz val="12"/>
        <color rgb="FF5B9BD5"/>
        <rFont val="Calibri"/>
        <family val="2"/>
        <scheme val="minor"/>
      </rPr>
      <t>Line 3, Column d</t>
    </r>
  </si>
  <si>
    <t>Total Current Assets:</t>
  </si>
  <si>
    <t>Schedule L - Liabilities</t>
  </si>
  <si>
    <r>
      <t xml:space="preserve">Accounts Payable: </t>
    </r>
    <r>
      <rPr>
        <b/>
        <sz val="12"/>
        <color rgb="FF5B9BD5"/>
        <rFont val="Calibri"/>
        <family val="2"/>
        <scheme val="minor"/>
      </rPr>
      <t>Form 1120S Line 16/Form 1065 Line 15, Column d</t>
    </r>
  </si>
  <si>
    <r>
      <t xml:space="preserve">Mortgages, notes, bonds payable &lt; 1 year: </t>
    </r>
    <r>
      <rPr>
        <b/>
        <sz val="12"/>
        <color rgb="FF5B9BD5"/>
        <rFont val="Calibri"/>
        <family val="2"/>
        <scheme val="minor"/>
      </rPr>
      <t>Form 1120S Line 17/Form 1065 Line 16, Column d</t>
    </r>
  </si>
  <si>
    <r>
      <t xml:space="preserve">Other current liabilities: </t>
    </r>
    <r>
      <rPr>
        <b/>
        <sz val="12"/>
        <color rgb="FF5B9BD5"/>
        <rFont val="Calibri"/>
        <family val="2"/>
        <scheme val="minor"/>
      </rPr>
      <t>Form 1120S Line 18/Form 1065 Line 17, Column d</t>
    </r>
  </si>
  <si>
    <t>Total Current Liabilities:</t>
  </si>
  <si>
    <t>Current Ratio</t>
  </si>
  <si>
    <r>
      <t xml:space="preserve">Total Current Assets: </t>
    </r>
    <r>
      <rPr>
        <b/>
        <sz val="12"/>
        <color theme="4"/>
        <rFont val="Calibri"/>
        <family val="2"/>
        <scheme val="minor"/>
      </rPr>
      <t>Row 5 - Assets above</t>
    </r>
  </si>
  <si>
    <r>
      <t xml:space="preserve">Total Current Liabilities: </t>
    </r>
    <r>
      <rPr>
        <b/>
        <sz val="12"/>
        <color theme="4"/>
        <rFont val="Calibri"/>
        <family val="2"/>
        <scheme val="minor"/>
      </rPr>
      <t>Row 9 - Liabilities above</t>
    </r>
  </si>
  <si>
    <r>
      <rPr>
        <b/>
        <sz val="16"/>
        <color theme="1"/>
        <rFont val="Calibri"/>
        <family val="2"/>
        <scheme val="minor"/>
      </rPr>
      <t>Current Ratio</t>
    </r>
    <r>
      <rPr>
        <b/>
        <sz val="14"/>
        <color theme="1"/>
        <rFont val="Calibri"/>
        <family val="2"/>
        <scheme val="minor"/>
      </rPr>
      <t>:</t>
    </r>
    <r>
      <rPr>
        <b/>
        <sz val="12"/>
        <color theme="1"/>
        <rFont val="Calibri"/>
        <family val="2"/>
        <scheme val="minor"/>
      </rPr>
      <t xml:space="preserve"> </t>
    </r>
    <r>
      <rPr>
        <b/>
        <sz val="12"/>
        <color theme="4"/>
        <rFont val="Calibri"/>
        <family val="2"/>
        <scheme val="minor"/>
      </rPr>
      <t>In general, a ratio ≥ 1 demonstrates adequate liquidity</t>
    </r>
  </si>
  <si>
    <t>Quick Ratio</t>
  </si>
  <si>
    <r>
      <t xml:space="preserve">  Cash, notes, accounts receivable (less bad debt) &amp; other: </t>
    </r>
    <r>
      <rPr>
        <b/>
        <sz val="12"/>
        <color theme="4"/>
        <rFont val="Calibri"/>
        <family val="2"/>
        <scheme val="minor"/>
      </rPr>
      <t>Rows 1, 2 &amp; 4 - Assets above</t>
    </r>
  </si>
  <si>
    <r>
      <rPr>
        <b/>
        <sz val="16"/>
        <rFont val="Calibri"/>
        <family val="2"/>
        <scheme val="minor"/>
      </rPr>
      <t>Quick Ratio:</t>
    </r>
    <r>
      <rPr>
        <b/>
        <sz val="12"/>
        <color theme="4"/>
        <rFont val="Calibri"/>
        <family val="2"/>
        <scheme val="minor"/>
      </rPr>
      <t xml:space="preserve"> In general, a ratio ≥ 1 demonstrates adequate liquidity</t>
    </r>
  </si>
  <si>
    <t>LKP_YEAR_LIQUIDITY</t>
  </si>
  <si>
    <t xml:space="preserve"> Comparative Income Analysis Worksheet</t>
  </si>
  <si>
    <t>Gross Receipt/Sales</t>
  </si>
  <si>
    <t>Returns &amp; Allowances</t>
  </si>
  <si>
    <t>Cost of Goods Sold</t>
  </si>
  <si>
    <t>Total deductions/Total expenses</t>
  </si>
  <si>
    <t>- Total deductions for Partnership, S Corporation or Corporation</t>
  </si>
  <si>
    <t>- Total expenses for Sole Proprietorship</t>
  </si>
  <si>
    <t>- Ordinary Income (Loss) for Partnership/S Corporation</t>
  </si>
  <si>
    <t>- Taxable Income (Loss) for Corporation</t>
  </si>
  <si>
    <t>- Net Profit (Loss) for Sole Proprietorship</t>
  </si>
  <si>
    <t>Gross Receipts/Sales</t>
  </si>
  <si>
    <t>% Change</t>
  </si>
  <si>
    <t>Gross Income</t>
  </si>
  <si>
    <t xml:space="preserve">(Gross Receipts/Sales - Returns &amp; Allowances) </t>
  </si>
  <si>
    <t xml:space="preserve">Cost of Goods Sold (CGS) </t>
  </si>
  <si>
    <t>Expenses</t>
  </si>
  <si>
    <t>(CGS + Total deductions/Total expenses)</t>
  </si>
  <si>
    <t>Gross Profits</t>
  </si>
  <si>
    <t>(Gross Receipts/Sales - Returns &amp; Allowances - CGS)</t>
  </si>
  <si>
    <t>*Annual % of Expenses compared to Gross Income   **Annual % of Taxable Income compared to Gross Income</t>
  </si>
  <si>
    <t>FROM_ORIG</t>
  </si>
  <si>
    <t>TRIGGER_ANN_PROMPT</t>
  </si>
  <si>
    <t>ANNUALIZE_CELL</t>
  </si>
  <si>
    <t>CLEAR_DT_CELL</t>
  </si>
  <si>
    <t>CHECK_ALL_VALS</t>
  </si>
  <si>
    <t>LKP_YEAR_1</t>
  </si>
  <si>
    <t>LKP_YEAR_2</t>
  </si>
  <si>
    <t>LKP_YEAR_3</t>
  </si>
  <si>
    <t>VARIABLE</t>
  </si>
  <si>
    <t>EXPLANATION</t>
  </si>
  <si>
    <t>Column that states in the second cell down if this workbook is the virgin workbook or not.  A virgin workbook will ALWAYS have "Save As" functionality on close.</t>
  </si>
  <si>
    <t>Leftmost year drop-down.  This is also a NAMED RANGE.</t>
  </si>
  <si>
    <t>Middle year drop-down.  This is also a NAMED RANGE.</t>
  </si>
  <si>
    <t>Rightmost year drop-down.  This is also a NAMED RANGE.</t>
  </si>
  <si>
    <t xml:space="preserve"> SAM Cash Flow Analysis Worksheet</t>
  </si>
  <si>
    <t>SAM Worksheet - Help Document</t>
  </si>
  <si>
    <t>The Schedule Analysis Method, or SAM, worksheet is used to calculate self-employed borrowers’ cash flow.</t>
  </si>
  <si>
    <t>This help resource provides line-by-line explanations for personal and business tax returns following the SAM cash flow method.</t>
  </si>
  <si>
    <r>
      <t xml:space="preserve">When you see the heading </t>
    </r>
    <r>
      <rPr>
        <b/>
        <sz val="9"/>
        <color rgb="FF00B2E3"/>
        <rFont val="Arial Black"/>
        <family val="2"/>
      </rPr>
      <t>Effect On Cash Flow Analysis Worksheet</t>
    </r>
    <r>
      <rPr>
        <sz val="9"/>
        <color theme="1"/>
        <rFont val="Calibri"/>
        <family val="2"/>
        <scheme val="minor"/>
      </rPr>
      <t>, you’ll find guidance as to whether you should add/deduct the amount of a line item to/from the borrower’s cash flow.</t>
    </r>
  </si>
  <si>
    <t>Schedule B: Interest and Ordinary Dividends from Self-Employment</t>
  </si>
  <si>
    <r>
      <rPr>
        <b/>
        <sz val="9"/>
        <color theme="1"/>
        <rFont val="Calibri"/>
        <family val="2"/>
        <scheme val="minor"/>
      </rPr>
      <t>Note:</t>
    </r>
    <r>
      <rPr>
        <sz val="9"/>
        <color theme="1"/>
        <rFont val="Calibri"/>
        <family val="2"/>
        <scheme val="minor"/>
      </rPr>
      <t xml:space="preserve"> The borrower needs to complete Schedule B only if interest and dividend income is greater than $1,500.</t>
    </r>
  </si>
  <si>
    <t>Line 1: List Name of Payer</t>
  </si>
  <si>
    <t>Interest Income</t>
  </si>
  <si>
    <t>Identify interest income paid to the borrower from the borrower’s business. Review Schedule B, Part I and/or IRS Schedule K-1 or Form 1099-INT to confirm that the payer is the borrower’s business.</t>
  </si>
  <si>
    <t>Effect on Cash Flow Analysis Worksheet</t>
  </si>
  <si>
    <r>
      <t>•</t>
    </r>
    <r>
      <rPr>
        <sz val="7"/>
        <color theme="1"/>
        <rFont val="Times New Roman"/>
        <family val="1"/>
      </rPr>
      <t xml:space="preserve">        </t>
    </r>
    <r>
      <rPr>
        <sz val="9"/>
        <color theme="1"/>
        <rFont val="Calibri"/>
        <family val="2"/>
        <scheme val="minor"/>
      </rPr>
      <t>Add recurring interest income from self-employment</t>
    </r>
  </si>
  <si>
    <t>Line 5: List Name of Payer</t>
  </si>
  <si>
    <t>Dividend Income</t>
  </si>
  <si>
    <t>Identify dividend income paid to the borrower from the borrower’s business. Review Schedule B, Part II and/or IRS Schedule K-1 or Form 1099-DIV to confirm that the payer is the borrower’s business.</t>
  </si>
  <si>
    <r>
      <t>•</t>
    </r>
    <r>
      <rPr>
        <sz val="7"/>
        <color theme="1"/>
        <rFont val="Times New Roman"/>
        <family val="1"/>
      </rPr>
      <t xml:space="preserve">        </t>
    </r>
    <r>
      <rPr>
        <sz val="9"/>
        <color theme="1"/>
        <rFont val="Calibri"/>
        <family val="2"/>
        <scheme val="minor"/>
      </rPr>
      <t>Add recurring dividend income from self-employment</t>
    </r>
  </si>
  <si>
    <t>Schedule  C: Profit  or Loss From Business (Sole Proprietorship)</t>
  </si>
  <si>
    <t>A sole proprietorship is a business with a single owner. Sole proprietorships report profit and loss on Schedule C. All profits from a sole proprietorship flow directly to the owner. The owner pays taxes on these profits.</t>
  </si>
  <si>
    <t>Line 31: Net Profit or (Loss)</t>
  </si>
  <si>
    <t>The amount the borrower has reported on this line is income or loss generated from business operations.</t>
  </si>
  <si>
    <r>
      <t>•</t>
    </r>
    <r>
      <rPr>
        <sz val="7"/>
        <color theme="1"/>
        <rFont val="Times New Roman"/>
        <family val="1"/>
      </rPr>
      <t xml:space="preserve">        </t>
    </r>
    <r>
      <rPr>
        <sz val="9"/>
        <color theme="1"/>
        <rFont val="Calibri"/>
        <family val="2"/>
        <scheme val="minor"/>
      </rPr>
      <t>Add recurring net profit/deduct net loss</t>
    </r>
  </si>
  <si>
    <t>Line 6: Other Income</t>
  </si>
  <si>
    <t>This amount represents money the business received that was not obtained by the profits of the business, e.g., interest income from notes or accounts receivable, or income from miscellaneous receipts. Analyze this income to determine whether it’s stable and recurring.</t>
  </si>
  <si>
    <t>Line 12: Depletion</t>
  </si>
  <si>
    <t>Depletion, a noncash expense, is the exhaustion of a natural resource over a given period of time.</t>
  </si>
  <si>
    <r>
      <t>•</t>
    </r>
    <r>
      <rPr>
        <sz val="7"/>
        <color theme="1"/>
        <rFont val="Times New Roman"/>
        <family val="1"/>
      </rPr>
      <t xml:space="preserve">        </t>
    </r>
    <r>
      <rPr>
        <sz val="9"/>
        <color theme="1"/>
        <rFont val="Calibri"/>
        <family val="2"/>
        <scheme val="minor"/>
      </rPr>
      <t>Add back the amount</t>
    </r>
  </si>
  <si>
    <t>Line  13: Depreciation</t>
  </si>
  <si>
    <t>Depreciation is a noncash expense allocated over the useful life of a declared asset.</t>
  </si>
  <si>
    <t>Line 24b: Deductible Meals</t>
  </si>
  <si>
    <t>These cash expenses relate to the cost of business-related meals. In general, borrowers deduct 50% of these out-of- pocket costs on the tax return, sometimes more depending upon their occupation. However, since the borrower paid 100% of the expense, subtract the difference from cash flow.</t>
  </si>
  <si>
    <r>
      <t>•</t>
    </r>
    <r>
      <rPr>
        <sz val="7"/>
        <color theme="1"/>
        <rFont val="Times New Roman"/>
        <family val="1"/>
      </rPr>
      <t xml:space="preserve">        </t>
    </r>
    <r>
      <rPr>
        <sz val="9"/>
        <color theme="1"/>
        <rFont val="Calibri"/>
        <family val="2"/>
        <scheme val="minor"/>
      </rPr>
      <t>Deduct the amount on line 24b</t>
    </r>
  </si>
  <si>
    <t>Line 30: Expenses for Business Use of Your Home</t>
  </si>
  <si>
    <t>An individual may operate a business out of the home for which tax deductions for a portion of rent, utilities or maintenance may be available.</t>
  </si>
  <si>
    <t>Part IV – Information on Your Vehicle</t>
  </si>
  <si>
    <t>A sole proprietor who uses the standard mileage deduction to estimate vehicle expenses will calculate that expense either here or on Form 4562. The standard deduction includes an estimate for depreciation. Depreciation factors for the 3 most recent years are:</t>
  </si>
  <si>
    <t>Year</t>
  </si>
  <si>
    <t>Standard Deduction</t>
  </si>
  <si>
    <t>26¢</t>
  </si>
  <si>
    <t>1/1/22 through 6/30/22</t>
  </si>
  <si>
    <t>58.5¢</t>
  </si>
  <si>
    <t>7/1/22 through 12/31/22</t>
  </si>
  <si>
    <t>62.5¢</t>
  </si>
  <si>
    <t>Line 44a: Business Miles Driven</t>
  </si>
  <si>
    <t>Part V – Other Expenses</t>
  </si>
  <si>
    <t>The borrower may list certain expenses here that are either noncash expenses or nonrecurring in nature.</t>
  </si>
  <si>
    <t>Look for the following items:</t>
  </si>
  <si>
    <t>Amortization</t>
  </si>
  <si>
    <t>Amortization is the write-off of initial costs incurred prior to the beginning of formal business operations.</t>
  </si>
  <si>
    <t>Borrowers can expense these one-time costs over a period of time.</t>
  </si>
  <si>
    <t>Casualty Loss</t>
  </si>
  <si>
    <t>Casualty loss is a one-time, extraordinary expense due to damage or destruction of property.</t>
  </si>
  <si>
    <t>Schedule D: Capital Gains and Losses</t>
  </si>
  <si>
    <t>Line 16: Capital Gains and Losses</t>
  </si>
  <si>
    <t>The borrower reports total gains and losses on Line 16 of Schedule D. Review the itemized list of short- and long-term gains and compare one year’s Schedule D to another’s to determine whether the income or loss is recurring or not.</t>
  </si>
  <si>
    <t>Capital Gains</t>
  </si>
  <si>
    <t>If using capital gains as qualifying income, refer to investor guidelines for documentation and calculation. Typically, a minimum of 2 years’ tax returns and evidence that the borrower will continue to acquire assets to generate capital gains is required.</t>
  </si>
  <si>
    <r>
      <t>•</t>
    </r>
    <r>
      <rPr>
        <sz val="7"/>
        <color theme="1"/>
        <rFont val="Times New Roman"/>
        <family val="1"/>
      </rPr>
      <t xml:space="preserve">        </t>
    </r>
    <r>
      <rPr>
        <sz val="9"/>
        <color theme="1"/>
        <rFont val="Calibri"/>
        <family val="2"/>
        <scheme val="minor"/>
      </rPr>
      <t>Add recurring capital gains</t>
    </r>
  </si>
  <si>
    <t>Capital Losses</t>
  </si>
  <si>
    <t>Treatment of capital losses varies among investors.</t>
  </si>
  <si>
    <r>
      <t>•</t>
    </r>
    <r>
      <rPr>
        <sz val="7"/>
        <color theme="1"/>
        <rFont val="Times New Roman"/>
        <family val="1"/>
      </rPr>
      <t xml:space="preserve">        </t>
    </r>
    <r>
      <rPr>
        <sz val="9"/>
        <color theme="1"/>
        <rFont val="Calibri"/>
        <family val="2"/>
        <scheme val="minor"/>
      </rPr>
      <t>Follow investor guidelines</t>
    </r>
  </si>
  <si>
    <r>
      <rPr>
        <b/>
        <sz val="9"/>
        <color theme="1"/>
        <rFont val="Calibri"/>
        <family val="2"/>
        <scheme val="minor"/>
      </rPr>
      <t>Note:</t>
    </r>
    <r>
      <rPr>
        <sz val="9"/>
        <color theme="1"/>
        <rFont val="Calibri"/>
        <family val="2"/>
        <scheme val="minor"/>
      </rPr>
      <t xml:space="preserve"> Don’t include pass-through income from the Schedule(s) K-1 that the borrower reported on Schedule D, Line 5 and Line 12.</t>
    </r>
  </si>
  <si>
    <t>Schedule E: Supplemental Income and Loss</t>
  </si>
  <si>
    <t>If your borrower earns royalty income, look for the following line items.</t>
  </si>
  <si>
    <t>Line 4: Royalties Received</t>
  </si>
  <si>
    <t>Royalties are compensation paid for the use of another’s property based on a percentage of profit or production. The “property” is typically copyrighted material or natural resources. If the borrower has listed royalty income, verify whether it’s ongoing and consistent before you use it as qualifying income.</t>
  </si>
  <si>
    <r>
      <t>•</t>
    </r>
    <r>
      <rPr>
        <sz val="7"/>
        <color theme="1"/>
        <rFont val="Times New Roman"/>
        <family val="1"/>
      </rPr>
      <t xml:space="preserve">        </t>
    </r>
    <r>
      <rPr>
        <sz val="9"/>
        <color theme="1"/>
        <rFont val="Calibri"/>
        <family val="2"/>
        <scheme val="minor"/>
      </rPr>
      <t>Add recurring royalty income/deduct loss</t>
    </r>
  </si>
  <si>
    <t>Line 20: Total Expenses</t>
  </si>
  <si>
    <r>
      <t>•</t>
    </r>
    <r>
      <rPr>
        <sz val="7"/>
        <color theme="1"/>
        <rFont val="Times New Roman"/>
        <family val="1"/>
      </rPr>
      <t xml:space="preserve">        </t>
    </r>
    <r>
      <rPr>
        <sz val="9"/>
        <color theme="1"/>
        <rFont val="Calibri"/>
        <family val="2"/>
        <scheme val="minor"/>
      </rPr>
      <t>Deduct royalty expenses</t>
    </r>
  </si>
  <si>
    <t>Line 18: Depreciation Expense or Depletion</t>
  </si>
  <si>
    <t>Depreciation is a noncash expense allocated over the useful life of a declared asset. Depletion, also a noncash expense, is the exhaustion of a natural resource over a given period of time.</t>
  </si>
  <si>
    <t>Schedule F: Profit or Loss From Farming</t>
  </si>
  <si>
    <t>Borrowers with small farming operations typically file Schedule F.</t>
  </si>
  <si>
    <t>Line 34: Net Farm Profit or (Loss)</t>
  </si>
  <si>
    <t>Lines 3-6: Non-Tax Portion Ongoing Co-op &amp; CCC Payments</t>
  </si>
  <si>
    <t>These lines represent sources of cash flow that may or may not be continuous and ongoing. Don’t include any of these items if they represent one-time occurrences. If you can document the income is likely to continue, include the nontaxable portion of this income in the borrower’s cash flow.</t>
  </si>
  <si>
    <r>
      <rPr>
        <b/>
        <sz val="9"/>
        <color theme="1"/>
        <rFont val="Calibri"/>
        <family val="2"/>
        <scheme val="minor"/>
      </rPr>
      <t>Note:</t>
    </r>
    <r>
      <rPr>
        <sz val="9"/>
        <color theme="1"/>
        <rFont val="Calibri"/>
        <family val="2"/>
        <scheme val="minor"/>
      </rPr>
      <t xml:space="preserve"> There may be rare instances where it would make sense to allow a nonrecurring item to remain in cash flow. Review these exceptions on a case-by-case basis.</t>
    </r>
  </si>
  <si>
    <r>
      <t>•</t>
    </r>
    <r>
      <rPr>
        <sz val="7"/>
        <color theme="1"/>
        <rFont val="Times New Roman"/>
        <family val="1"/>
      </rPr>
      <t xml:space="preserve">        </t>
    </r>
    <r>
      <rPr>
        <sz val="9"/>
        <color theme="1"/>
        <rFont val="Calibri"/>
        <family val="2"/>
        <scheme val="minor"/>
      </rPr>
      <t>Deduct income that is nonrecurring and not consistent (lines 3b, 4b, 5a, 5c, 6b, 6d); add back the nontaxable portion of recurring income (lines 3a minus 3b, 4a minus 4b, 5b minus 5c, 6a minus 6b)</t>
    </r>
  </si>
  <si>
    <t>Line  8: Other Income</t>
  </si>
  <si>
    <t>The borrower reports income not earned through farm operations.</t>
  </si>
  <si>
    <r>
      <t>•</t>
    </r>
    <r>
      <rPr>
        <sz val="7"/>
        <color theme="1"/>
        <rFont val="Times New Roman"/>
        <family val="1"/>
      </rPr>
      <t xml:space="preserve">        </t>
    </r>
    <r>
      <rPr>
        <sz val="9"/>
        <color theme="1"/>
        <rFont val="Calibri"/>
        <family val="2"/>
        <scheme val="minor"/>
      </rPr>
      <t>Deduct nonrecurring income/add nonrecurring loss</t>
    </r>
  </si>
  <si>
    <t>Line  14: Depreciation</t>
  </si>
  <si>
    <t>Line 32: Other Expenses</t>
  </si>
  <si>
    <t>The borrower reports amortization, business use of home, casualty loss and depletion here.</t>
  </si>
  <si>
    <r>
      <t>•</t>
    </r>
    <r>
      <rPr>
        <sz val="7"/>
        <color theme="1"/>
        <rFont val="Times New Roman"/>
        <family val="1"/>
      </rPr>
      <t xml:space="preserve">        </t>
    </r>
    <r>
      <rPr>
        <sz val="9"/>
        <color theme="1"/>
        <rFont val="Calibri"/>
        <family val="2"/>
        <scheme val="minor"/>
      </rPr>
      <t>Add back the amount of amortization, business use of home, casualty losses or depletion</t>
    </r>
  </si>
  <si>
    <t>Partnership Cash Flow (Form 1065)</t>
  </si>
  <si>
    <t>A partnership is an arrangement between 2 or more individuals, generally governed by a partnership agreement.</t>
  </si>
  <si>
    <t>Schedule K-1 (Form 1065)</t>
  </si>
  <si>
    <t>The partnership prepares Schedule K-1 (Form 1065) to inform the individual partners of their share of income (loss), deductions and credits.</t>
  </si>
  <si>
    <t>Line 1: Ordinary Business Income (Loss)</t>
  </si>
  <si>
    <t>Because partners pay tax on income earned by the partnership, they are able to take distributions and withdrawals free of income tax consequences.</t>
  </si>
  <si>
    <r>
      <t>•</t>
    </r>
    <r>
      <rPr>
        <sz val="7"/>
        <color theme="1"/>
        <rFont val="Times New Roman"/>
        <family val="1"/>
      </rPr>
      <t xml:space="preserve">        </t>
    </r>
    <r>
      <rPr>
        <sz val="9"/>
        <color theme="1"/>
        <rFont val="Calibri"/>
        <family val="2"/>
        <scheme val="minor"/>
      </rPr>
      <t>Add ordinary income only if the partnership has positive sales and earnings trends, AND:</t>
    </r>
  </si>
  <si>
    <r>
      <t>–</t>
    </r>
    <r>
      <rPr>
        <sz val="7"/>
        <color theme="1"/>
        <rFont val="Times New Roman"/>
        <family val="1"/>
      </rPr>
      <t xml:space="preserve">   </t>
    </r>
    <r>
      <rPr>
        <sz val="9"/>
        <color theme="1"/>
        <rFont val="Calibri"/>
        <family val="2"/>
        <scheme val="minor"/>
      </rPr>
      <t>Schedule K-1s reflect a history of the borrower receiving cash distributions consistent with ordinary income.</t>
    </r>
  </si>
  <si>
    <t xml:space="preserve"> (Refer to Line 19, Distributions, for Code A cash distributions); OR</t>
  </si>
  <si>
    <r>
      <t>–</t>
    </r>
    <r>
      <rPr>
        <sz val="7"/>
        <color theme="1"/>
        <rFont val="Times New Roman"/>
        <family val="1"/>
      </rPr>
      <t xml:space="preserve">   </t>
    </r>
    <r>
      <rPr>
        <sz val="9"/>
        <color theme="1"/>
        <rFont val="Calibri"/>
        <family val="2"/>
        <scheme val="minor"/>
      </rPr>
      <t>Schedule K-1s do not reflect a history of the borrower receiving cash distributions consistent with ordinary income:</t>
    </r>
  </si>
  <si>
    <r>
      <t>–</t>
    </r>
    <r>
      <rPr>
        <sz val="7"/>
        <color theme="1"/>
        <rFont val="Times New Roman"/>
        <family val="1"/>
      </rPr>
      <t xml:space="preserve">    </t>
    </r>
    <r>
      <rPr>
        <sz val="8"/>
        <color theme="1"/>
        <rFont val="Calibri"/>
        <family val="2"/>
        <scheme val="minor"/>
      </rPr>
      <t>But you can document adequate liquidity to support the withdrawal of earnings; OR</t>
    </r>
  </si>
  <si>
    <r>
      <t>–</t>
    </r>
    <r>
      <rPr>
        <sz val="7"/>
        <color theme="1"/>
        <rFont val="Times New Roman"/>
        <family val="1"/>
      </rPr>
      <t xml:space="preserve">    </t>
    </r>
    <r>
      <rPr>
        <sz val="8"/>
        <color theme="1"/>
        <rFont val="Calibri"/>
        <family val="2"/>
        <scheme val="minor"/>
      </rPr>
      <t>Limit the amount of qualifying income to the amount of distributions received</t>
    </r>
  </si>
  <si>
    <r>
      <t>•</t>
    </r>
    <r>
      <rPr>
        <sz val="7"/>
        <color theme="1"/>
        <rFont val="Times New Roman"/>
        <family val="1"/>
      </rPr>
      <t xml:space="preserve">        </t>
    </r>
    <r>
      <rPr>
        <sz val="9"/>
        <color theme="1"/>
        <rFont val="Calibri"/>
        <family val="2"/>
        <scheme val="minor"/>
      </rPr>
      <t>In general, deduct any loss from cash flow. Follow investor guidelines</t>
    </r>
  </si>
  <si>
    <t>Lines 2 and 3: Net Rental Real Estate Income (Loss)</t>
  </si>
  <si>
    <t>If the borrower has reported income or loss from rental real estate activity on this line, the Partnership Return will, in general, include Form 8825: Rental Real Estate Income and Expenses of a Partnership or an S Corporation.</t>
  </si>
  <si>
    <r>
      <t>•</t>
    </r>
    <r>
      <rPr>
        <sz val="7"/>
        <color theme="1"/>
        <rFont val="Times New Roman"/>
        <family val="1"/>
      </rPr>
      <t xml:space="preserve">        </t>
    </r>
    <r>
      <rPr>
        <sz val="9"/>
        <color theme="1"/>
        <rFont val="Calibri"/>
        <family val="2"/>
        <scheme val="minor"/>
      </rPr>
      <t>Add continuous and ongoing net rental real estate income if conditions from Line 1, Ordinary business income, are met</t>
    </r>
  </si>
  <si>
    <r>
      <t>•</t>
    </r>
    <r>
      <rPr>
        <sz val="7"/>
        <color theme="1"/>
        <rFont val="Times New Roman"/>
        <family val="1"/>
      </rPr>
      <t xml:space="preserve">        </t>
    </r>
    <r>
      <rPr>
        <sz val="9"/>
        <color theme="1"/>
        <rFont val="Calibri"/>
        <family val="2"/>
        <scheme val="minor"/>
      </rPr>
      <t>In general, deduct any loss. Follow investor guidelines</t>
    </r>
  </si>
  <si>
    <t>Line 4c: Total Guaranteed Payments</t>
  </si>
  <si>
    <t>This line displays total payments made to the partner for services rendered and/or for the use of capital. These payments are made without regard to the partnership’s profits and are subject to self-employment tax.</t>
  </si>
  <si>
    <t>Typically, document with 2 years’ tax returns. Follow investor guidelines.</t>
  </si>
  <si>
    <r>
      <t>•</t>
    </r>
    <r>
      <rPr>
        <sz val="7"/>
        <color theme="1"/>
        <rFont val="Times New Roman"/>
        <family val="1"/>
      </rPr>
      <t xml:space="preserve">        </t>
    </r>
    <r>
      <rPr>
        <sz val="9"/>
        <color theme="1"/>
        <rFont val="Calibri"/>
        <family val="2"/>
        <scheme val="minor"/>
      </rPr>
      <t>Add guaranteed payments</t>
    </r>
  </si>
  <si>
    <t>Form W-2, Box 5</t>
  </si>
  <si>
    <t>Identify W-2s that reflect wages paid to the borrower from the borrower’s business. However, before you include any W-2 income from the business, you must consider the financial health of it.</t>
  </si>
  <si>
    <t>In general, use Box 5 to locate wages from self-employment. However, in certain cases, after evaluating the source of income reported in Box 1, it may be appropriate to use the amount in Box 1. Follow investor  guidelines.</t>
  </si>
  <si>
    <r>
      <t>•</t>
    </r>
    <r>
      <rPr>
        <sz val="7"/>
        <color theme="1"/>
        <rFont val="Times New Roman"/>
        <family val="1"/>
      </rPr>
      <t xml:space="preserve">        </t>
    </r>
    <r>
      <rPr>
        <sz val="9"/>
        <color theme="1"/>
        <rFont val="Calibri"/>
        <family val="2"/>
        <scheme val="minor"/>
      </rPr>
      <t>Add self-employed wages</t>
    </r>
  </si>
  <si>
    <t>Form 1065: U.S. Return of Partnership Income</t>
  </si>
  <si>
    <t>Partnerships report profit or loss on Form 1065. The partnership itself does not pay tax. Partnership profit (loss) is passed to individual partners via Schedule K-1 (Form 1065). The partners pay tax on their proportionate share.</t>
  </si>
  <si>
    <t>As you analyze cash flow from Form 1065, remember to add/deduct only the borrower’s share of income/losses. The borrower’s ownership percentage is on Schedule K-1 (Form 1065).</t>
  </si>
  <si>
    <t>The first page of Form 1065 provides a picture of the business’s income and expenses at a given point in time and is basically an income statement.</t>
  </si>
  <si>
    <t>Line 4: Ordinary Income (Loss) from Other Partnerships, Estates, and Trusts</t>
  </si>
  <si>
    <t>Partnerships can be partners in other partnerships. Income earned by a partnership waterfalls to its partners.</t>
  </si>
  <si>
    <r>
      <t>•</t>
    </r>
    <r>
      <rPr>
        <sz val="7"/>
        <color theme="1"/>
        <rFont val="Times New Roman"/>
        <family val="1"/>
      </rPr>
      <t xml:space="preserve">        </t>
    </r>
    <r>
      <rPr>
        <sz val="9"/>
        <color theme="1"/>
        <rFont val="Calibri"/>
        <family val="2"/>
        <scheme val="minor"/>
      </rPr>
      <t>To avoid double-counting this income, deduct the income/add back the loss</t>
    </r>
  </si>
  <si>
    <t>Analyze these lines to determine whether the income (loss) is stable and recurring.</t>
  </si>
  <si>
    <t>Line 16c: Depreciation</t>
  </si>
  <si>
    <t>Line 17: Depletion</t>
  </si>
  <si>
    <t>Line 20: Other Deductions</t>
  </si>
  <si>
    <t>Review the supporting statement for deductions for amortization and any one-time casualty losses.</t>
  </si>
  <si>
    <r>
      <t>•</t>
    </r>
    <r>
      <rPr>
        <sz val="7"/>
        <color theme="1"/>
        <rFont val="Times New Roman"/>
        <family val="1"/>
      </rPr>
      <t xml:space="preserve">        </t>
    </r>
    <r>
      <rPr>
        <sz val="9"/>
        <color theme="1"/>
        <rFont val="Calibri"/>
        <family val="2"/>
        <scheme val="minor"/>
      </rPr>
      <t>Add back amortization and/or casualty loss</t>
    </r>
  </si>
  <si>
    <t>Schedule L – Balance Sheets per Books</t>
  </si>
  <si>
    <t>This section of Form 1065 provides a picture of the business’s assets and liabilities and the owners’ equity at the beginning and the end of the tax year.</t>
  </si>
  <si>
    <r>
      <rPr>
        <b/>
        <sz val="9"/>
        <color theme="1"/>
        <rFont val="Calibri"/>
        <family val="2"/>
        <scheme val="minor"/>
      </rPr>
      <t>Note:</t>
    </r>
    <r>
      <rPr>
        <sz val="9"/>
        <color theme="1"/>
        <rFont val="Calibri"/>
        <family val="2"/>
        <scheme val="minor"/>
      </rPr>
      <t xml:space="preserve"> IRS guidelines do not require every business to complete Schedule L.</t>
    </r>
  </si>
  <si>
    <t>Schedule L, Line 16, Column D: Mortgages, Notes, Bonds Payable in Less Than 1 Year</t>
  </si>
  <si>
    <t>Business obligations that are payable in less than 1 year may have a negative impact on cash flow.</t>
  </si>
  <si>
    <r>
      <t>•</t>
    </r>
    <r>
      <rPr>
        <sz val="7"/>
        <color theme="1"/>
        <rFont val="Times New Roman"/>
        <family val="1"/>
      </rPr>
      <t xml:space="preserve">        </t>
    </r>
    <r>
      <rPr>
        <sz val="9"/>
        <color theme="1"/>
        <rFont val="Calibri"/>
        <family val="2"/>
        <scheme val="minor"/>
      </rPr>
      <t>In general, deduct the amount in Column D; however, if you determine these obligations have a “rollover” clause or there are ample liquid assets to cover these obligations, a deduction may not be necessary</t>
    </r>
  </si>
  <si>
    <t>Schedule M-1 – Reconciliation of Income (Loss) per Books With Income (Loss) per Return</t>
  </si>
  <si>
    <t>Line 4b: Travel and Entertainment</t>
  </si>
  <si>
    <t>Business-related expenses (travel, meals and entertainment) reported on Schedule M-1 have been excluded from taxable income.</t>
  </si>
  <si>
    <r>
      <t>•</t>
    </r>
    <r>
      <rPr>
        <sz val="7"/>
        <color theme="1"/>
        <rFont val="Times New Roman"/>
        <family val="1"/>
      </rPr>
      <t xml:space="preserve">        </t>
    </r>
    <r>
      <rPr>
        <sz val="9"/>
        <color theme="1"/>
        <rFont val="Calibri"/>
        <family val="2"/>
        <scheme val="minor"/>
      </rPr>
      <t>Deduct the amount on Line 4b, which reflects nondeductible expenses paid. Follow investor guidelines</t>
    </r>
  </si>
  <si>
    <t>S Corporation Cash Flow (Form 1120S)</t>
  </si>
  <si>
    <t>An S Corporation is a legal entity with a limited number of shareholders.</t>
  </si>
  <si>
    <t>Schedule K-1 (Form 1120S)</t>
  </si>
  <si>
    <t>S Corporations prepare Schedule K-1 (Form 1120S) to inform individual shareholders of their share of income (loss), deductions and credits.</t>
  </si>
  <si>
    <t>Because shareholders pay tax on income earned by the S Corporation, they are able to take distributions and withdrawals free of income tax consequences.</t>
  </si>
  <si>
    <r>
      <t>•</t>
    </r>
    <r>
      <rPr>
        <sz val="7"/>
        <color theme="1"/>
        <rFont val="Times New Roman"/>
        <family val="1"/>
      </rPr>
      <t xml:space="preserve">        </t>
    </r>
    <r>
      <rPr>
        <sz val="9"/>
        <color theme="1"/>
        <rFont val="Calibri"/>
        <family val="2"/>
        <scheme val="minor"/>
      </rPr>
      <t>Add ordinary income only if the S Corporation has positive sales and earnings trends, AND:</t>
    </r>
  </si>
  <si>
    <t xml:space="preserve">    (Refer to Line 16, Items affecting shareholder basis, for Code D cash distributions); OR</t>
  </si>
  <si>
    <t>If the borrower has reported income or loss from net rental real estate activity on this line, the S Corporation Return will generally include Form 8825: Rental Real Estate Income and Expenses of a Partnership or an S Corporation.</t>
  </si>
  <si>
    <t>Form 1120S: U.S. Income Tax Return for an S Corporation</t>
  </si>
  <si>
    <t>S Corporations report profit or loss on Form 1120S. The S Corporation itself does not pay tax. S Corporation profit (loss) is passed to individual shareholders via Schedule K-1 (1120S). The shareholders pay tax on their proportionate share.</t>
  </si>
  <si>
    <t>As you analyze cash flow from Form 1120S, remember to add/deduct only the borrower’s share of income/losses. The borrower’s ownership percentage is on Schedule K-1 (Form 1120S).</t>
  </si>
  <si>
    <t>Using income from Form 1120S to qualify the borrower depends upon the viability of the business and the borrower’s ability  to  access funds.</t>
  </si>
  <si>
    <t>The first page of Form 1120S provides a picture of the business’s income and expenses at a given point in time and is basically an income statement.</t>
  </si>
  <si>
    <t>This section of Form 1120S provides a picture of the business’s assets and liabilities and the owners’ equity at the beginning and the end of the tax year.</t>
  </si>
  <si>
    <t>Business obligations payable in less than 1 year may have a negative impact on cash flow.</t>
  </si>
  <si>
    <t>Line 3b: Travel and Entertainment</t>
  </si>
  <si>
    <r>
      <t>•</t>
    </r>
    <r>
      <rPr>
        <sz val="7"/>
        <color theme="1"/>
        <rFont val="Times New Roman"/>
        <family val="1"/>
      </rPr>
      <t xml:space="preserve">        </t>
    </r>
    <r>
      <rPr>
        <sz val="9"/>
        <color theme="1"/>
        <rFont val="Calibri"/>
        <family val="2"/>
        <scheme val="minor"/>
      </rPr>
      <t>Deduct the amount on Line 3b, which reflects nondeductible expenses paid. Follow investor guidelines</t>
    </r>
  </si>
  <si>
    <t>Corporation Cash Flow (Form 1120)</t>
  </si>
  <si>
    <t>A corporation is a legal entity, separate and distinct from its shareholders.</t>
  </si>
  <si>
    <t>Form 1120: U.S. Corporation Income  Tax  Return</t>
  </si>
  <si>
    <t>Corporations report profit (loss) on Form 1120. They are taxed on their profits. Corporate profit (loss) is distributed to shareholders in the form of dividends.</t>
  </si>
  <si>
    <t>As you analyze cash flow from Form 1120, remember to add/ deduct only the borrower’s share of income/losses. The borrower’s ownership percentage is usually on Form 1125-E.</t>
  </si>
  <si>
    <t>Using income from the 1120 to qualify the borrower depends upon the viability of the business and the borrower’s ability to access funds.</t>
  </si>
  <si>
    <t>The first page of Form 1120 provides a picture of the business’s income and expenses at a given point in time and is basically an income statement.</t>
  </si>
  <si>
    <r>
      <rPr>
        <b/>
        <sz val="9"/>
        <color theme="1"/>
        <rFont val="Calibri"/>
        <family val="2"/>
        <scheme val="minor"/>
      </rPr>
      <t>Note:</t>
    </r>
    <r>
      <rPr>
        <sz val="9"/>
        <color theme="1"/>
        <rFont val="Calibri"/>
        <family val="2"/>
        <scheme val="minor"/>
      </rPr>
      <t xml:space="preserve"> In order for corporate earnings to be eligible as qualifying income, investors generally require that the borrower is a 100% owner of the business.</t>
    </r>
  </si>
  <si>
    <t>Line 30: Taxable Income</t>
  </si>
  <si>
    <t>The amount on this line represents the corporation’s income after deductions but before income tax. This is the starting point of the analysis.</t>
  </si>
  <si>
    <r>
      <t>•</t>
    </r>
    <r>
      <rPr>
        <sz val="7"/>
        <color theme="1"/>
        <rFont val="Times New Roman"/>
        <family val="1"/>
      </rPr>
      <t xml:space="preserve">        </t>
    </r>
    <r>
      <rPr>
        <sz val="9"/>
        <color theme="1"/>
        <rFont val="Calibri"/>
        <family val="2"/>
        <scheme val="minor"/>
      </rPr>
      <t>Add taxable income</t>
    </r>
  </si>
  <si>
    <t>Line 31: Total Tax</t>
  </si>
  <si>
    <t>Unlike partnerships and S Corporations, regular corporations pay income tax. Deduct taxes before determining cash flow.</t>
  </si>
  <si>
    <r>
      <t>•</t>
    </r>
    <r>
      <rPr>
        <sz val="7"/>
        <color theme="1"/>
        <rFont val="Times New Roman"/>
        <family val="1"/>
      </rPr>
      <t xml:space="preserve">        </t>
    </r>
    <r>
      <rPr>
        <sz val="9"/>
        <color theme="1"/>
        <rFont val="Calibri"/>
        <family val="2"/>
        <scheme val="minor"/>
      </rPr>
      <t>Deduct the tax liability</t>
    </r>
  </si>
  <si>
    <t>Lines 8 and 9: Capital and Net Gains</t>
  </si>
  <si>
    <t>Examine any capital and net gains (losses) listed on page 1 of Form 1120, details of which are reported on Schedule D and Form 4797.</t>
  </si>
  <si>
    <r>
      <t>•</t>
    </r>
    <r>
      <rPr>
        <sz val="7"/>
        <color theme="1"/>
        <rFont val="Times New Roman"/>
        <family val="1"/>
      </rPr>
      <t xml:space="preserve">        </t>
    </r>
    <r>
      <rPr>
        <sz val="9"/>
        <color theme="1"/>
        <rFont val="Calibri"/>
        <family val="2"/>
        <scheme val="minor"/>
      </rPr>
      <t>Deduct nonrecurring gains/add nonrecurring losses</t>
    </r>
  </si>
  <si>
    <t>Line 10: Other Income</t>
  </si>
  <si>
    <t>Analyze this income to determine whether it’s stable and recurring.</t>
  </si>
  <si>
    <t>Line 20: Depreciation</t>
  </si>
  <si>
    <t>Line 21: Depletion</t>
  </si>
  <si>
    <t>Line 26: Other Deductions</t>
  </si>
  <si>
    <t>Lines 29a and 29b: Net Operating Loss and Special Deductions</t>
  </si>
  <si>
    <t>When a corporation sustains a loss in one year, it has the ability to offset income earned in future years.</t>
  </si>
  <si>
    <t>In ensuing years, the corporation may include a previous year’s loss on its corporate tax return, even though it might not have experienced the loss that year.</t>
  </si>
  <si>
    <t>A corporation that receives dividend income may be able to take a deduction for a certain percentage of the amount it received. This deduction is a noncash expense.</t>
  </si>
  <si>
    <t>This section of Form 1120 provides a picture of the business’s assets and liabilities and the owners’ equity at the beginning and the end of the tax year.</t>
  </si>
  <si>
    <r>
      <rPr>
        <b/>
        <sz val="9"/>
        <color theme="1"/>
        <rFont val="Calibri"/>
        <family val="2"/>
        <scheme val="minor"/>
      </rPr>
      <t xml:space="preserve">Note: </t>
    </r>
    <r>
      <rPr>
        <sz val="9"/>
        <color theme="1"/>
        <rFont val="Calibri"/>
        <family val="2"/>
        <scheme val="minor"/>
      </rPr>
      <t>IRS guidelines do not require every business to complete Schedule L.</t>
    </r>
  </si>
  <si>
    <t>Line 17, Column D: Mortgages, Notes, Bonds Payable in Less Than 1 Year</t>
  </si>
  <si>
    <t>Schedule M-1 – Reconciliation of Income (Loss) per Books With Income per Return</t>
  </si>
  <si>
    <t>Line 5c: Travel and Entertainment</t>
  </si>
  <si>
    <r>
      <t>•</t>
    </r>
    <r>
      <rPr>
        <sz val="7"/>
        <color theme="1"/>
        <rFont val="Times New Roman"/>
        <family val="1"/>
      </rPr>
      <t xml:space="preserve">        </t>
    </r>
    <r>
      <rPr>
        <sz val="9"/>
        <color theme="1"/>
        <rFont val="Calibri"/>
        <family val="2"/>
        <scheme val="minor"/>
      </rPr>
      <t>Deduct the amount from Line 5c, which reflects nondeductible expenses paid. Follow investor guidelines</t>
    </r>
  </si>
  <si>
    <r>
      <t>Non-Deductible Meals and Entertainment Exclusion:</t>
    </r>
    <r>
      <rPr>
        <b/>
        <sz val="11"/>
        <color rgb="FF70AD47"/>
        <rFont val="Calibri"/>
        <family val="2"/>
        <scheme val="minor"/>
      </rPr>
      <t xml:space="preserve"> LINE 24b</t>
    </r>
  </si>
  <si>
    <r>
      <t>Non-Deductible Travel and Entertainment Exclusion:</t>
    </r>
    <r>
      <rPr>
        <b/>
        <sz val="11"/>
        <color rgb="FF70AD47"/>
        <rFont val="Calibri"/>
        <family val="2"/>
        <scheme val="minor"/>
      </rPr>
      <t xml:space="preserve"> Schedule M-1, LINE 4b</t>
    </r>
  </si>
  <si>
    <r>
      <t>Non-Deductible Travel and Entertainment Exclusion:</t>
    </r>
    <r>
      <rPr>
        <b/>
        <sz val="11"/>
        <color rgb="FF70AD47"/>
        <rFont val="Calibri"/>
        <family val="2"/>
        <scheme val="minor"/>
      </rPr>
      <t xml:space="preserve"> Schedule M-1, LINE 3b</t>
    </r>
  </si>
  <si>
    <r>
      <t>Non-Deductible Travel and Entertainment Exclusion:</t>
    </r>
    <r>
      <rPr>
        <b/>
        <sz val="11"/>
        <color rgb="FF70AD47"/>
        <rFont val="Calibri"/>
        <family val="2"/>
        <scheme val="minor"/>
      </rPr>
      <t xml:space="preserve"> Schedule M-1, LINE 5c</t>
    </r>
  </si>
  <si>
    <t>SCHEDULE C - SINGLE-MEMBER LLC</t>
  </si>
  <si>
    <r>
      <t>W-2 Income from Self-Employment:</t>
    </r>
    <r>
      <rPr>
        <b/>
        <sz val="11"/>
        <color rgb="FF70AD47"/>
        <rFont val="Calibri"/>
        <family val="2"/>
        <scheme val="minor"/>
      </rPr>
      <t xml:space="preserve"> W-2, Box 5 (in general)</t>
    </r>
  </si>
  <si>
    <t>11a</t>
  </si>
  <si>
    <t>11b</t>
  </si>
  <si>
    <t>2,3,4,5,6,7,8,9,12</t>
  </si>
  <si>
    <t>Instructions for using MGIC income calculators:</t>
  </si>
  <si>
    <t>Upon initial download of the calculator, you may see the following Microsoft warning:</t>
  </si>
  <si>
    <t>Please make sure that you have followed the bulleted steps below in order to obtain the calculator</t>
  </si>
  <si>
    <r>
      <t>·</t>
    </r>
    <r>
      <rPr>
        <sz val="7"/>
        <color theme="1"/>
        <rFont val="Times New Roman"/>
        <family val="1"/>
      </rPr>
      <t xml:space="preserve">         </t>
    </r>
    <r>
      <rPr>
        <sz val="12"/>
        <color theme="1"/>
        <rFont val="Calibri"/>
        <family val="2"/>
        <scheme val="minor"/>
      </rPr>
      <t xml:space="preserve">Go to </t>
    </r>
    <r>
      <rPr>
        <u/>
        <sz val="12"/>
        <color rgb="FF0563C1"/>
        <rFont val="Calibri"/>
        <family val="2"/>
        <scheme val="minor"/>
      </rPr>
      <t>mgic.com/seb</t>
    </r>
  </si>
  <si>
    <r>
      <t>·</t>
    </r>
    <r>
      <rPr>
        <sz val="7"/>
        <color theme="1"/>
        <rFont val="Times New Roman"/>
        <family val="1"/>
      </rPr>
      <t xml:space="preserve">         </t>
    </r>
    <r>
      <rPr>
        <sz val="12"/>
        <color theme="1"/>
        <rFont val="Calibri"/>
        <family val="2"/>
        <scheme val="minor"/>
      </rPr>
      <t>Fill out the form to request access to the worksheets</t>
    </r>
  </si>
  <si>
    <r>
      <t>·</t>
    </r>
    <r>
      <rPr>
        <sz val="7"/>
        <color theme="1"/>
        <rFont val="Times New Roman"/>
        <family val="1"/>
      </rPr>
      <t xml:space="preserve">         </t>
    </r>
    <r>
      <rPr>
        <b/>
        <sz val="12"/>
        <color theme="1"/>
        <rFont val="Calibri"/>
        <family val="2"/>
        <scheme val="minor"/>
      </rPr>
      <t>Download</t>
    </r>
    <r>
      <rPr>
        <sz val="12"/>
        <color theme="1"/>
        <rFont val="Calibri"/>
        <family val="2"/>
        <scheme val="minor"/>
      </rPr>
      <t xml:space="preserve"> the worksheet </t>
    </r>
  </si>
  <si>
    <r>
      <t>·</t>
    </r>
    <r>
      <rPr>
        <sz val="7"/>
        <color theme="1"/>
        <rFont val="Times New Roman"/>
        <family val="1"/>
      </rPr>
      <t xml:space="preserve">         </t>
    </r>
    <r>
      <rPr>
        <sz val="12"/>
        <color theme="1"/>
        <rFont val="Calibri"/>
        <family val="2"/>
        <scheme val="minor"/>
      </rPr>
      <t xml:space="preserve">Open the worksheet and </t>
    </r>
    <r>
      <rPr>
        <b/>
        <sz val="12"/>
        <color theme="1"/>
        <rFont val="Calibri"/>
        <family val="2"/>
        <scheme val="minor"/>
      </rPr>
      <t>save it to your computer</t>
    </r>
    <r>
      <rPr>
        <sz val="12"/>
        <color theme="1"/>
        <rFont val="Calibri"/>
        <family val="2"/>
        <scheme val="minor"/>
      </rPr>
      <t xml:space="preserve"> using a different name (before editing)</t>
    </r>
  </si>
  <si>
    <r>
      <t>·</t>
    </r>
    <r>
      <rPr>
        <sz val="7"/>
        <color theme="1"/>
        <rFont val="Times New Roman"/>
        <family val="1"/>
      </rPr>
      <t xml:space="preserve">         </t>
    </r>
    <r>
      <rPr>
        <b/>
        <sz val="12"/>
        <color theme="1"/>
        <rFont val="Calibri"/>
        <family val="2"/>
        <scheme val="minor"/>
      </rPr>
      <t>Close</t>
    </r>
    <r>
      <rPr>
        <sz val="12"/>
        <color theme="1"/>
        <rFont val="Calibri"/>
        <family val="2"/>
        <scheme val="minor"/>
      </rPr>
      <t xml:space="preserve"> the download/worksheet</t>
    </r>
  </si>
  <si>
    <r>
      <t>·</t>
    </r>
    <r>
      <rPr>
        <sz val="7"/>
        <color theme="1"/>
        <rFont val="Times New Roman"/>
        <family val="1"/>
      </rPr>
      <t xml:space="preserve">         </t>
    </r>
    <r>
      <rPr>
        <b/>
        <sz val="12"/>
        <color theme="1"/>
        <rFont val="Calibri"/>
        <family val="2"/>
        <scheme val="minor"/>
      </rPr>
      <t>Re-open</t>
    </r>
    <r>
      <rPr>
        <sz val="12"/>
        <color theme="1"/>
        <rFont val="Calibri"/>
        <family val="2"/>
        <scheme val="minor"/>
      </rPr>
      <t xml:space="preserve"> the worksheet from the saved location</t>
    </r>
  </si>
  <si>
    <r>
      <t>·</t>
    </r>
    <r>
      <rPr>
        <sz val="7"/>
        <color theme="1"/>
        <rFont val="Times New Roman"/>
        <family val="1"/>
      </rPr>
      <t xml:space="preserve">         </t>
    </r>
    <r>
      <rPr>
        <sz val="12"/>
        <color theme="1"/>
        <rFont val="Calibri"/>
        <family val="2"/>
        <scheme val="minor"/>
      </rPr>
      <t>If there is a yellow bar at the top, click “Enable Content”</t>
    </r>
  </si>
  <si>
    <t>If these steps do not work, please do the following:</t>
  </si>
  <si>
    <r>
      <t>·</t>
    </r>
    <r>
      <rPr>
        <sz val="7"/>
        <color theme="1"/>
        <rFont val="Times New Roman"/>
        <family val="1"/>
      </rPr>
      <t xml:space="preserve">         </t>
    </r>
    <r>
      <rPr>
        <b/>
        <sz val="12"/>
        <color theme="1"/>
        <rFont val="Calibri"/>
        <family val="2"/>
        <scheme val="minor"/>
      </rPr>
      <t>Close</t>
    </r>
    <r>
      <rPr>
        <sz val="12"/>
        <color theme="1"/>
        <rFont val="Calibri"/>
        <family val="2"/>
        <scheme val="minor"/>
      </rPr>
      <t xml:space="preserve"> the workbook</t>
    </r>
  </si>
  <si>
    <r>
      <t>·</t>
    </r>
    <r>
      <rPr>
        <sz val="7"/>
        <color theme="1"/>
        <rFont val="Times New Roman"/>
        <family val="1"/>
      </rPr>
      <t xml:space="preserve">         </t>
    </r>
    <r>
      <rPr>
        <b/>
        <sz val="12"/>
        <color theme="1"/>
        <rFont val="Calibri"/>
        <family val="2"/>
        <scheme val="minor"/>
      </rPr>
      <t xml:space="preserve">Navigate </t>
    </r>
    <r>
      <rPr>
        <sz val="12"/>
        <color theme="1"/>
        <rFont val="Calibri"/>
        <family val="2"/>
        <scheme val="minor"/>
      </rPr>
      <t>to the location where the workbook is saved</t>
    </r>
  </si>
  <si>
    <r>
      <t>·</t>
    </r>
    <r>
      <rPr>
        <sz val="7"/>
        <color theme="1"/>
        <rFont val="Times New Roman"/>
        <family val="1"/>
      </rPr>
      <t xml:space="preserve">         </t>
    </r>
    <r>
      <rPr>
        <b/>
        <sz val="12"/>
        <color theme="1"/>
        <rFont val="Calibri"/>
        <family val="2"/>
        <scheme val="minor"/>
      </rPr>
      <t>Right-click</t>
    </r>
    <r>
      <rPr>
        <sz val="12"/>
        <color theme="1"/>
        <rFont val="Calibri"/>
        <family val="2"/>
        <scheme val="minor"/>
      </rPr>
      <t xml:space="preserve"> on the file and select </t>
    </r>
    <r>
      <rPr>
        <b/>
        <sz val="12"/>
        <color theme="1"/>
        <rFont val="Calibri"/>
        <family val="2"/>
        <scheme val="minor"/>
      </rPr>
      <t>Properties</t>
    </r>
    <r>
      <rPr>
        <sz val="12"/>
        <color theme="1"/>
        <rFont val="Calibri"/>
        <family val="2"/>
        <scheme val="minor"/>
      </rPr>
      <t xml:space="preserve"> from the menu</t>
    </r>
  </si>
  <si>
    <r>
      <t>·</t>
    </r>
    <r>
      <rPr>
        <sz val="7"/>
        <color theme="1"/>
        <rFont val="Times New Roman"/>
        <family val="1"/>
      </rPr>
      <t xml:space="preserve">         </t>
    </r>
    <r>
      <rPr>
        <sz val="12"/>
        <color theme="1"/>
        <rFont val="Calibri"/>
        <family val="2"/>
        <scheme val="minor"/>
      </rPr>
      <t xml:space="preserve">At the bottom of the </t>
    </r>
    <r>
      <rPr>
        <b/>
        <sz val="12"/>
        <color theme="1"/>
        <rFont val="Calibri"/>
        <family val="2"/>
        <scheme val="minor"/>
      </rPr>
      <t xml:space="preserve">General </t>
    </r>
    <r>
      <rPr>
        <sz val="12"/>
        <color theme="1"/>
        <rFont val="Calibri"/>
        <family val="2"/>
        <scheme val="minor"/>
      </rPr>
      <t xml:space="preserve">tab, check the </t>
    </r>
    <r>
      <rPr>
        <b/>
        <sz val="12"/>
        <color theme="1"/>
        <rFont val="Calibri"/>
        <family val="2"/>
        <scheme val="minor"/>
      </rPr>
      <t>unblock box</t>
    </r>
    <r>
      <rPr>
        <sz val="12"/>
        <color theme="1"/>
        <rFont val="Calibri"/>
        <family val="2"/>
        <scheme val="minor"/>
      </rPr>
      <t xml:space="preserve"> then click </t>
    </r>
    <r>
      <rPr>
        <b/>
        <sz val="12"/>
        <color theme="1"/>
        <rFont val="Calibri"/>
        <family val="2"/>
        <scheme val="minor"/>
      </rPr>
      <t>OK</t>
    </r>
  </si>
  <si>
    <t>If you receive the following pop-up, click on “Yes”</t>
  </si>
  <si>
    <t>Go Back to SAM Cash Flow Analysis Worksheet</t>
  </si>
  <si>
    <t xml:space="preserve">Before you can use the worksheet, you must make it a Trusted Document.  Click here for instructions. </t>
  </si>
  <si>
    <r>
      <t>Add nonrecurring loss:</t>
    </r>
    <r>
      <rPr>
        <b/>
        <sz val="11"/>
        <color rgb="FF70AD47"/>
        <rFont val="Calibri"/>
        <family val="2"/>
        <scheme val="minor"/>
      </rPr>
      <t xml:space="preserve"> LINE 2-8 </t>
    </r>
  </si>
  <si>
    <r>
      <t>Deduct nonrecurring income:</t>
    </r>
    <r>
      <rPr>
        <b/>
        <sz val="11"/>
        <color rgb="FF70AD47"/>
        <rFont val="Calibri"/>
        <family val="2"/>
        <scheme val="minor"/>
      </rPr>
      <t xml:space="preserve"> LINE 2-8 </t>
    </r>
  </si>
  <si>
    <t>2,3,4,5,6,7,8</t>
  </si>
  <si>
    <t>Input the Year(s):</t>
  </si>
  <si>
    <t>SINGLE-MEMBER LLC</t>
  </si>
  <si>
    <t>Single-Member LLC Cash Flow</t>
  </si>
  <si>
    <t>Single-Member LLC</t>
  </si>
  <si>
    <t>=IF(OR(SAM!D18=0,SAM!D18=""),"",SAM!D18)</t>
  </si>
  <si>
    <t>=IF(OR(SAM!D33=0,SAM!D33=""),"",SAM!D33)</t>
  </si>
  <si>
    <t>=IF(OR(SAM!D48=0,SAM!D48=""),"",SAM!D48)</t>
  </si>
  <si>
    <t>=IF(OR(SAM!D66=0,SAM!D66=""),"",SAM!D66)</t>
  </si>
  <si>
    <t>=IF(OR(SAM!E114=0,SAM!E114=""),"",SAM!E114)</t>
  </si>
  <si>
    <t>=IF(OR(SAM!E146=0,SAM!E146=""),"",SAM!E146)</t>
  </si>
  <si>
    <t>=IF(OR(SAM!E178=0,SAM!E178=""),"",SAM!E178)</t>
  </si>
  <si>
    <t>=IF(OR(SAM!E210=0,SAM!E210=""),"",SAM!E210)</t>
  </si>
  <si>
    <t>=IF(OR(SAM!E242=0,SAM!E242=""),"",SAM!E242)</t>
  </si>
  <si>
    <t>=IF(OR(SAM!E274=0,SAM!E274=""),"",SAM!E274)</t>
  </si>
  <si>
    <t>=IF(OR(SAM!E308=0,SAM!E308=""),"",SAM!E308)</t>
  </si>
  <si>
    <t>=IF(OR(SAM!E338=0,SAM!E338=""),"",SAM!E338)</t>
  </si>
  <si>
    <t>=IF(OR(SAM!E368=0,SAM!E368=""),"",SAM!E368)</t>
  </si>
  <si>
    <t>=IF(OR(SAM!E398=0,SAM!E398=""),"",SAM!E398)</t>
  </si>
  <si>
    <t>=IF(OR(SAM!E428=0,SAM!E428=""),"",SAM!E428)</t>
  </si>
  <si>
    <t>=IF(OR(SAM!E458=0,SAM!E458=""),"",SAM!E458)</t>
  </si>
  <si>
    <t>=IF(OR(SAM!E490=0,SAM!E490=""),"",SAM!E490)</t>
  </si>
  <si>
    <t>=IF(OR(SAM!E517=0,SAM!E517=""),"",SAM!E517)</t>
  </si>
  <si>
    <t>=IF(OR(SAM!E544=0,SAM!E544=""),"",SAM!E544)</t>
  </si>
  <si>
    <t>YEAR_1</t>
  </si>
  <si>
    <t>YEAR_2</t>
  </si>
  <si>
    <t>YEAR_3</t>
  </si>
  <si>
    <t>P&amp;L Year Entries</t>
  </si>
  <si>
    <r>
      <t>Business Miles:</t>
    </r>
    <r>
      <rPr>
        <b/>
        <sz val="11"/>
        <color rgb="FF70AD47"/>
        <rFont val="Calibri"/>
        <family val="2"/>
        <scheme val="minor"/>
      </rPr>
      <t xml:space="preserve"> Page 2, Part IV, LINE 44a OR Related 4562, Line 30</t>
    </r>
  </si>
  <si>
    <t xml:space="preserve">Business:   </t>
  </si>
  <si>
    <t>65.5¢</t>
  </si>
  <si>
    <t>28¢</t>
  </si>
  <si>
    <r>
      <t>•</t>
    </r>
    <r>
      <rPr>
        <sz val="7"/>
        <color theme="1"/>
        <rFont val="Times New Roman"/>
        <family val="1"/>
      </rPr>
      <t xml:space="preserve">        </t>
    </r>
    <r>
      <rPr>
        <sz val="9"/>
        <color theme="1"/>
        <rFont val="Calibri"/>
        <family val="2"/>
        <scheme val="minor"/>
      </rPr>
      <t>Multiply the number of miles on Line 44a (or Line 30 of Form 4562) by the depreciation factor for the appropriate year. Add back the amount.</t>
    </r>
  </si>
  <si>
    <t>This represents the partner’s allocated share of ordinary income or loss from the partnership. The partnership allocates portions of income, loss, deductions and credits earned by the business to its partners. Partners pay tax or take deductions on their personal returns for these “pass-through” items.</t>
  </si>
  <si>
    <t>Using income from Form 1065 to qualify the borrower depends upon the viability of the business and the borrower’s ability  to  access funds.</t>
  </si>
  <si>
    <t>Line 21: Other Deductions</t>
  </si>
  <si>
    <t>This represents the shareholder’s allocated share of ordinary income (loss) from the S Corporation. The business allocates S Corporation shareholders’ portions of income, loss, deductions and credits earned. Shareholders pay tax or take deductions on their personal returns for these “pass-through” items.</t>
  </si>
  <si>
    <t>Line  16: Depreciation</t>
  </si>
  <si>
    <t>Line 17, Column D: Mortgages, Notes, Bonds Payable in Less Than 1  Year</t>
  </si>
  <si>
    <t>Schedule M-2 – Analysis of Unappropriated Retained Earnings per Books</t>
  </si>
  <si>
    <t>Line 5b: Stock</t>
  </si>
  <si>
    <t>Dividends paid to the borrower by the corporation as indicated on Schedule B of the 1040.</t>
  </si>
  <si>
    <r>
      <t>•</t>
    </r>
    <r>
      <rPr>
        <sz val="7"/>
        <color theme="1"/>
        <rFont val="Times New Roman"/>
        <family val="1"/>
      </rPr>
      <t xml:space="preserve">        </t>
    </r>
    <r>
      <rPr>
        <sz val="9"/>
        <color theme="1"/>
        <rFont val="Calibri"/>
        <family val="2"/>
        <scheme val="minor"/>
      </rPr>
      <t>Deduct dividends to avoid double-counting income from Schedule B</t>
    </r>
  </si>
  <si>
    <r>
      <rPr>
        <b/>
        <sz val="16"/>
        <color theme="1"/>
        <rFont val="Calibri"/>
        <family val="2"/>
        <scheme val="minor"/>
      </rPr>
      <t>User tips:</t>
    </r>
    <r>
      <rPr>
        <b/>
        <sz val="8"/>
        <color theme="1"/>
        <rFont val="Calibri"/>
        <family val="2"/>
        <scheme val="minor"/>
      </rPr>
      <t xml:space="preserve">
</t>
    </r>
    <r>
      <rPr>
        <b/>
        <sz val="11"/>
        <color theme="1"/>
        <rFont val="Calibri"/>
        <family val="2"/>
        <scheme val="minor"/>
      </rPr>
      <t xml:space="preserve">    • Add borrower information in blue-shaded fields
    • Select the tax year(s) being reviewed
    • Click the "O" button to expand income source section
    • Use Summary section to analyze income trends
    • For negative entries, please type "-" prior to number
    • For line instructions, hover over red triangles
    • For guidance, see </t>
    </r>
    <r>
      <rPr>
        <b/>
        <sz val="11"/>
        <color theme="4"/>
        <rFont val="Calibri"/>
        <family val="2"/>
        <scheme val="minor"/>
      </rPr>
      <t>Help Document</t>
    </r>
    <r>
      <rPr>
        <b/>
        <sz val="11"/>
        <color theme="1"/>
        <rFont val="Calibri"/>
        <family val="2"/>
        <scheme val="minor"/>
      </rPr>
      <t xml:space="preserve">
    • Select the "Reset Workbook" button on top to clear all information
    • To print several worksheet tabs into one PDF, hold down the Command or Control key and click on the tabs that should be included, then print the document</t>
    </r>
  </si>
  <si>
    <t xml:space="preserve">• To modify the Total No. of Months, select the applicable number from the # mo. drop-down box. 
• To exclude a Subtotal from Qualifying Income, select the box to the left of the dollar amount. </t>
  </si>
  <si>
    <r>
      <t>Determine business liquidity by using tax return or interim balance sheet and entering the applicable line items below.</t>
    </r>
    <r>
      <rPr>
        <b/>
        <sz val="8"/>
        <color theme="1"/>
        <rFont val="Calibri"/>
        <family val="2"/>
        <scheme val="minor"/>
      </rPr>
      <t xml:space="preserve">
</t>
    </r>
    <r>
      <rPr>
        <b/>
        <sz val="16"/>
        <color theme="1"/>
        <rFont val="Calibri"/>
        <family val="2"/>
        <scheme val="minor"/>
      </rPr>
      <t>In general:</t>
    </r>
    <r>
      <rPr>
        <b/>
        <sz val="11"/>
        <color theme="1"/>
        <rFont val="Calibri"/>
        <family val="2"/>
        <scheme val="minor"/>
      </rPr>
      <t xml:space="preserve">
   • Use the </t>
    </r>
    <r>
      <rPr>
        <b/>
        <i/>
        <sz val="11"/>
        <color theme="1"/>
        <rFont val="Calibri"/>
        <family val="2"/>
        <scheme val="minor"/>
      </rPr>
      <t>Current Ratio</t>
    </r>
    <r>
      <rPr>
        <b/>
        <sz val="11"/>
        <color theme="1"/>
        <rFont val="Calibri"/>
        <family val="2"/>
        <scheme val="minor"/>
      </rPr>
      <t xml:space="preserve"> for a business that doesn’t rely on inventory to generate its income (i.e., pest control company)
   • Use the </t>
    </r>
    <r>
      <rPr>
        <b/>
        <i/>
        <sz val="11"/>
        <color theme="1"/>
        <rFont val="Calibri"/>
        <family val="2"/>
        <scheme val="minor"/>
      </rPr>
      <t>Quick Ratio</t>
    </r>
    <r>
      <rPr>
        <b/>
        <sz val="11"/>
        <color theme="1"/>
        <rFont val="Calibri"/>
        <family val="2"/>
        <scheme val="minor"/>
      </rPr>
      <t xml:space="preserve"> for a business that relies heavily on inventory to generate its income (i.e., hardware store)
Typically, a result of 1.00 or greater for either ratio demonstrates adequate liquidity.  However, it’s important to use the most appropriate ratio, based on how the business operates.  Investor guidelines may vary and other liquidity methods may apply.  FOLLOW INVESTOR GUIDELINES.</t>
    </r>
    <r>
      <rPr>
        <b/>
        <sz val="9"/>
        <color theme="1"/>
        <rFont val="Calibri"/>
        <family val="2"/>
        <scheme val="minor"/>
      </rPr>
      <t xml:space="preserve">
</t>
    </r>
    <r>
      <rPr>
        <b/>
        <sz val="11"/>
        <color theme="1"/>
        <rFont val="Calibri"/>
        <family val="2"/>
        <scheme val="minor"/>
      </rPr>
      <t>NOTE:  If there are no business liabilities, results will reflect N/A, indicating adequate liquidity.</t>
    </r>
  </si>
  <si>
    <r>
      <t>Calculating trend ratios, which compare income statement accounts from one year to the next, is an 
effective way to analyze the profitability or growth of a business.</t>
    </r>
    <r>
      <rPr>
        <b/>
        <sz val="8"/>
        <color theme="1"/>
        <rFont val="Calibri"/>
        <family val="2"/>
        <scheme val="minor"/>
      </rPr>
      <t xml:space="preserve">
</t>
    </r>
    <r>
      <rPr>
        <b/>
        <sz val="16"/>
        <color theme="1"/>
        <rFont val="Calibri"/>
        <family val="2"/>
        <scheme val="minor"/>
      </rPr>
      <t>User tips:</t>
    </r>
    <r>
      <rPr>
        <b/>
        <sz val="11"/>
        <color theme="1"/>
        <rFont val="Calibri"/>
        <family val="2"/>
        <scheme val="minor"/>
      </rPr>
      <t xml:space="preserve">
    • Select tax year(s) from business return and enter applicable line items
    • Enter date of the YTD P&amp;L; worksheet will automatically annualize
    • YOY% Change automatically populates, eliminating need for manual calculations</t>
    </r>
    <r>
      <rPr>
        <b/>
        <sz val="8"/>
        <color theme="1"/>
        <rFont val="Calibri"/>
        <family val="2"/>
        <scheme val="minor"/>
      </rPr>
      <t xml:space="preserve">
</t>
    </r>
    <r>
      <rPr>
        <b/>
        <sz val="11"/>
        <color theme="1"/>
        <rFont val="Calibri"/>
        <family val="2"/>
        <scheme val="minor"/>
      </rPr>
      <t>Use of this information is discretionary.  FOLLOW INVESTOR GUIDELINES.</t>
    </r>
  </si>
  <si>
    <r>
      <rPr>
        <b/>
        <sz val="16"/>
        <color theme="1"/>
        <rFont val="Calibri"/>
        <family val="2"/>
        <scheme val="minor"/>
      </rPr>
      <t>User tips:</t>
    </r>
    <r>
      <rPr>
        <b/>
        <sz val="8"/>
        <color theme="1"/>
        <rFont val="Calibri"/>
        <family val="2"/>
        <scheme val="minor"/>
      </rPr>
      <t xml:space="preserve">
</t>
    </r>
    <r>
      <rPr>
        <b/>
        <sz val="11"/>
        <color theme="1"/>
        <rFont val="Calibri"/>
        <family val="2"/>
        <scheme val="minor"/>
      </rPr>
      <t xml:space="preserve">    • Add borrower information in blue-shaded fields
    • Click the "O" button to expand income source section
    • Click "+" to add additional columns within business section</t>
    </r>
  </si>
  <si>
    <r>
      <t>Deduct nonrecurring income:</t>
    </r>
    <r>
      <rPr>
        <b/>
        <sz val="11"/>
        <color rgb="FF70AD47"/>
        <rFont val="Calibri"/>
        <family val="2"/>
        <scheme val="minor"/>
      </rPr>
      <t xml:space="preserve"> LINE 6</t>
    </r>
  </si>
  <si>
    <r>
      <t>Deduct nonrecurring income:</t>
    </r>
    <r>
      <rPr>
        <b/>
        <sz val="11"/>
        <color rgb="FF70AD47"/>
        <rFont val="Calibri"/>
        <family val="2"/>
        <scheme val="minor"/>
      </rPr>
      <t xml:space="preserve"> LINES 5, 6 &amp; 7</t>
    </r>
  </si>
  <si>
    <r>
      <t>Deduct nonrecurring income:</t>
    </r>
    <r>
      <rPr>
        <b/>
        <sz val="11"/>
        <color rgb="FF70AD47"/>
        <rFont val="Calibri"/>
        <family val="2"/>
        <scheme val="minor"/>
      </rPr>
      <t xml:space="preserve"> LINES 4 &amp; 5</t>
    </r>
  </si>
  <si>
    <r>
      <t>Deduct nonrecurring income:</t>
    </r>
    <r>
      <rPr>
        <b/>
        <sz val="11"/>
        <color rgb="FF70AD47"/>
        <rFont val="Calibri"/>
        <family val="2"/>
        <scheme val="minor"/>
      </rPr>
      <t xml:space="preserve"> LINE 10</t>
    </r>
  </si>
  <si>
    <r>
      <rPr>
        <b/>
        <sz val="11"/>
        <rFont val="Calibri"/>
        <family val="2"/>
        <scheme val="minor"/>
      </rPr>
      <t>x Depreciation Rate</t>
    </r>
    <r>
      <rPr>
        <b/>
        <sz val="11"/>
        <color theme="1"/>
        <rFont val="Calibri"/>
        <family val="2"/>
        <scheme val="minor"/>
      </rPr>
      <t xml:space="preserve"> </t>
    </r>
    <r>
      <rPr>
        <b/>
        <sz val="11"/>
        <color theme="9"/>
        <rFont val="Calibri"/>
        <family val="2"/>
        <scheme val="minor"/>
      </rPr>
      <t>2024: $0.30, 2023: $0.28, 2022: $0.26</t>
    </r>
  </si>
  <si>
    <r>
      <t>•</t>
    </r>
    <r>
      <rPr>
        <sz val="7"/>
        <color theme="1"/>
        <rFont val="Times New Roman"/>
        <family val="1"/>
      </rPr>
      <t xml:space="preserve">        </t>
    </r>
    <r>
      <rPr>
        <sz val="9"/>
        <color theme="1"/>
        <rFont val="Calibri"/>
        <family val="2"/>
        <scheme val="minor"/>
      </rPr>
      <t>Deduct nonrecurring income</t>
    </r>
  </si>
  <si>
    <t>67.0¢</t>
  </si>
  <si>
    <t>30¢</t>
  </si>
  <si>
    <t>Lines 5-7: Income from Other Miscellaneous Sources</t>
  </si>
  <si>
    <t>Lines 6 and 7: Income From Miscellaneous Sources</t>
  </si>
  <si>
    <t>Analyze these lines to determine whether the income is stable and recurring.</t>
  </si>
  <si>
    <t>Tax Year 2024</t>
  </si>
  <si>
    <r>
      <t>Amortization/Casualty Loss/Nonrecurring Loss:</t>
    </r>
    <r>
      <rPr>
        <b/>
        <sz val="11"/>
        <color rgb="FF70AD47"/>
        <rFont val="Calibri"/>
        <family val="2"/>
        <scheme val="minor"/>
      </rPr>
      <t xml:space="preserve"> from statement or LINES 5,6 &amp; 7</t>
    </r>
  </si>
  <si>
    <r>
      <t>Amortization/Casualty Loss/Nonrecurring Loss:</t>
    </r>
    <r>
      <rPr>
        <b/>
        <sz val="11"/>
        <color rgb="FF70AD47"/>
        <rFont val="Calibri"/>
        <family val="2"/>
        <scheme val="minor"/>
      </rPr>
      <t xml:space="preserve"> from statement or LINES 4 &amp; 5</t>
    </r>
  </si>
  <si>
    <r>
      <t>Amortization/Casualty Loss/Nonrecurring Loss:</t>
    </r>
    <r>
      <rPr>
        <b/>
        <sz val="11"/>
        <color rgb="FF70AD47"/>
        <rFont val="Calibri"/>
        <family val="2"/>
        <scheme val="minor"/>
      </rPr>
      <t xml:space="preserve"> from statement or LINES 8 &amp; 9</t>
    </r>
  </si>
  <si>
    <t>M Cars LLC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</si>
</sst>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3" formatCode="_(* #,##0.00_);_(* \(#,##0.00\);_(* &quot;-&quot;??_);_(@_)"/>
    <numFmt numFmtId="164" formatCode="_([$$-409]* #,##0.00_);_([$$-409]* \(#,##0.00\);_([$$-409]* &quot;-&quot;??_);_(@_)"/>
    <numFmt numFmtId="165" formatCode=";;;"/>
    <numFmt numFmtId="166" formatCode="_(&quot;$&quot;* #,##0_);_(&quot;$&quot;* \(#,##0\);_(&quot;$&quot;* &quot;-&quot;??_);_(@_)"/>
    <numFmt numFmtId="167" formatCode="0.000"/>
    <numFmt numFmtId="168" formatCode="_([$$-409]* #,##0.00_);[Red]_([$$-409]* \(#,##0.00\);_([$$-409]* &quot;-&quot;??_);_(@_)"/>
    <numFmt numFmtId="169" formatCode="_(* #,##0_);[Red]_(* \(#,##0\);_(* &quot;-&quot;??_);_(@_)"/>
    <numFmt numFmtId="170" formatCode="_(&quot;$&quot;* #,##0.00_);[Red]_(&quot;$&quot;* \(#,##0.00\);_(&quot;$&quot;* &quot;-&quot;??_);_(@_)"/>
    <numFmt numFmtId="171" formatCode="_(&quot;$&quot;* #,##0_);[Red]_(&quot;$&quot;* \(#,##0\);_(&quot;$&quot;* &quot;-&quot;??_);_(@_)"/>
    <numFmt numFmtId="172" formatCode="\+0%;[Red]\-0%"/>
  </numFmts>
  <fonts count="64" x14ac:knownFonts="1">
    <font>
      <sz val="11"/>
      <color theme="1"/>
      <name val="Calibri"/>
      <family val="2"/>
      <scheme val="minor"/>
    </font>
    <font>
      <sz val="12"/>
      <color theme="1"/>
      <name val="Calibri"/>
      <family val="2"/>
      <scheme val="minor"/>
    </font>
    <font>
      <b/>
      <sz val="11"/>
      <color theme="1"/>
      <name val="Calibri"/>
      <family val="2"/>
      <scheme val="minor"/>
    </font>
    <font>
      <b/>
      <sz val="26"/>
      <color rgb="FF0A3A5C"/>
      <name val="Calibri"/>
      <family val="2"/>
      <scheme val="minor"/>
    </font>
    <font>
      <sz val="18"/>
      <color theme="3"/>
      <name val="Calibri Light"/>
      <family val="2"/>
      <scheme val="major"/>
    </font>
    <font>
      <b/>
      <sz val="18"/>
      <color theme="3"/>
      <name val="Calibri Light"/>
      <family val="2"/>
      <scheme val="major"/>
    </font>
    <font>
      <sz val="10"/>
      <color theme="1"/>
      <name val="Calibri"/>
      <family val="2"/>
      <scheme val="minor"/>
    </font>
    <font>
      <sz val="11"/>
      <color theme="0"/>
      <name val="Calibri"/>
      <family val="2"/>
      <scheme val="minor"/>
    </font>
    <font>
      <sz val="12"/>
      <color theme="0"/>
      <name val="Calibri"/>
      <family val="2"/>
      <scheme val="minor"/>
    </font>
    <font>
      <sz val="11"/>
      <color theme="1"/>
      <name val="Calibri"/>
      <family val="2"/>
      <scheme val="minor"/>
    </font>
    <font>
      <b/>
      <sz val="14"/>
      <color theme="1"/>
      <name val="Calibri"/>
      <family val="2"/>
      <scheme val="minor"/>
    </font>
    <font>
      <b/>
      <sz val="13"/>
      <color theme="1"/>
      <name val="Calibri"/>
      <family val="2"/>
      <scheme val="minor"/>
    </font>
    <font>
      <b/>
      <sz val="9"/>
      <color theme="1"/>
      <name val="Calibri"/>
      <family val="2"/>
      <scheme val="minor"/>
    </font>
    <font>
      <b/>
      <sz val="11"/>
      <color rgb="FF3F3F3F"/>
      <name val="Calibri"/>
      <family val="2"/>
      <scheme val="minor"/>
    </font>
    <font>
      <b/>
      <sz val="18"/>
      <name val="Calibri Light"/>
      <family val="2"/>
      <scheme val="major"/>
    </font>
    <font>
      <b/>
      <sz val="11"/>
      <color theme="9" tint="-0.249977111117893"/>
      <name val="Calibri"/>
      <family val="2"/>
      <scheme val="minor"/>
    </font>
    <font>
      <b/>
      <sz val="28"/>
      <name val="Calibri"/>
      <family val="2"/>
      <scheme val="minor"/>
    </font>
    <font>
      <b/>
      <sz val="26"/>
      <name val="Calibri"/>
      <family val="2"/>
      <scheme val="minor"/>
    </font>
    <font>
      <b/>
      <sz val="11"/>
      <name val="Calibri"/>
      <family val="2"/>
      <scheme val="minor"/>
    </font>
    <font>
      <u/>
      <sz val="11"/>
      <color theme="10"/>
      <name val="Calibri"/>
      <family val="2"/>
      <scheme val="minor"/>
    </font>
    <font>
      <b/>
      <sz val="11"/>
      <color rgb="FF000000"/>
      <name val="Calibri"/>
      <family val="2"/>
      <scheme val="minor"/>
    </font>
    <font>
      <b/>
      <sz val="11"/>
      <color rgb="FF70AD47"/>
      <name val="Calibri"/>
      <family val="2"/>
      <scheme val="minor"/>
    </font>
    <font>
      <sz val="11"/>
      <color rgb="FF000000"/>
      <name val="Calibri"/>
      <family val="2"/>
      <scheme val="minor"/>
    </font>
    <font>
      <b/>
      <sz val="15"/>
      <color theme="3"/>
      <name val="Calibri"/>
      <family val="2"/>
      <scheme val="minor"/>
    </font>
    <font>
      <b/>
      <sz val="16"/>
      <color theme="1"/>
      <name val="Calibri"/>
      <family val="2"/>
      <scheme val="minor"/>
    </font>
    <font>
      <b/>
      <sz val="8"/>
      <color theme="1"/>
      <name val="Calibri"/>
      <family val="2"/>
      <scheme val="minor"/>
    </font>
    <font>
      <sz val="11"/>
      <name val="Calibri"/>
      <family val="2"/>
      <scheme val="minor"/>
    </font>
    <font>
      <b/>
      <sz val="12"/>
      <name val="Calibri"/>
      <family val="2"/>
      <scheme val="minor"/>
    </font>
    <font>
      <b/>
      <sz val="24"/>
      <name val="Calibri"/>
      <family val="2"/>
      <scheme val="minor"/>
    </font>
    <font>
      <b/>
      <sz val="11"/>
      <color theme="9"/>
      <name val="Calibri"/>
      <family val="2"/>
      <scheme val="minor"/>
    </font>
    <font>
      <b/>
      <sz val="11"/>
      <color theme="0"/>
      <name val="Calibri"/>
      <family val="2"/>
      <scheme val="minor"/>
    </font>
    <font>
      <b/>
      <i/>
      <sz val="11"/>
      <color theme="1"/>
      <name val="Calibri"/>
      <family val="2"/>
      <scheme val="minor"/>
    </font>
    <font>
      <b/>
      <sz val="12"/>
      <color theme="0"/>
      <name val="Calibri"/>
      <family val="2"/>
      <scheme val="minor"/>
    </font>
    <font>
      <sz val="14"/>
      <color theme="1"/>
      <name val="Calibri"/>
      <family val="2"/>
      <scheme val="minor"/>
    </font>
    <font>
      <b/>
      <sz val="11.5"/>
      <color theme="1"/>
      <name val="Calibri"/>
      <family val="2"/>
      <scheme val="minor"/>
    </font>
    <font>
      <b/>
      <sz val="12"/>
      <color theme="1"/>
      <name val="Calibri"/>
      <family val="2"/>
      <scheme val="minor"/>
    </font>
    <font>
      <b/>
      <sz val="12"/>
      <color rgb="FF000000"/>
      <name val="Calibri"/>
      <family val="2"/>
      <scheme val="minor"/>
    </font>
    <font>
      <b/>
      <sz val="12"/>
      <color rgb="FF5B9BD5"/>
      <name val="Calibri"/>
      <family val="2"/>
      <scheme val="minor"/>
    </font>
    <font>
      <b/>
      <sz val="12"/>
      <color theme="4"/>
      <name val="Calibri"/>
      <family val="2"/>
      <scheme val="minor"/>
    </font>
    <font>
      <b/>
      <sz val="16"/>
      <name val="Calibri"/>
      <family val="2"/>
      <scheme val="minor"/>
    </font>
    <font>
      <b/>
      <sz val="28"/>
      <color rgb="FF0A3A5C"/>
      <name val="Calibri"/>
      <family val="2"/>
      <scheme val="minor"/>
    </font>
    <font>
      <sz val="11"/>
      <color rgb="FFFF0000"/>
      <name val="Calibri"/>
      <family val="2"/>
      <scheme val="minor"/>
    </font>
    <font>
      <b/>
      <sz val="11"/>
      <color theme="4"/>
      <name val="Calibri"/>
      <family val="2"/>
      <scheme val="minor"/>
    </font>
    <font>
      <sz val="10"/>
      <color theme="1"/>
      <name val="Times New Roman"/>
      <family val="1"/>
    </font>
    <font>
      <sz val="11"/>
      <color rgb="FF00B2E3"/>
      <name val="Calibri"/>
      <family val="2"/>
      <scheme val="minor"/>
    </font>
    <font>
      <sz val="13"/>
      <color theme="1"/>
      <name val="Calibri"/>
      <family val="2"/>
      <scheme val="minor"/>
    </font>
    <font>
      <sz val="9"/>
      <color theme="1"/>
      <name val="Calibri"/>
      <family val="2"/>
      <scheme val="minor"/>
    </font>
    <font>
      <b/>
      <sz val="9"/>
      <color rgb="FF00B2E3"/>
      <name val="Arial Black"/>
      <family val="2"/>
    </font>
    <font>
      <sz val="20"/>
      <color rgb="FF00B2E3"/>
      <name val="Calibri"/>
      <family val="2"/>
      <scheme val="minor"/>
    </font>
    <font>
      <u/>
      <sz val="9"/>
      <color theme="1"/>
      <name val="Lucida Sans"/>
      <family val="2"/>
    </font>
    <font>
      <sz val="7"/>
      <color theme="1"/>
      <name val="Times New Roman"/>
      <family val="1"/>
    </font>
    <font>
      <sz val="7"/>
      <color theme="1"/>
      <name val="Calibri"/>
      <family val="2"/>
      <scheme val="minor"/>
    </font>
    <font>
      <sz val="9"/>
      <color rgb="FF000000"/>
      <name val="Calibri"/>
      <family val="2"/>
      <scheme val="minor"/>
    </font>
    <font>
      <sz val="11.5"/>
      <color theme="1"/>
      <name val="Calibri"/>
      <family val="2"/>
      <scheme val="minor"/>
    </font>
    <font>
      <sz val="8.5"/>
      <color theme="1"/>
      <name val="Calibri"/>
      <family val="2"/>
      <scheme val="minor"/>
    </font>
    <font>
      <sz val="8"/>
      <color theme="1"/>
      <name val="Calibri"/>
      <family val="2"/>
      <scheme val="minor"/>
    </font>
    <font>
      <sz val="7.5"/>
      <color theme="1"/>
      <name val="Calibri"/>
      <family val="2"/>
      <scheme val="minor"/>
    </font>
    <font>
      <sz val="14.5"/>
      <color theme="1"/>
      <name val="Calibri"/>
      <family val="2"/>
      <scheme val="minor"/>
    </font>
    <font>
      <b/>
      <sz val="9"/>
      <color indexed="81"/>
      <name val="Tahoma"/>
      <family val="2"/>
    </font>
    <font>
      <sz val="9"/>
      <color indexed="81"/>
      <name val="Tahoma"/>
      <family val="2"/>
    </font>
    <font>
      <sz val="20"/>
      <color theme="1"/>
      <name val="Calibri"/>
      <family val="2"/>
      <scheme val="minor"/>
    </font>
    <font>
      <sz val="12"/>
      <color theme="1"/>
      <name val="Calibri"/>
      <family val="2"/>
      <scheme val="minor"/>
    </font>
    <font>
      <sz val="12"/>
      <color theme="1"/>
      <name val="Symbol"/>
      <family val="1"/>
      <charset val="2"/>
    </font>
    <font>
      <u/>
      <sz val="12"/>
      <color rgb="FF0563C1"/>
      <name val="Calibri"/>
      <family val="2"/>
      <scheme val="minor"/>
    </font>
  </fonts>
  <fills count="25">
    <fill>
      <patternFill patternType="none"/>
    </fill>
    <fill>
      <patternFill patternType="gray125"/>
    </fill>
    <fill>
      <patternFill patternType="solid">
        <fgColor theme="9" tint="0.59999389629810485"/>
        <bgColor indexed="64"/>
      </patternFill>
    </fill>
    <fill>
      <patternFill patternType="solid">
        <fgColor theme="1"/>
        <bgColor indexed="64"/>
      </patternFill>
    </fill>
    <fill>
      <patternFill patternType="solid">
        <fgColor theme="9" tint="0.39997558519241921"/>
        <bgColor indexed="65"/>
      </patternFill>
    </fill>
    <fill>
      <patternFill patternType="solid">
        <fgColor theme="4" tint="0.59999389629810485"/>
        <bgColor indexed="64"/>
      </patternFill>
    </fill>
    <fill>
      <patternFill patternType="solid">
        <fgColor theme="9" tint="0.39997558519241921"/>
        <bgColor indexed="64"/>
      </patternFill>
    </fill>
    <fill>
      <patternFill patternType="lightDown"/>
    </fill>
    <fill>
      <gradientFill>
        <stop position="0">
          <color theme="0"/>
        </stop>
        <stop position="1">
          <color theme="0" tint="-0.1490218817712943"/>
        </stop>
      </gradientFill>
    </fill>
    <fill>
      <patternFill patternType="solid">
        <fgColor theme="4" tint="0.79998168889431442"/>
        <bgColor indexed="64"/>
      </patternFill>
    </fill>
    <fill>
      <patternFill patternType="solid">
        <fgColor rgb="FFF2F2F2"/>
      </patternFill>
    </fill>
    <fill>
      <patternFill patternType="solid">
        <fgColor theme="0" tint="-0.14999847407452621"/>
        <bgColor indexed="64"/>
      </patternFill>
    </fill>
    <fill>
      <patternFill patternType="solid">
        <fgColor rgb="FFDDDDDD"/>
        <bgColor indexed="64"/>
      </patternFill>
    </fill>
    <fill>
      <patternFill patternType="solid">
        <fgColor rgb="FFFFFF00"/>
        <bgColor indexed="64"/>
      </patternFill>
    </fill>
    <fill>
      <patternFill patternType="solid">
        <fgColor rgb="FFC6E0B4"/>
        <bgColor indexed="64"/>
      </patternFill>
    </fill>
    <fill>
      <patternFill patternType="solid">
        <fgColor theme="0" tint="-4.9989318521683403E-2"/>
        <bgColor indexed="64"/>
      </patternFill>
    </fill>
    <fill>
      <patternFill patternType="solid">
        <fgColor rgb="FFE2E2E2"/>
        <bgColor indexed="64"/>
      </patternFill>
    </fill>
    <fill>
      <patternFill patternType="solid">
        <fgColor theme="8"/>
        <bgColor indexed="64"/>
      </patternFill>
    </fill>
    <fill>
      <patternFill patternType="solid">
        <fgColor theme="8" tint="0.59999389629810485"/>
        <bgColor indexed="64"/>
      </patternFill>
    </fill>
    <fill>
      <patternFill patternType="solid">
        <fgColor theme="0"/>
        <bgColor indexed="64"/>
      </patternFill>
    </fill>
    <fill>
      <patternFill patternType="solid">
        <fgColor rgb="FFB16FF4"/>
        <bgColor indexed="64"/>
      </patternFill>
    </fill>
    <fill>
      <patternFill patternType="solid">
        <fgColor rgb="FFB3C3FB"/>
        <bgColor indexed="64"/>
      </patternFill>
    </fill>
    <fill>
      <patternFill patternType="solid">
        <fgColor rgb="FFDEE5FF"/>
        <bgColor indexed="64"/>
      </patternFill>
    </fill>
    <fill>
      <patternFill patternType="solid">
        <fgColor rgb="FFB6DCE1"/>
        <bgColor indexed="64"/>
      </patternFill>
    </fill>
    <fill>
      <patternFill patternType="solid">
        <fgColor rgb="FFFFFF99"/>
        <bgColor indexed="64"/>
      </patternFill>
    </fill>
  </fills>
  <borders count="99">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top/>
      <bottom style="thin">
        <color auto="1"/>
      </bottom>
      <diagonal/>
    </border>
    <border>
      <left/>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bottom style="medium">
        <color indexed="64"/>
      </bottom>
      <diagonal/>
    </border>
    <border>
      <left/>
      <right/>
      <top style="medium">
        <color indexed="64"/>
      </top>
      <bottom style="thin">
        <color auto="1"/>
      </bottom>
      <diagonal/>
    </border>
    <border>
      <left style="thin">
        <color indexed="64"/>
      </left>
      <right style="thin">
        <color indexed="64"/>
      </right>
      <top style="thin">
        <color indexed="64"/>
      </top>
      <bottom style="thin">
        <color indexed="64"/>
      </bottom>
      <diagonal/>
    </border>
    <border>
      <left style="thin">
        <color theme="9" tint="0.39994506668294322"/>
      </left>
      <right style="thin">
        <color theme="9" tint="0.39994506668294322"/>
      </right>
      <top/>
      <bottom style="thin">
        <color theme="9" tint="0.39994506668294322"/>
      </bottom>
      <diagonal/>
    </border>
    <border>
      <left style="thin">
        <color theme="9" tint="0.39994506668294322"/>
      </left>
      <right style="thin">
        <color theme="9" tint="0.39994506668294322"/>
      </right>
      <top style="thin">
        <color theme="9" tint="0.39994506668294322"/>
      </top>
      <bottom style="thin">
        <color theme="9" tint="0.39994506668294322"/>
      </bottom>
      <diagonal/>
    </border>
    <border>
      <left/>
      <right/>
      <top style="thin">
        <color theme="9" tint="0.39994506668294322"/>
      </top>
      <bottom style="thin">
        <color theme="9" tint="0.39994506668294322"/>
      </bottom>
      <diagonal/>
    </border>
    <border>
      <left/>
      <right style="thin">
        <color theme="9" tint="0.39994506668294322"/>
      </right>
      <top style="thin">
        <color theme="9" tint="0.39994506668294322"/>
      </top>
      <bottom style="thin">
        <color theme="9" tint="0.39994506668294322"/>
      </bottom>
      <diagonal/>
    </border>
    <border>
      <left style="thin">
        <color theme="9" tint="0.39994506668294322"/>
      </left>
      <right/>
      <top style="thin">
        <color theme="9" tint="0.39991454817346722"/>
      </top>
      <bottom style="thin">
        <color theme="9" tint="0.39991454817346722"/>
      </bottom>
      <diagonal/>
    </border>
    <border>
      <left style="thin">
        <color indexed="64"/>
      </left>
      <right/>
      <top style="thin">
        <color indexed="64"/>
      </top>
      <bottom/>
      <diagonal/>
    </border>
    <border>
      <left/>
      <right style="thin">
        <color indexed="64"/>
      </right>
      <top style="thin">
        <color indexed="64"/>
      </top>
      <bottom/>
      <diagonal/>
    </border>
    <border>
      <left style="thick">
        <color theme="9" tint="0.59996337778862885"/>
      </left>
      <right/>
      <top style="thin">
        <color auto="1"/>
      </top>
      <bottom style="thin">
        <color auto="1"/>
      </bottom>
      <diagonal/>
    </border>
    <border>
      <left style="thick">
        <color theme="9" tint="0.59996337778862885"/>
      </left>
      <right/>
      <top style="medium">
        <color indexed="64"/>
      </top>
      <bottom style="thin">
        <color auto="1"/>
      </bottom>
      <diagonal/>
    </border>
    <border>
      <left style="thin">
        <color rgb="FF3F3F3F"/>
      </left>
      <right style="thin">
        <color rgb="FF3F3F3F"/>
      </right>
      <top style="thin">
        <color rgb="FF3F3F3F"/>
      </top>
      <bottom style="thin">
        <color rgb="FF3F3F3F"/>
      </bottom>
      <diagonal/>
    </border>
    <border>
      <left style="thin">
        <color indexed="64"/>
      </left>
      <right/>
      <top style="thin">
        <color theme="9" tint="0.39994506668294322"/>
      </top>
      <bottom style="thin">
        <color theme="9" tint="0.39994506668294322"/>
      </bottom>
      <diagonal/>
    </border>
    <border>
      <left/>
      <right/>
      <top style="thin">
        <color theme="9" tint="0.39991454817346722"/>
      </top>
      <bottom style="thin">
        <color theme="9" tint="0.39991454817346722"/>
      </bottom>
      <diagonal/>
    </border>
    <border>
      <left/>
      <right/>
      <top/>
      <bottom style="thick">
        <color theme="4"/>
      </bottom>
      <diagonal/>
    </border>
    <border>
      <left style="medium">
        <color theme="0" tint="-0.24994659260841701"/>
      </left>
      <right style="medium">
        <color theme="0" tint="-0.24994659260841701"/>
      </right>
      <top style="medium">
        <color theme="0" tint="-0.24994659260841701"/>
      </top>
      <bottom style="medium">
        <color theme="0" tint="-0.24994659260841701"/>
      </bottom>
      <diagonal/>
    </border>
    <border>
      <left style="medium">
        <color theme="0" tint="-0.24994659260841701"/>
      </left>
      <right/>
      <top style="medium">
        <color theme="0" tint="-0.24994659260841701"/>
      </top>
      <bottom style="medium">
        <color theme="0" tint="-0.24994659260841701"/>
      </bottom>
      <diagonal/>
    </border>
    <border>
      <left/>
      <right/>
      <top style="medium">
        <color theme="0" tint="-0.24994659260841701"/>
      </top>
      <bottom style="medium">
        <color theme="0" tint="-0.24994659260841701"/>
      </bottom>
      <diagonal/>
    </border>
    <border>
      <left/>
      <right style="medium">
        <color theme="0" tint="-0.24994659260841701"/>
      </right>
      <top style="medium">
        <color theme="0" tint="-0.24994659260841701"/>
      </top>
      <bottom style="medium">
        <color theme="0" tint="-0.24994659260841701"/>
      </bottom>
      <diagonal/>
    </border>
    <border>
      <left style="medium">
        <color theme="0" tint="-0.24994659260841701"/>
      </left>
      <right/>
      <top/>
      <bottom/>
      <diagonal/>
    </border>
    <border>
      <left/>
      <right/>
      <top/>
      <bottom style="thick">
        <color theme="9"/>
      </bottom>
      <diagonal/>
    </border>
    <border>
      <left/>
      <right/>
      <top style="thick">
        <color theme="9"/>
      </top>
      <bottom/>
      <diagonal/>
    </border>
    <border>
      <left/>
      <right/>
      <top/>
      <bottom style="thick">
        <color rgb="FF0070C0"/>
      </bottom>
      <diagonal/>
    </border>
    <border>
      <left/>
      <right/>
      <top style="thick">
        <color rgb="FF0070C0"/>
      </top>
      <bottom style="thick">
        <color rgb="FF0070C0"/>
      </bottom>
      <diagonal/>
    </border>
    <border>
      <left/>
      <right/>
      <top style="thick">
        <color rgb="FF0070C0"/>
      </top>
      <bottom/>
      <diagonal/>
    </border>
    <border>
      <left style="thin">
        <color theme="8"/>
      </left>
      <right/>
      <top style="thin">
        <color theme="8"/>
      </top>
      <bottom style="thin">
        <color theme="8"/>
      </bottom>
      <diagonal/>
    </border>
    <border>
      <left/>
      <right style="thin">
        <color theme="8"/>
      </right>
      <top style="thin">
        <color theme="8"/>
      </top>
      <bottom style="thin">
        <color theme="8"/>
      </bottom>
      <diagonal/>
    </border>
    <border>
      <left style="thin">
        <color theme="8"/>
      </left>
      <right style="thin">
        <color theme="8"/>
      </right>
      <top style="thin">
        <color theme="8"/>
      </top>
      <bottom style="thin">
        <color theme="8"/>
      </bottom>
      <diagonal/>
    </border>
    <border>
      <left/>
      <right/>
      <top style="thin">
        <color theme="8"/>
      </top>
      <bottom style="thin">
        <color theme="8"/>
      </bottom>
      <diagonal/>
    </border>
    <border>
      <left style="thin">
        <color indexed="64"/>
      </left>
      <right style="thin">
        <color indexed="64"/>
      </right>
      <top/>
      <bottom style="thin">
        <color auto="1"/>
      </bottom>
      <diagonal/>
    </border>
    <border>
      <left style="thin">
        <color theme="0"/>
      </left>
      <right style="thin">
        <color theme="0"/>
      </right>
      <top/>
      <bottom style="thin">
        <color theme="0"/>
      </bottom>
      <diagonal/>
    </border>
    <border>
      <left style="thin">
        <color theme="0"/>
      </left>
      <right style="thin">
        <color theme="0"/>
      </right>
      <top style="thin">
        <color theme="0"/>
      </top>
      <bottom style="thin">
        <color theme="0"/>
      </bottom>
      <diagonal/>
    </border>
    <border>
      <left/>
      <right style="thin">
        <color theme="0"/>
      </right>
      <top/>
      <bottom/>
      <diagonal/>
    </border>
    <border>
      <left style="thin">
        <color theme="8"/>
      </left>
      <right/>
      <top style="thin">
        <color theme="8"/>
      </top>
      <bottom/>
      <diagonal/>
    </border>
    <border>
      <left/>
      <right/>
      <top style="thin">
        <color theme="8"/>
      </top>
      <bottom/>
      <diagonal/>
    </border>
    <border>
      <left/>
      <right style="thin">
        <color theme="8"/>
      </right>
      <top style="thin">
        <color theme="8"/>
      </top>
      <bottom/>
      <diagonal/>
    </border>
    <border>
      <left style="thin">
        <color theme="8"/>
      </left>
      <right/>
      <top/>
      <bottom/>
      <diagonal/>
    </border>
    <border>
      <left/>
      <right style="thin">
        <color theme="8"/>
      </right>
      <top/>
      <bottom/>
      <diagonal/>
    </border>
    <border>
      <left style="thin">
        <color theme="8"/>
      </left>
      <right/>
      <top/>
      <bottom style="thin">
        <color theme="8"/>
      </bottom>
      <diagonal/>
    </border>
    <border>
      <left/>
      <right/>
      <top/>
      <bottom style="thin">
        <color theme="8"/>
      </bottom>
      <diagonal/>
    </border>
    <border>
      <left/>
      <right style="thin">
        <color theme="8"/>
      </right>
      <top/>
      <bottom style="thin">
        <color theme="8"/>
      </bottom>
      <diagonal/>
    </border>
    <border>
      <left/>
      <right/>
      <top/>
      <bottom style="thick">
        <color rgb="FFB16FF4"/>
      </bottom>
      <diagonal/>
    </border>
    <border>
      <left style="thick">
        <color rgb="FFB16FF4"/>
      </left>
      <right/>
      <top style="thick">
        <color rgb="FFB16FF4"/>
      </top>
      <bottom style="thick">
        <color rgb="FFB16FF4"/>
      </bottom>
      <diagonal/>
    </border>
    <border>
      <left/>
      <right/>
      <top style="thick">
        <color rgb="FFB16FF4"/>
      </top>
      <bottom style="thick">
        <color rgb="FFB16FF4"/>
      </bottom>
      <diagonal/>
    </border>
    <border>
      <left/>
      <right style="thick">
        <color rgb="FFB16FF4"/>
      </right>
      <top style="thick">
        <color rgb="FFB16FF4"/>
      </top>
      <bottom style="thick">
        <color rgb="FFB16FF4"/>
      </bottom>
      <diagonal/>
    </border>
    <border>
      <left/>
      <right/>
      <top/>
      <bottom style="thick">
        <color theme="0"/>
      </bottom>
      <diagonal/>
    </border>
    <border>
      <left/>
      <right/>
      <top style="thick">
        <color theme="0"/>
      </top>
      <bottom style="thick">
        <color theme="0"/>
      </bottom>
      <diagonal/>
    </border>
    <border>
      <left/>
      <right/>
      <top style="thick">
        <color theme="0"/>
      </top>
      <bottom/>
      <diagonal/>
    </border>
    <border>
      <left style="thick">
        <color rgb="FFB16FF4"/>
      </left>
      <right/>
      <top style="thick">
        <color rgb="FFB16FF4"/>
      </top>
      <bottom/>
      <diagonal/>
    </border>
    <border>
      <left/>
      <right/>
      <top style="thick">
        <color rgb="FFB16FF4"/>
      </top>
      <bottom/>
      <diagonal/>
    </border>
    <border>
      <left/>
      <right style="thick">
        <color rgb="FFB16FF4"/>
      </right>
      <top style="thick">
        <color rgb="FFB16FF4"/>
      </top>
      <bottom/>
      <diagonal/>
    </border>
    <border>
      <left style="thick">
        <color rgb="FFB16FF4"/>
      </left>
      <right/>
      <top/>
      <bottom style="thick">
        <color rgb="FFB16FF4"/>
      </bottom>
      <diagonal/>
    </border>
    <border>
      <left/>
      <right style="thick">
        <color rgb="FFB16FF4"/>
      </right>
      <top/>
      <bottom style="thick">
        <color rgb="FFB16FF4"/>
      </bottom>
      <diagonal/>
    </border>
    <border>
      <left style="thick">
        <color rgb="FFB16FF4"/>
      </left>
      <right/>
      <top/>
      <bottom/>
      <diagonal/>
    </border>
    <border>
      <left/>
      <right style="thick">
        <color rgb="FFB16FF4"/>
      </right>
      <top/>
      <bottom/>
      <diagonal/>
    </border>
    <border>
      <left style="thin">
        <color rgb="FFB16FF4"/>
      </left>
      <right/>
      <top style="thin">
        <color rgb="FFB16FF4"/>
      </top>
      <bottom/>
      <diagonal/>
    </border>
    <border>
      <left/>
      <right/>
      <top style="thin">
        <color rgb="FFB16FF4"/>
      </top>
      <bottom/>
      <diagonal/>
    </border>
    <border>
      <left/>
      <right style="thin">
        <color rgb="FFB16FF4"/>
      </right>
      <top style="thin">
        <color rgb="FFB16FF4"/>
      </top>
      <bottom/>
      <diagonal/>
    </border>
    <border>
      <left style="thin">
        <color rgb="FFB16FF4"/>
      </left>
      <right/>
      <top/>
      <bottom/>
      <diagonal/>
    </border>
    <border>
      <left/>
      <right style="thin">
        <color rgb="FFB16FF4"/>
      </right>
      <top/>
      <bottom/>
      <diagonal/>
    </border>
    <border>
      <left style="thin">
        <color rgb="FFB16FF4"/>
      </left>
      <right/>
      <top/>
      <bottom style="thin">
        <color rgb="FFB16FF4"/>
      </bottom>
      <diagonal/>
    </border>
    <border>
      <left/>
      <right/>
      <top/>
      <bottom style="thin">
        <color rgb="FFB16FF4"/>
      </bottom>
      <diagonal/>
    </border>
    <border>
      <left/>
      <right style="thin">
        <color rgb="FFB16FF4"/>
      </right>
      <top/>
      <bottom style="thin">
        <color rgb="FFB16FF4"/>
      </bottom>
      <diagonal/>
    </border>
    <border>
      <left/>
      <right/>
      <top/>
      <bottom style="thick">
        <color rgb="FF003A5D"/>
      </bottom>
      <diagonal/>
    </border>
    <border>
      <left/>
      <right style="medium">
        <color rgb="FF000000"/>
      </right>
      <top/>
      <bottom/>
      <diagonal/>
    </border>
    <border>
      <left style="medium">
        <color rgb="FF000000"/>
      </left>
      <right/>
      <top/>
      <bottom/>
      <diagonal/>
    </border>
    <border>
      <left/>
      <right style="medium">
        <color rgb="FF000000"/>
      </right>
      <top/>
      <bottom style="medium">
        <color rgb="FF000000"/>
      </bottom>
      <diagonal/>
    </border>
    <border>
      <left style="medium">
        <color rgb="FF000000"/>
      </left>
      <right/>
      <top/>
      <bottom style="medium">
        <color rgb="FF000000"/>
      </bottom>
      <diagonal/>
    </border>
    <border>
      <left/>
      <right/>
      <top/>
      <bottom style="medium">
        <color rgb="FF000000"/>
      </bottom>
      <diagonal/>
    </border>
    <border>
      <left style="medium">
        <color auto="1"/>
      </left>
      <right/>
      <top style="thin">
        <color auto="1"/>
      </top>
      <bottom style="thin">
        <color auto="1"/>
      </bottom>
      <diagonal/>
    </border>
    <border>
      <left/>
      <right style="medium">
        <color auto="1"/>
      </right>
      <top style="thin">
        <color auto="1"/>
      </top>
      <bottom style="thin">
        <color auto="1"/>
      </bottom>
      <diagonal/>
    </border>
    <border>
      <left style="medium">
        <color theme="0" tint="-0.24994659260841701"/>
      </left>
      <right style="medium">
        <color theme="0" tint="-0.24994659260841701"/>
      </right>
      <top style="medium">
        <color theme="0" tint="-0.24994659260841701"/>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right style="medium">
        <color rgb="FF000000"/>
      </right>
      <top style="medium">
        <color rgb="FF000000"/>
      </top>
      <bottom style="medium">
        <color rgb="FF000000"/>
      </bottom>
      <diagonal/>
    </border>
  </borders>
  <cellStyleXfs count="8">
    <xf numFmtId="0" fontId="0" fillId="0" borderId="0"/>
    <xf numFmtId="0" fontId="4" fillId="0" borderId="0" applyNumberFormat="0" applyFill="0" applyBorder="0" applyAlignment="0" applyProtection="0"/>
    <xf numFmtId="0" fontId="7" fillId="4" borderId="0" applyNumberFormat="0" applyBorder="0" applyAlignment="0" applyProtection="0"/>
    <xf numFmtId="9" fontId="9" fillId="0" borderId="0" applyFont="0" applyFill="0" applyBorder="0" applyAlignment="0" applyProtection="0"/>
    <xf numFmtId="0" fontId="13" fillId="10" borderId="34" applyNumberFormat="0" applyAlignment="0" applyProtection="0"/>
    <xf numFmtId="0" fontId="19" fillId="0" borderId="0" applyNumberFormat="0" applyFill="0" applyBorder="0" applyAlignment="0" applyProtection="0"/>
    <xf numFmtId="0" fontId="23" fillId="0" borderId="37" applyNumberFormat="0" applyFill="0" applyAlignment="0" applyProtection="0"/>
    <xf numFmtId="43" fontId="9" fillId="0" borderId="0" applyFont="0" applyFill="0" applyBorder="0" applyAlignment="0" applyProtection="0"/>
  </cellStyleXfs>
  <cellXfs count="380">
    <xf numFmtId="0" fontId="0" fillId="0" borderId="0" xfId="0"/>
    <xf numFmtId="0" fontId="3" fillId="0" borderId="0" xfId="0" applyFont="1"/>
    <xf numFmtId="0" fontId="0" fillId="0" borderId="0" xfId="0" applyAlignment="1">
      <alignment vertical="center"/>
    </xf>
    <xf numFmtId="0" fontId="2" fillId="0" borderId="0" xfId="0" applyFont="1"/>
    <xf numFmtId="0" fontId="0" fillId="0" borderId="0" xfId="0" applyAlignment="1">
      <alignment horizontal="left" vertical="center"/>
    </xf>
    <xf numFmtId="0" fontId="0" fillId="2" borderId="0" xfId="0" applyFill="1"/>
    <xf numFmtId="0" fontId="2" fillId="2" borderId="0" xfId="0" applyFont="1" applyFill="1"/>
    <xf numFmtId="0" fontId="2" fillId="3" borderId="13" xfId="0" quotePrefix="1" applyFont="1" applyFill="1" applyBorder="1" applyAlignment="1">
      <alignment horizontal="center" vertical="center"/>
    </xf>
    <xf numFmtId="0" fontId="2" fillId="2" borderId="10" xfId="0" applyFont="1" applyFill="1" applyBorder="1" applyAlignment="1">
      <alignment horizontal="center" vertical="center"/>
    </xf>
    <xf numFmtId="0" fontId="0" fillId="2" borderId="12" xfId="0" applyFill="1" applyBorder="1" applyAlignment="1">
      <alignment vertical="center"/>
    </xf>
    <xf numFmtId="0" fontId="0" fillId="2" borderId="10" xfId="0" applyFill="1" applyBorder="1" applyAlignment="1">
      <alignment vertical="center"/>
    </xf>
    <xf numFmtId="0" fontId="0" fillId="2" borderId="11" xfId="0" applyFill="1" applyBorder="1" applyAlignment="1">
      <alignment vertical="center"/>
    </xf>
    <xf numFmtId="0" fontId="0" fillId="0" borderId="16" xfId="0" applyBorder="1" applyAlignment="1">
      <alignment horizontal="center" vertical="center"/>
    </xf>
    <xf numFmtId="0" fontId="0" fillId="0" borderId="17" xfId="0" applyBorder="1" applyAlignment="1">
      <alignment vertical="center"/>
    </xf>
    <xf numFmtId="0" fontId="0" fillId="0" borderId="16" xfId="0" applyBorder="1"/>
    <xf numFmtId="0" fontId="0" fillId="0" borderId="17" xfId="0" applyBorder="1"/>
    <xf numFmtId="0" fontId="2" fillId="0" borderId="16" xfId="0" applyFont="1" applyBorder="1"/>
    <xf numFmtId="0" fontId="2" fillId="0" borderId="0" xfId="0" applyFont="1" applyAlignment="1">
      <alignment vertical="center"/>
    </xf>
    <xf numFmtId="0" fontId="0" fillId="0" borderId="18" xfId="0" applyBorder="1"/>
    <xf numFmtId="0" fontId="0" fillId="0" borderId="19" xfId="0" applyBorder="1"/>
    <xf numFmtId="0" fontId="0" fillId="0" borderId="20" xfId="0" applyBorder="1"/>
    <xf numFmtId="0" fontId="0" fillId="0" borderId="12" xfId="0" applyBorder="1"/>
    <xf numFmtId="0" fontId="0" fillId="0" borderId="14" xfId="0" applyBorder="1"/>
    <xf numFmtId="0" fontId="0" fillId="0" borderId="15" xfId="0" applyBorder="1"/>
    <xf numFmtId="0" fontId="2" fillId="0" borderId="0" xfId="0" quotePrefix="1" applyFont="1" applyAlignment="1">
      <alignment horizontal="right" vertical="center"/>
    </xf>
    <xf numFmtId="0" fontId="2" fillId="0" borderId="0" xfId="0" quotePrefix="1" applyFont="1" applyAlignment="1">
      <alignment vertical="center"/>
    </xf>
    <xf numFmtId="164" fontId="0" fillId="0" borderId="22" xfId="0" applyNumberFormat="1" applyBorder="1" applyAlignment="1">
      <alignment horizontal="left" vertical="center"/>
    </xf>
    <xf numFmtId="164" fontId="0" fillId="0" borderId="0" xfId="0" applyNumberFormat="1" applyAlignment="1">
      <alignment horizontal="left" vertical="center"/>
    </xf>
    <xf numFmtId="0" fontId="2" fillId="2" borderId="2" xfId="0" applyFont="1" applyFill="1" applyBorder="1" applyAlignment="1">
      <alignment horizontal="center" vertical="center"/>
    </xf>
    <xf numFmtId="0" fontId="0" fillId="2" borderId="2" xfId="0" applyFill="1" applyBorder="1" applyAlignment="1">
      <alignment vertical="center"/>
    </xf>
    <xf numFmtId="0" fontId="0" fillId="2" borderId="2" xfId="0" applyFill="1" applyBorder="1"/>
    <xf numFmtId="0" fontId="0" fillId="0" borderId="10" xfId="0" applyBorder="1"/>
    <xf numFmtId="0" fontId="2" fillId="2" borderId="10" xfId="0" applyFont="1" applyFill="1" applyBorder="1" applyAlignment="1">
      <alignment vertical="center"/>
    </xf>
    <xf numFmtId="0" fontId="5" fillId="0" borderId="0" xfId="1" applyFont="1" applyAlignment="1" applyProtection="1">
      <alignment vertical="center"/>
    </xf>
    <xf numFmtId="0" fontId="0" fillId="6" borderId="0" xfId="0" applyFill="1" applyAlignment="1">
      <alignment vertical="center"/>
    </xf>
    <xf numFmtId="0" fontId="6" fillId="0" borderId="0" xfId="0" applyFont="1" applyAlignment="1">
      <alignment vertical="center"/>
    </xf>
    <xf numFmtId="0" fontId="2" fillId="0" borderId="0" xfId="0" applyFont="1" applyAlignment="1">
      <alignment horizontal="left" vertical="center" indent="1"/>
    </xf>
    <xf numFmtId="0" fontId="0" fillId="0" borderId="22" xfId="0" applyBorder="1"/>
    <xf numFmtId="0" fontId="8" fillId="0" borderId="0" xfId="2" applyFont="1" applyFill="1" applyAlignment="1" applyProtection="1">
      <alignment horizontal="left" vertical="top" wrapText="1"/>
    </xf>
    <xf numFmtId="0" fontId="2" fillId="2" borderId="0" xfId="0" applyFont="1" applyFill="1" applyAlignment="1">
      <alignment vertical="center"/>
    </xf>
    <xf numFmtId="0" fontId="2" fillId="2" borderId="0" xfId="0" applyFont="1" applyFill="1" applyAlignment="1">
      <alignment horizontal="center" vertical="center"/>
    </xf>
    <xf numFmtId="0" fontId="0" fillId="2" borderId="24" xfId="0" applyFill="1" applyBorder="1" applyAlignment="1">
      <alignment horizontal="center" vertical="center"/>
    </xf>
    <xf numFmtId="0" fontId="0" fillId="0" borderId="29" xfId="0" applyBorder="1" applyAlignment="1">
      <alignment vertical="center"/>
    </xf>
    <xf numFmtId="0" fontId="0" fillId="7" borderId="1" xfId="0" applyFill="1" applyBorder="1"/>
    <xf numFmtId="0" fontId="0" fillId="7" borderId="2" xfId="0" applyFill="1" applyBorder="1"/>
    <xf numFmtId="0" fontId="0" fillId="7" borderId="3" xfId="0" applyFill="1" applyBorder="1"/>
    <xf numFmtId="0" fontId="0" fillId="0" borderId="30" xfId="0" applyBorder="1" applyAlignment="1">
      <alignment vertical="center"/>
    </xf>
    <xf numFmtId="0" fontId="2" fillId="0" borderId="5" xfId="0" applyFont="1" applyBorder="1" applyAlignment="1">
      <alignment vertical="center"/>
    </xf>
    <xf numFmtId="0" fontId="0" fillId="0" borderId="5" xfId="0" applyBorder="1" applyAlignment="1">
      <alignment vertical="center"/>
    </xf>
    <xf numFmtId="0" fontId="0" fillId="0" borderId="31" xfId="0" applyBorder="1" applyAlignment="1">
      <alignment vertical="center"/>
    </xf>
    <xf numFmtId="0" fontId="0" fillId="0" borderId="6" xfId="0" applyBorder="1" applyAlignment="1">
      <alignment horizontal="left" vertical="center"/>
    </xf>
    <xf numFmtId="0" fontId="0" fillId="0" borderId="8" xfId="0" applyBorder="1"/>
    <xf numFmtId="0" fontId="0" fillId="0" borderId="4" xfId="0" applyBorder="1"/>
    <xf numFmtId="0" fontId="0" fillId="0" borderId="9" xfId="0" applyBorder="1"/>
    <xf numFmtId="9" fontId="0" fillId="5" borderId="0" xfId="3" applyFont="1" applyFill="1" applyBorder="1" applyAlignment="1" applyProtection="1">
      <alignment horizontal="right" vertical="center"/>
      <protection locked="0"/>
    </xf>
    <xf numFmtId="0" fontId="0" fillId="5" borderId="26" xfId="0" applyFill="1" applyBorder="1" applyAlignment="1" applyProtection="1">
      <alignment horizontal="center" vertical="center"/>
      <protection locked="0"/>
    </xf>
    <xf numFmtId="0" fontId="2" fillId="2" borderId="32" xfId="0" applyFont="1" applyFill="1" applyBorder="1" applyAlignment="1">
      <alignment horizontal="right" vertical="center" indent="1"/>
    </xf>
    <xf numFmtId="0" fontId="2" fillId="2" borderId="33" xfId="0" applyFont="1" applyFill="1" applyBorder="1" applyAlignment="1">
      <alignment horizontal="right" vertical="center" indent="1"/>
    </xf>
    <xf numFmtId="0" fontId="0" fillId="9" borderId="0" xfId="0" applyFill="1"/>
    <xf numFmtId="0" fontId="13" fillId="10" borderId="34" xfId="4"/>
    <xf numFmtId="0" fontId="0" fillId="11" borderId="0" xfId="0" applyFill="1"/>
    <xf numFmtId="0" fontId="2" fillId="11" borderId="0" xfId="0" applyFont="1" applyFill="1"/>
    <xf numFmtId="0" fontId="13" fillId="10" borderId="34" xfId="4" applyAlignment="1">
      <alignment horizontal="center" vertical="center"/>
    </xf>
    <xf numFmtId="0" fontId="2" fillId="11" borderId="0" xfId="0" applyFont="1" applyFill="1" applyAlignment="1">
      <alignment horizontal="center" vertical="center"/>
    </xf>
    <xf numFmtId="0" fontId="0" fillId="0" borderId="0" xfId="0" applyAlignment="1">
      <alignment horizontal="center" vertical="center"/>
    </xf>
    <xf numFmtId="0" fontId="0" fillId="11" borderId="0" xfId="0" applyFill="1" applyAlignment="1">
      <alignment horizontal="center" vertical="center"/>
    </xf>
    <xf numFmtId="0" fontId="7" fillId="0" borderId="7" xfId="0" quotePrefix="1" applyFont="1" applyBorder="1" applyAlignment="1">
      <alignment horizontal="left" vertical="center"/>
    </xf>
    <xf numFmtId="0" fontId="7" fillId="0" borderId="0" xfId="0" quotePrefix="1" applyFont="1" applyAlignment="1">
      <alignment horizontal="left" vertical="center"/>
    </xf>
    <xf numFmtId="0" fontId="0" fillId="12" borderId="27" xfId="0" applyFill="1" applyBorder="1" applyAlignment="1">
      <alignment horizontal="center" vertical="center"/>
    </xf>
    <xf numFmtId="0" fontId="0" fillId="12" borderId="36" xfId="0" applyFill="1" applyBorder="1" applyAlignment="1">
      <alignment vertical="center"/>
    </xf>
    <xf numFmtId="0" fontId="0" fillId="13" borderId="0" xfId="0" applyFill="1"/>
    <xf numFmtId="0" fontId="0" fillId="13" borderId="21" xfId="0" applyFill="1" applyBorder="1"/>
    <xf numFmtId="0" fontId="0" fillId="13" borderId="10" xfId="0" applyFill="1" applyBorder="1"/>
    <xf numFmtId="0" fontId="0" fillId="13" borderId="10" xfId="0" applyFill="1" applyBorder="1" applyAlignment="1">
      <alignment horizontal="center" vertical="center"/>
    </xf>
    <xf numFmtId="0" fontId="0" fillId="13" borderId="11" xfId="0" applyFill="1" applyBorder="1"/>
    <xf numFmtId="0" fontId="14" fillId="6" borderId="0" xfId="2" applyFont="1" applyFill="1" applyAlignment="1" applyProtection="1">
      <alignment vertical="center"/>
    </xf>
    <xf numFmtId="0" fontId="15" fillId="0" borderId="0" xfId="0" applyFont="1"/>
    <xf numFmtId="0" fontId="2" fillId="13" borderId="0" xfId="0" applyFont="1" applyFill="1"/>
    <xf numFmtId="0" fontId="2" fillId="13" borderId="0" xfId="0" applyFont="1" applyFill="1" applyAlignment="1">
      <alignment horizontal="center" vertical="center"/>
    </xf>
    <xf numFmtId="0" fontId="0" fillId="0" borderId="0" xfId="0" quotePrefix="1"/>
    <xf numFmtId="0" fontId="18" fillId="0" borderId="0" xfId="0" applyFont="1" applyAlignment="1">
      <alignment vertical="center"/>
    </xf>
    <xf numFmtId="0" fontId="0" fillId="14" borderId="0" xfId="0" applyFill="1" applyAlignment="1">
      <alignment vertical="center" wrapText="1"/>
    </xf>
    <xf numFmtId="0" fontId="2" fillId="0" borderId="5" xfId="0" applyFont="1" applyBorder="1" applyAlignment="1">
      <alignment horizontal="right" vertical="center"/>
    </xf>
    <xf numFmtId="0" fontId="17" fillId="0" borderId="0" xfId="0" applyFont="1" applyAlignment="1">
      <alignment vertical="center"/>
    </xf>
    <xf numFmtId="0" fontId="13" fillId="10" borderId="34" xfId="4" applyAlignment="1">
      <alignment horizontal="center"/>
    </xf>
    <xf numFmtId="0" fontId="0" fillId="0" borderId="0" xfId="0" applyAlignment="1">
      <alignment horizontal="center"/>
    </xf>
    <xf numFmtId="0" fontId="2" fillId="2" borderId="21" xfId="0" applyFont="1" applyFill="1" applyBorder="1" applyAlignment="1">
      <alignment horizontal="left" vertical="center" indent="1"/>
    </xf>
    <xf numFmtId="0" fontId="20" fillId="0" borderId="0" xfId="5" applyFont="1" applyBorder="1" applyAlignment="1" applyProtection="1">
      <alignment vertical="center"/>
    </xf>
    <xf numFmtId="0" fontId="20" fillId="0" borderId="0" xfId="5" quotePrefix="1" applyFont="1" applyBorder="1" applyAlignment="1" applyProtection="1">
      <alignment vertical="center"/>
    </xf>
    <xf numFmtId="0" fontId="20" fillId="0" borderId="16" xfId="5" applyFont="1" applyBorder="1" applyAlignment="1" applyProtection="1">
      <alignment horizontal="left" vertical="center" indent="1"/>
    </xf>
    <xf numFmtId="0" fontId="20" fillId="0" borderId="16" xfId="5" quotePrefix="1" applyFont="1" applyBorder="1" applyAlignment="1" applyProtection="1">
      <alignment horizontal="left" vertical="center" indent="1"/>
    </xf>
    <xf numFmtId="14" fontId="2" fillId="5" borderId="4" xfId="0" applyNumberFormat="1" applyFont="1" applyFill="1" applyBorder="1" applyAlignment="1" applyProtection="1">
      <alignment horizontal="center" vertical="center"/>
      <protection locked="0"/>
    </xf>
    <xf numFmtId="14" fontId="2" fillId="5" borderId="5" xfId="0" applyNumberFormat="1" applyFont="1" applyFill="1" applyBorder="1" applyAlignment="1" applyProtection="1">
      <alignment horizontal="center" vertical="center"/>
      <protection locked="0"/>
    </xf>
    <xf numFmtId="0" fontId="2" fillId="0" borderId="0" xfId="0" applyFont="1" applyAlignment="1">
      <alignment horizontal="right" vertical="center"/>
    </xf>
    <xf numFmtId="0" fontId="2" fillId="0" borderId="0" xfId="0" applyFont="1" applyAlignment="1">
      <alignment horizontal="right" vertical="center" indent="1"/>
    </xf>
    <xf numFmtId="0" fontId="2" fillId="2" borderId="12" xfId="0" applyFont="1" applyFill="1" applyBorder="1" applyAlignment="1">
      <alignment vertical="center"/>
    </xf>
    <xf numFmtId="0" fontId="2" fillId="0" borderId="0" xfId="0" applyFont="1" applyAlignment="1">
      <alignment horizontal="center" vertical="center"/>
    </xf>
    <xf numFmtId="0" fontId="14" fillId="2" borderId="0" xfId="2" applyFont="1" applyFill="1" applyAlignment="1" applyProtection="1">
      <alignment horizontal="left" vertical="center" indent="1"/>
    </xf>
    <xf numFmtId="0" fontId="14" fillId="2" borderId="0" xfId="2" applyFont="1" applyFill="1" applyAlignment="1" applyProtection="1">
      <alignment vertical="center"/>
    </xf>
    <xf numFmtId="0" fontId="18" fillId="0" borderId="0" xfId="0" applyFont="1" applyAlignment="1">
      <alignment horizontal="right" vertical="center"/>
    </xf>
    <xf numFmtId="0" fontId="0" fillId="2" borderId="0" xfId="0" applyFill="1" applyAlignment="1">
      <alignment vertical="center"/>
    </xf>
    <xf numFmtId="0" fontId="0" fillId="0" borderId="4" xfId="0" applyBorder="1" applyAlignment="1">
      <alignment horizontal="center" vertical="center"/>
    </xf>
    <xf numFmtId="0" fontId="22" fillId="0" borderId="0" xfId="5" applyNumberFormat="1" applyFont="1" applyFill="1" applyAlignment="1">
      <alignment horizontal="center" vertical="center"/>
    </xf>
    <xf numFmtId="0" fontId="7" fillId="0" borderId="0" xfId="0" quotePrefix="1" applyFont="1" applyAlignment="1">
      <alignment vertical="center"/>
    </xf>
    <xf numFmtId="0" fontId="7" fillId="0" borderId="0" xfId="0" quotePrefix="1" applyFont="1"/>
    <xf numFmtId="0" fontId="2" fillId="15" borderId="0" xfId="0" applyFont="1" applyFill="1" applyAlignment="1">
      <alignment horizontal="center" vertical="center"/>
    </xf>
    <xf numFmtId="49" fontId="2" fillId="5" borderId="0" xfId="0" quotePrefix="1" applyNumberFormat="1" applyFont="1" applyFill="1" applyAlignment="1" applyProtection="1">
      <alignment horizontal="center" vertical="center"/>
      <protection locked="0"/>
    </xf>
    <xf numFmtId="49" fontId="0" fillId="5" borderId="0" xfId="0" quotePrefix="1" applyNumberFormat="1" applyFill="1" applyAlignment="1" applyProtection="1">
      <alignment horizontal="left" vertical="center" indent="1"/>
      <protection locked="0"/>
    </xf>
    <xf numFmtId="14" fontId="0" fillId="0" borderId="0" xfId="0" applyNumberFormat="1"/>
    <xf numFmtId="0" fontId="0" fillId="0" borderId="0" xfId="0" quotePrefix="1" applyAlignment="1">
      <alignment horizontal="left" vertical="center"/>
    </xf>
    <xf numFmtId="0" fontId="0" fillId="0" borderId="4" xfId="0" quotePrefix="1" applyBorder="1" applyAlignment="1">
      <alignment horizontal="left" vertical="center"/>
    </xf>
    <xf numFmtId="14" fontId="2" fillId="5" borderId="38" xfId="0" applyNumberFormat="1" applyFont="1" applyFill="1" applyBorder="1" applyAlignment="1" applyProtection="1">
      <alignment horizontal="center" vertical="center"/>
      <protection locked="0"/>
    </xf>
    <xf numFmtId="0" fontId="2" fillId="2" borderId="0" xfId="0" applyFont="1" applyFill="1" applyAlignment="1">
      <alignment horizontal="right" vertical="center"/>
    </xf>
    <xf numFmtId="0" fontId="26" fillId="2" borderId="0" xfId="0" applyFont="1" applyFill="1" applyAlignment="1">
      <alignment vertical="center"/>
    </xf>
    <xf numFmtId="0" fontId="14" fillId="2" borderId="0" xfId="1" applyFont="1" applyFill="1" applyAlignment="1" applyProtection="1">
      <alignment vertical="center"/>
    </xf>
    <xf numFmtId="0" fontId="2" fillId="2" borderId="0" xfId="0" quotePrefix="1" applyFont="1" applyFill="1" applyAlignment="1">
      <alignment horizontal="left" vertical="center" indent="1"/>
    </xf>
    <xf numFmtId="0" fontId="2" fillId="2" borderId="0" xfId="0" quotePrefix="1" applyFont="1" applyFill="1" applyAlignment="1">
      <alignment horizontal="right" vertical="center" indent="1"/>
    </xf>
    <xf numFmtId="0" fontId="2" fillId="2" borderId="42" xfId="0" applyFont="1" applyFill="1" applyBorder="1"/>
    <xf numFmtId="0" fontId="17" fillId="2" borderId="43" xfId="6" applyFont="1" applyFill="1" applyBorder="1" applyProtection="1"/>
    <xf numFmtId="0" fontId="23" fillId="2" borderId="43" xfId="6" applyFill="1" applyBorder="1" applyProtection="1"/>
    <xf numFmtId="0" fontId="23" fillId="2" borderId="43" xfId="6" applyFill="1" applyBorder="1" applyAlignment="1" applyProtection="1">
      <alignment horizontal="center"/>
    </xf>
    <xf numFmtId="0" fontId="0" fillId="2" borderId="44" xfId="0" applyFill="1" applyBorder="1"/>
    <xf numFmtId="0" fontId="2" fillId="2" borderId="0" xfId="0" quotePrefix="1" applyFont="1" applyFill="1" applyAlignment="1">
      <alignment horizontal="left" vertical="center"/>
    </xf>
    <xf numFmtId="0" fontId="16" fillId="2" borderId="43" xfId="0" applyFont="1" applyFill="1" applyBorder="1" applyAlignment="1">
      <alignment vertical="center"/>
    </xf>
    <xf numFmtId="0" fontId="17" fillId="2" borderId="43" xfId="0" applyFont="1" applyFill="1" applyBorder="1" applyAlignment="1">
      <alignment vertical="center"/>
    </xf>
    <xf numFmtId="0" fontId="17" fillId="2" borderId="43" xfId="0" applyFont="1" applyFill="1" applyBorder="1" applyAlignment="1">
      <alignment horizontal="center" vertical="center"/>
    </xf>
    <xf numFmtId="0" fontId="28" fillId="2" borderId="43" xfId="0" applyFont="1" applyFill="1" applyBorder="1" applyAlignment="1">
      <alignment vertical="center"/>
    </xf>
    <xf numFmtId="0" fontId="17" fillId="2" borderId="43" xfId="6" applyFont="1" applyFill="1" applyBorder="1" applyAlignment="1" applyProtection="1">
      <alignment horizontal="left" vertical="center" indent="1"/>
    </xf>
    <xf numFmtId="0" fontId="23" fillId="2" borderId="43" xfId="6" applyFill="1" applyBorder="1" applyAlignment="1" applyProtection="1">
      <alignment vertical="center"/>
    </xf>
    <xf numFmtId="0" fontId="0" fillId="0" borderId="0" xfId="0" applyAlignment="1">
      <alignment wrapText="1"/>
    </xf>
    <xf numFmtId="0" fontId="0" fillId="0" borderId="0" xfId="0" applyAlignment="1">
      <alignment horizontal="left" vertical="top"/>
    </xf>
    <xf numFmtId="0" fontId="0" fillId="0" borderId="0" xfId="0" applyAlignment="1">
      <alignment horizontal="right" vertical="top"/>
    </xf>
    <xf numFmtId="0" fontId="16" fillId="0" borderId="45" xfId="0" quotePrefix="1" applyFont="1" applyBorder="1"/>
    <xf numFmtId="0" fontId="16" fillId="0" borderId="45" xfId="0" applyFont="1" applyBorder="1"/>
    <xf numFmtId="0" fontId="3" fillId="0" borderId="45" xfId="0" applyFont="1" applyBorder="1"/>
    <xf numFmtId="0" fontId="3" fillId="0" borderId="45" xfId="0" applyFont="1" applyBorder="1" applyAlignment="1">
      <alignment horizontal="center"/>
    </xf>
    <xf numFmtId="0" fontId="0" fillId="0" borderId="46" xfId="0" applyBorder="1"/>
    <xf numFmtId="0" fontId="18" fillId="18" borderId="50" xfId="0" applyFont="1" applyFill="1" applyBorder="1" applyAlignment="1" applyProtection="1">
      <alignment horizontal="left" vertical="center" indent="1"/>
      <protection locked="0"/>
    </xf>
    <xf numFmtId="0" fontId="30" fillId="17" borderId="48" xfId="0" applyFont="1" applyFill="1" applyBorder="1" applyAlignment="1">
      <alignment horizontal="right" vertical="center" indent="1"/>
    </xf>
    <xf numFmtId="0" fontId="30" fillId="17" borderId="48" xfId="0" applyFont="1" applyFill="1" applyBorder="1" applyAlignment="1">
      <alignment vertical="center"/>
    </xf>
    <xf numFmtId="0" fontId="30" fillId="17" borderId="51" xfId="0" applyFont="1" applyFill="1" applyBorder="1" applyAlignment="1">
      <alignment horizontal="right" vertical="center"/>
    </xf>
    <xf numFmtId="14" fontId="18" fillId="18" borderId="51" xfId="0" applyNumberFormat="1" applyFont="1" applyFill="1" applyBorder="1" applyAlignment="1" applyProtection="1">
      <alignment horizontal="left" vertical="center" indent="1"/>
      <protection locked="0"/>
    </xf>
    <xf numFmtId="0" fontId="33" fillId="12" borderId="1" xfId="0" applyFont="1" applyFill="1" applyBorder="1" applyAlignment="1">
      <alignment horizontal="left" vertical="center" indent="1"/>
    </xf>
    <xf numFmtId="0" fontId="2" fillId="12" borderId="1" xfId="0" applyFont="1" applyFill="1" applyBorder="1" applyAlignment="1">
      <alignment vertical="center"/>
    </xf>
    <xf numFmtId="0" fontId="2" fillId="12" borderId="2" xfId="0" applyFont="1" applyFill="1" applyBorder="1" applyAlignment="1">
      <alignment vertical="center"/>
    </xf>
    <xf numFmtId="0" fontId="34" fillId="12" borderId="2" xfId="0" applyFont="1" applyFill="1" applyBorder="1" applyAlignment="1">
      <alignment vertical="center"/>
    </xf>
    <xf numFmtId="0" fontId="2" fillId="12" borderId="2" xfId="0" applyFont="1" applyFill="1" applyBorder="1" applyAlignment="1">
      <alignment horizontal="right" vertical="center"/>
    </xf>
    <xf numFmtId="0" fontId="35" fillId="9" borderId="2" xfId="0" applyFont="1" applyFill="1" applyBorder="1" applyAlignment="1" applyProtection="1">
      <alignment horizontal="center" vertical="center"/>
      <protection locked="0"/>
    </xf>
    <xf numFmtId="0" fontId="0" fillId="12" borderId="2" xfId="0" applyFill="1" applyBorder="1" applyAlignment="1">
      <alignment vertical="center"/>
    </xf>
    <xf numFmtId="0" fontId="0" fillId="12" borderId="3" xfId="0" applyFill="1" applyBorder="1" applyAlignment="1">
      <alignment vertical="center"/>
    </xf>
    <xf numFmtId="0" fontId="33" fillId="19" borderId="8" xfId="0" applyFont="1" applyFill="1" applyBorder="1" applyAlignment="1">
      <alignment horizontal="left" vertical="center" indent="1"/>
    </xf>
    <xf numFmtId="0" fontId="2" fillId="19" borderId="0" xfId="0" applyFont="1" applyFill="1" applyAlignment="1">
      <alignment vertical="center"/>
    </xf>
    <xf numFmtId="0" fontId="2" fillId="19" borderId="0" xfId="0" applyFont="1" applyFill="1" applyAlignment="1">
      <alignment horizontal="right" vertical="center"/>
    </xf>
    <xf numFmtId="0" fontId="2" fillId="19" borderId="0" xfId="0" applyFont="1" applyFill="1" applyAlignment="1" applyProtection="1">
      <alignment horizontal="center" vertical="center"/>
      <protection locked="0"/>
    </xf>
    <xf numFmtId="0" fontId="0" fillId="19" borderId="0" xfId="0" applyFill="1" applyAlignment="1">
      <alignment vertical="center"/>
    </xf>
    <xf numFmtId="0" fontId="0" fillId="19" borderId="7" xfId="0" applyFill="1" applyBorder="1" applyAlignment="1">
      <alignment vertical="center"/>
    </xf>
    <xf numFmtId="0" fontId="0" fillId="12" borderId="52" xfId="0" applyFill="1" applyBorder="1" applyAlignment="1">
      <alignment horizontal="center" vertical="center"/>
    </xf>
    <xf numFmtId="0" fontId="35" fillId="0" borderId="0" xfId="0" applyFont="1" applyAlignment="1">
      <alignment horizontal="left" vertical="center" indent="1"/>
    </xf>
    <xf numFmtId="0" fontId="0" fillId="0" borderId="7" xfId="0" applyBorder="1" applyAlignment="1">
      <alignment vertical="center"/>
    </xf>
    <xf numFmtId="0" fontId="0" fillId="0" borderId="6" xfId="0" applyBorder="1" applyAlignment="1">
      <alignment vertical="center"/>
    </xf>
    <xf numFmtId="0" fontId="0" fillId="12" borderId="24" xfId="0" applyFill="1" applyBorder="1" applyAlignment="1">
      <alignment horizontal="center" vertical="center"/>
    </xf>
    <xf numFmtId="0" fontId="35" fillId="0" borderId="0" xfId="0" applyFont="1" applyAlignment="1">
      <alignment vertical="center"/>
    </xf>
    <xf numFmtId="0" fontId="35" fillId="0" borderId="8" xfId="0" applyFont="1" applyBorder="1" applyAlignment="1">
      <alignment horizontal="left" vertical="center" indent="1"/>
    </xf>
    <xf numFmtId="0" fontId="35" fillId="0" borderId="4" xfId="0" applyFont="1" applyBorder="1" applyAlignment="1">
      <alignment horizontal="center" vertical="center"/>
    </xf>
    <xf numFmtId="0" fontId="35" fillId="0" borderId="4" xfId="0" applyFont="1" applyBorder="1" applyAlignment="1">
      <alignment vertical="center"/>
    </xf>
    <xf numFmtId="0" fontId="0" fillId="0" borderId="4" xfId="0" applyBorder="1" applyAlignment="1">
      <alignment vertical="center"/>
    </xf>
    <xf numFmtId="0" fontId="0" fillId="0" borderId="9" xfId="0" applyBorder="1" applyAlignment="1">
      <alignment vertical="center"/>
    </xf>
    <xf numFmtId="0" fontId="35" fillId="12" borderId="2" xfId="0" applyFont="1" applyFill="1" applyBorder="1" applyAlignment="1">
      <alignment horizontal="center" vertical="center"/>
    </xf>
    <xf numFmtId="0" fontId="27" fillId="12" borderId="2" xfId="0" applyFont="1" applyFill="1" applyBorder="1" applyAlignment="1">
      <alignment horizontal="center" vertical="center"/>
    </xf>
    <xf numFmtId="0" fontId="2" fillId="19" borderId="0" xfId="0" applyFont="1" applyFill="1" applyAlignment="1">
      <alignment horizontal="center" vertical="center"/>
    </xf>
    <xf numFmtId="0" fontId="18" fillId="19" borderId="0" xfId="0" applyFont="1" applyFill="1" applyAlignment="1">
      <alignment horizontal="center" vertical="center"/>
    </xf>
    <xf numFmtId="0" fontId="26" fillId="0" borderId="0" xfId="0" applyFont="1" applyAlignment="1">
      <alignment vertical="center"/>
    </xf>
    <xf numFmtId="0" fontId="40" fillId="0" borderId="64" xfId="0" quotePrefix="1" applyFont="1" applyBorder="1"/>
    <xf numFmtId="0" fontId="40" fillId="0" borderId="64" xfId="0" applyFont="1" applyBorder="1"/>
    <xf numFmtId="0" fontId="3" fillId="0" borderId="64" xfId="0" applyFont="1" applyBorder="1"/>
    <xf numFmtId="0" fontId="3" fillId="0" borderId="64" xfId="0" applyFont="1" applyBorder="1" applyAlignment="1">
      <alignment horizontal="center"/>
    </xf>
    <xf numFmtId="0" fontId="0" fillId="20" borderId="65" xfId="0" applyFill="1" applyBorder="1" applyAlignment="1">
      <alignment vertical="center"/>
    </xf>
    <xf numFmtId="0" fontId="30" fillId="20" borderId="66" xfId="0" applyFont="1" applyFill="1" applyBorder="1" applyAlignment="1">
      <alignment horizontal="left" vertical="center" indent="1"/>
    </xf>
    <xf numFmtId="0" fontId="18" fillId="20" borderId="66" xfId="0" applyFont="1" applyFill="1" applyBorder="1" applyAlignment="1">
      <alignment vertical="center"/>
    </xf>
    <xf numFmtId="0" fontId="2" fillId="20" borderId="67" xfId="0" applyFont="1" applyFill="1" applyBorder="1" applyAlignment="1">
      <alignment vertical="center"/>
    </xf>
    <xf numFmtId="0" fontId="30" fillId="20" borderId="66" xfId="0" applyFont="1" applyFill="1" applyBorder="1" applyAlignment="1">
      <alignment horizontal="right" vertical="center" indent="1"/>
    </xf>
    <xf numFmtId="0" fontId="2" fillId="0" borderId="0" xfId="0" quotePrefix="1" applyFont="1" applyAlignment="1">
      <alignment horizontal="left" vertical="center"/>
    </xf>
    <xf numFmtId="0" fontId="2" fillId="0" borderId="0" xfId="0" applyFont="1" applyAlignment="1">
      <alignment horizontal="left" vertical="center"/>
    </xf>
    <xf numFmtId="167" fontId="0" fillId="0" borderId="0" xfId="0" applyNumberFormat="1" applyAlignment="1">
      <alignment vertical="center"/>
    </xf>
    <xf numFmtId="166" fontId="2" fillId="0" borderId="0" xfId="0" applyNumberFormat="1" applyFont="1" applyAlignment="1">
      <alignment vertical="center"/>
    </xf>
    <xf numFmtId="0" fontId="0" fillId="0" borderId="71" xfId="0" applyBorder="1" applyAlignment="1">
      <alignment vertical="center"/>
    </xf>
    <xf numFmtId="0" fontId="2" fillId="0" borderId="72" xfId="0" quotePrefix="1" applyFont="1" applyBorder="1" applyAlignment="1">
      <alignment horizontal="left" vertical="center"/>
    </xf>
    <xf numFmtId="0" fontId="2" fillId="0" borderId="72" xfId="0" applyFont="1" applyBorder="1" applyAlignment="1">
      <alignment horizontal="left" vertical="center"/>
    </xf>
    <xf numFmtId="0" fontId="2" fillId="0" borderId="72" xfId="0" applyFont="1" applyBorder="1" applyAlignment="1">
      <alignment vertical="center"/>
    </xf>
    <xf numFmtId="0" fontId="0" fillId="0" borderId="72" xfId="0" applyBorder="1" applyAlignment="1">
      <alignment vertical="center"/>
    </xf>
    <xf numFmtId="0" fontId="0" fillId="0" borderId="73" xfId="0" applyBorder="1" applyAlignment="1">
      <alignment vertical="center"/>
    </xf>
    <xf numFmtId="0" fontId="0" fillId="0" borderId="74" xfId="0" applyBorder="1" applyAlignment="1">
      <alignment vertical="center"/>
    </xf>
    <xf numFmtId="0" fontId="2" fillId="0" borderId="64" xfId="0" quotePrefix="1" applyFont="1" applyBorder="1" applyAlignment="1">
      <alignment horizontal="left" vertical="center"/>
    </xf>
    <xf numFmtId="0" fontId="2" fillId="0" borderId="64" xfId="0" applyFont="1" applyBorder="1" applyAlignment="1">
      <alignment horizontal="left" vertical="center"/>
    </xf>
    <xf numFmtId="0" fontId="2" fillId="0" borderId="64" xfId="0" applyFont="1" applyBorder="1" applyAlignment="1">
      <alignment vertical="center"/>
    </xf>
    <xf numFmtId="0" fontId="0" fillId="0" borderId="64" xfId="0" applyBorder="1" applyAlignment="1">
      <alignment vertical="center"/>
    </xf>
    <xf numFmtId="0" fontId="0" fillId="0" borderId="75" xfId="0" applyBorder="1" applyAlignment="1">
      <alignment vertical="center"/>
    </xf>
    <xf numFmtId="0" fontId="0" fillId="0" borderId="76" xfId="0" applyBorder="1" applyAlignment="1">
      <alignment vertical="center"/>
    </xf>
    <xf numFmtId="0" fontId="0" fillId="0" borderId="77" xfId="0" applyBorder="1" applyAlignment="1">
      <alignment vertical="center"/>
    </xf>
    <xf numFmtId="0" fontId="2" fillId="0" borderId="30" xfId="0" applyFont="1" applyBorder="1" applyAlignment="1">
      <alignment vertical="center"/>
    </xf>
    <xf numFmtId="0" fontId="26" fillId="0" borderId="6" xfId="0" quotePrefix="1" applyFont="1" applyBorder="1" applyAlignment="1">
      <alignment vertical="center"/>
    </xf>
    <xf numFmtId="0" fontId="26" fillId="0" borderId="7" xfId="0" quotePrefix="1" applyFont="1" applyBorder="1" applyAlignment="1">
      <alignment vertical="center"/>
    </xf>
    <xf numFmtId="0" fontId="0" fillId="0" borderId="0" xfId="0" applyProtection="1">
      <protection locked="0"/>
    </xf>
    <xf numFmtId="168" fontId="0" fillId="5" borderId="4" xfId="0" applyNumberFormat="1" applyFill="1" applyBorder="1" applyAlignment="1" applyProtection="1">
      <alignment horizontal="left" vertical="center"/>
      <protection locked="0"/>
    </xf>
    <xf numFmtId="168" fontId="0" fillId="5" borderId="2" xfId="0" applyNumberFormat="1" applyFill="1" applyBorder="1" applyAlignment="1" applyProtection="1">
      <alignment horizontal="left" vertical="center"/>
      <protection locked="0"/>
    </xf>
    <xf numFmtId="168" fontId="41" fillId="5" borderId="4" xfId="0" applyNumberFormat="1" applyFont="1" applyFill="1" applyBorder="1" applyAlignment="1" applyProtection="1">
      <alignment horizontal="left" vertical="center"/>
      <protection locked="0"/>
    </xf>
    <xf numFmtId="168" fontId="0" fillId="5" borderId="5" xfId="0" applyNumberFormat="1" applyFill="1" applyBorder="1" applyAlignment="1" applyProtection="1">
      <alignment horizontal="left" vertical="center"/>
      <protection locked="0"/>
    </xf>
    <xf numFmtId="169" fontId="0" fillId="5" borderId="13" xfId="7" applyNumberFormat="1" applyFont="1" applyFill="1" applyBorder="1" applyAlignment="1" applyProtection="1">
      <alignment horizontal="right" vertical="center" indent="1"/>
      <protection locked="0"/>
    </xf>
    <xf numFmtId="168" fontId="0" fillId="5" borderId="0" xfId="0" applyNumberFormat="1" applyFill="1" applyAlignment="1" applyProtection="1">
      <alignment horizontal="left" vertical="center"/>
      <protection locked="0"/>
    </xf>
    <xf numFmtId="164" fontId="41" fillId="5" borderId="4" xfId="0" applyNumberFormat="1" applyFont="1" applyFill="1" applyBorder="1" applyAlignment="1" applyProtection="1">
      <alignment horizontal="left" vertical="center"/>
      <protection locked="0"/>
    </xf>
    <xf numFmtId="170" fontId="2" fillId="0" borderId="0" xfId="0" applyNumberFormat="1" applyFont="1"/>
    <xf numFmtId="170" fontId="2" fillId="0" borderId="13" xfId="0" applyNumberFormat="1" applyFont="1" applyBorder="1" applyAlignment="1">
      <alignment vertical="center"/>
    </xf>
    <xf numFmtId="170" fontId="0" fillId="0" borderId="28" xfId="0" applyNumberFormat="1" applyBorder="1" applyAlignment="1">
      <alignment vertical="center"/>
    </xf>
    <xf numFmtId="170" fontId="0" fillId="12" borderId="27" xfId="0" applyNumberFormat="1" applyFill="1" applyBorder="1" applyAlignment="1">
      <alignment vertical="center"/>
    </xf>
    <xf numFmtId="164" fontId="41" fillId="5" borderId="0" xfId="0" applyNumberFormat="1" applyFont="1" applyFill="1" applyAlignment="1" applyProtection="1">
      <alignment horizontal="left" vertical="center"/>
      <protection locked="0"/>
    </xf>
    <xf numFmtId="170" fontId="26" fillId="9" borderId="53" xfId="0" applyNumberFormat="1" applyFont="1" applyFill="1" applyBorder="1" applyAlignment="1" applyProtection="1">
      <alignment horizontal="left" vertical="center"/>
      <protection locked="0"/>
    </xf>
    <xf numFmtId="170" fontId="26" fillId="9" borderId="54" xfId="0" applyNumberFormat="1" applyFont="1" applyFill="1" applyBorder="1" applyAlignment="1" applyProtection="1">
      <alignment horizontal="left" vertical="center"/>
      <protection locked="0"/>
    </xf>
    <xf numFmtId="170" fontId="26" fillId="0" borderId="0" xfId="0" applyNumberFormat="1" applyFont="1" applyAlignment="1">
      <alignment horizontal="left" vertical="center"/>
    </xf>
    <xf numFmtId="170" fontId="26" fillId="0" borderId="4" xfId="0" applyNumberFormat="1" applyFont="1" applyBorder="1" applyAlignment="1">
      <alignment horizontal="left" vertical="center"/>
    </xf>
    <xf numFmtId="40" fontId="39" fillId="0" borderId="4" xfId="0" applyNumberFormat="1" applyFont="1" applyBorder="1" applyAlignment="1">
      <alignment horizontal="center" vertical="center"/>
    </xf>
    <xf numFmtId="165" fontId="0" fillId="0" borderId="0" xfId="0" applyNumberFormat="1" applyAlignment="1" applyProtection="1">
      <alignment vertical="center"/>
      <protection locked="0"/>
    </xf>
    <xf numFmtId="171" fontId="2" fillId="0" borderId="72" xfId="0" applyNumberFormat="1" applyFont="1" applyBorder="1" applyAlignment="1">
      <alignment horizontal="left" vertical="center" indent="12"/>
    </xf>
    <xf numFmtId="170" fontId="2" fillId="0" borderId="0" xfId="0" applyNumberFormat="1" applyFont="1" applyAlignment="1">
      <alignment vertical="center"/>
    </xf>
    <xf numFmtId="0" fontId="28" fillId="0" borderId="86" xfId="0" quotePrefix="1" applyFont="1" applyBorder="1"/>
    <xf numFmtId="0" fontId="16" fillId="0" borderId="86" xfId="0" quotePrefix="1" applyFont="1" applyBorder="1"/>
    <xf numFmtId="0" fontId="16" fillId="0" borderId="86" xfId="0" applyFont="1" applyBorder="1"/>
    <xf numFmtId="0" fontId="3" fillId="0" borderId="86" xfId="0" applyFont="1" applyBorder="1"/>
    <xf numFmtId="0" fontId="43" fillId="0" borderId="0" xfId="0" applyFont="1" applyAlignment="1">
      <alignment vertical="center"/>
    </xf>
    <xf numFmtId="0" fontId="44" fillId="0" borderId="0" xfId="0" applyFont="1" applyAlignment="1">
      <alignment horizontal="right"/>
    </xf>
    <xf numFmtId="0" fontId="9" fillId="0" borderId="0" xfId="0" applyFont="1" applyAlignment="1">
      <alignment vertical="center"/>
    </xf>
    <xf numFmtId="0" fontId="46" fillId="0" borderId="0" xfId="0" applyFont="1" applyAlignment="1">
      <alignment vertical="center"/>
    </xf>
    <xf numFmtId="0" fontId="22" fillId="13" borderId="0" xfId="0" applyFont="1" applyFill="1" applyAlignment="1">
      <alignment vertical="center"/>
    </xf>
    <xf numFmtId="0" fontId="49" fillId="0" borderId="0" xfId="0" applyFont="1" applyAlignment="1">
      <alignment vertical="center"/>
    </xf>
    <xf numFmtId="0" fontId="47" fillId="0" borderId="0" xfId="0" applyFont="1" applyAlignment="1">
      <alignment vertical="center"/>
    </xf>
    <xf numFmtId="0" fontId="46" fillId="0" borderId="0" xfId="0" applyFont="1" applyAlignment="1">
      <alignment horizontal="left" vertical="center" indent="3"/>
    </xf>
    <xf numFmtId="0" fontId="48" fillId="0" borderId="0" xfId="0" applyFont="1" applyAlignment="1">
      <alignment vertical="center"/>
    </xf>
    <xf numFmtId="0" fontId="45" fillId="0" borderId="0" xfId="0" applyFont="1" applyAlignment="1">
      <alignment vertical="center"/>
    </xf>
    <xf numFmtId="0" fontId="51" fillId="0" borderId="0" xfId="0" applyFont="1" applyAlignment="1">
      <alignment vertical="center"/>
    </xf>
    <xf numFmtId="0" fontId="52" fillId="23" borderId="87" xfId="0" applyFont="1" applyFill="1" applyBorder="1" applyAlignment="1">
      <alignment horizontal="center" vertical="center" wrapText="1"/>
    </xf>
    <xf numFmtId="0" fontId="46" fillId="0" borderId="89" xfId="0" applyFont="1" applyBorder="1" applyAlignment="1">
      <alignment horizontal="center" vertical="center" wrapText="1"/>
    </xf>
    <xf numFmtId="0" fontId="46" fillId="0" borderId="87" xfId="0" applyFont="1" applyBorder="1" applyAlignment="1">
      <alignment horizontal="center" vertical="center" wrapText="1"/>
    </xf>
    <xf numFmtId="0" fontId="12" fillId="0" borderId="0" xfId="0" applyFont="1" applyAlignment="1">
      <alignment vertical="center"/>
    </xf>
    <xf numFmtId="0" fontId="53" fillId="0" borderId="0" xfId="0" applyFont="1" applyAlignment="1">
      <alignment vertical="center"/>
    </xf>
    <xf numFmtId="0" fontId="54" fillId="0" borderId="0" xfId="0" applyFont="1" applyAlignment="1">
      <alignment vertical="center"/>
    </xf>
    <xf numFmtId="0" fontId="46" fillId="0" borderId="0" xfId="0" applyFont="1" applyAlignment="1">
      <alignment horizontal="left" vertical="top" indent="6"/>
    </xf>
    <xf numFmtId="0" fontId="46" fillId="0" borderId="0" xfId="0" applyFont="1" applyAlignment="1">
      <alignment horizontal="left" vertical="top" indent="7"/>
    </xf>
    <xf numFmtId="0" fontId="46" fillId="0" borderId="0" xfId="0" applyFont="1" applyAlignment="1">
      <alignment horizontal="left" vertical="center" indent="6"/>
    </xf>
    <xf numFmtId="0" fontId="55" fillId="0" borderId="0" xfId="0" applyFont="1" applyAlignment="1">
      <alignment horizontal="left" vertical="center" indent="8"/>
    </xf>
    <xf numFmtId="0" fontId="56" fillId="0" borderId="0" xfId="0" applyFont="1" applyAlignment="1">
      <alignment vertical="center"/>
    </xf>
    <xf numFmtId="0" fontId="57" fillId="0" borderId="0" xfId="0" applyFont="1" applyAlignment="1">
      <alignment vertical="center"/>
    </xf>
    <xf numFmtId="0" fontId="2" fillId="2" borderId="92" xfId="0" applyFont="1" applyFill="1" applyBorder="1" applyAlignment="1">
      <alignment horizontal="right" vertical="center" indent="1"/>
    </xf>
    <xf numFmtId="0" fontId="2" fillId="2" borderId="2" xfId="0" applyFont="1" applyFill="1" applyBorder="1" applyAlignment="1">
      <alignment horizontal="right" vertical="center" indent="1"/>
    </xf>
    <xf numFmtId="0" fontId="0" fillId="2" borderId="93" xfId="0" applyFill="1" applyBorder="1"/>
    <xf numFmtId="0" fontId="60" fillId="0" borderId="0" xfId="0" applyFont="1" applyAlignment="1">
      <alignment vertical="center" wrapText="1"/>
    </xf>
    <xf numFmtId="0" fontId="19" fillId="0" borderId="0" xfId="5" applyAlignment="1" applyProtection="1">
      <alignment vertical="center"/>
      <protection hidden="1"/>
    </xf>
    <xf numFmtId="0" fontId="61" fillId="0" borderId="0" xfId="0" applyFont="1" applyAlignment="1">
      <alignment vertical="center" wrapText="1"/>
    </xf>
    <xf numFmtId="0" fontId="62" fillId="0" borderId="0" xfId="0" applyFont="1" applyAlignment="1">
      <alignment horizontal="left" vertical="center" wrapText="1" indent="5"/>
    </xf>
    <xf numFmtId="0" fontId="61" fillId="0" borderId="0" xfId="0" applyFont="1" applyAlignment="1">
      <alignment horizontal="left" vertical="center" wrapText="1"/>
    </xf>
    <xf numFmtId="0" fontId="2" fillId="5" borderId="94" xfId="0" applyFont="1" applyFill="1" applyBorder="1" applyAlignment="1" applyProtection="1">
      <alignment horizontal="center" vertical="center"/>
      <protection locked="0"/>
    </xf>
    <xf numFmtId="165" fontId="30" fillId="17" borderId="51" xfId="0" applyNumberFormat="1" applyFont="1" applyFill="1" applyBorder="1" applyAlignment="1">
      <alignment vertical="center"/>
    </xf>
    <xf numFmtId="0" fontId="30" fillId="17" borderId="24" xfId="0" applyFont="1" applyFill="1" applyBorder="1" applyAlignment="1">
      <alignment vertical="center"/>
    </xf>
    <xf numFmtId="10" fontId="0" fillId="5" borderId="4" xfId="3" applyNumberFormat="1" applyFont="1" applyFill="1" applyBorder="1" applyAlignment="1" applyProtection="1">
      <alignment horizontal="right" vertical="center"/>
      <protection locked="0"/>
    </xf>
    <xf numFmtId="10" fontId="0" fillId="5" borderId="0" xfId="3" applyNumberFormat="1" applyFont="1" applyFill="1" applyBorder="1" applyAlignment="1" applyProtection="1">
      <alignment horizontal="right" vertical="center"/>
      <protection locked="0"/>
    </xf>
    <xf numFmtId="0" fontId="46" fillId="0" borderId="98" xfId="0" applyFont="1" applyBorder="1" applyAlignment="1">
      <alignment horizontal="center" vertical="center" wrapText="1"/>
    </xf>
    <xf numFmtId="0" fontId="2" fillId="2" borderId="44" xfId="0" applyFont="1" applyFill="1" applyBorder="1" applyAlignment="1">
      <alignment horizontal="left" vertical="center" wrapText="1" indent="1"/>
    </xf>
    <xf numFmtId="0" fontId="0" fillId="2" borderId="44" xfId="0" applyFill="1" applyBorder="1" applyAlignment="1">
      <alignment horizontal="left" vertical="center" wrapText="1" indent="1"/>
    </xf>
    <xf numFmtId="170" fontId="0" fillId="12" borderId="27" xfId="0" applyNumberFormat="1" applyFill="1" applyBorder="1" applyAlignment="1">
      <alignment horizontal="left" vertical="center" indent="1"/>
    </xf>
    <xf numFmtId="170" fontId="0" fillId="0" borderId="25" xfId="0" applyNumberFormat="1" applyBorder="1" applyAlignment="1">
      <alignment horizontal="left" vertical="center" indent="1"/>
    </xf>
    <xf numFmtId="0" fontId="0" fillId="0" borderId="26" xfId="0" applyBorder="1" applyAlignment="1">
      <alignment horizontal="center" vertical="center"/>
    </xf>
    <xf numFmtId="0" fontId="0" fillId="0" borderId="27" xfId="0" applyBorder="1" applyAlignment="1">
      <alignment horizontal="left" vertical="center" indent="1"/>
    </xf>
    <xf numFmtId="0" fontId="11" fillId="2" borderId="0" xfId="0" applyFont="1" applyFill="1" applyAlignment="1">
      <alignment horizontal="left" vertical="center" indent="1"/>
    </xf>
    <xf numFmtId="0" fontId="0" fillId="12" borderId="35" xfId="0" applyFill="1" applyBorder="1" applyAlignment="1">
      <alignment horizontal="left" vertical="center" indent="1"/>
    </xf>
    <xf numFmtId="0" fontId="0" fillId="12" borderId="27" xfId="0" applyFill="1" applyBorder="1" applyAlignment="1">
      <alignment horizontal="left" vertical="center" indent="1"/>
    </xf>
    <xf numFmtId="0" fontId="0" fillId="12" borderId="27" xfId="0" applyFill="1" applyBorder="1" applyAlignment="1">
      <alignment horizontal="center" vertical="center"/>
    </xf>
    <xf numFmtId="0" fontId="0" fillId="12" borderId="28" xfId="0" applyFill="1" applyBorder="1" applyAlignment="1">
      <alignment horizontal="center" vertical="center"/>
    </xf>
    <xf numFmtId="0" fontId="0" fillId="5" borderId="30" xfId="0" quotePrefix="1" applyFill="1" applyBorder="1" applyAlignment="1" applyProtection="1">
      <alignment horizontal="left" vertical="top" wrapText="1" indent="1"/>
      <protection locked="0"/>
    </xf>
    <xf numFmtId="0" fontId="0" fillId="5" borderId="5" xfId="0" quotePrefix="1" applyFill="1" applyBorder="1" applyAlignment="1" applyProtection="1">
      <alignment horizontal="left" vertical="top" wrapText="1" indent="1"/>
      <protection locked="0"/>
    </xf>
    <xf numFmtId="0" fontId="0" fillId="5" borderId="31" xfId="0" quotePrefix="1" applyFill="1" applyBorder="1" applyAlignment="1" applyProtection="1">
      <alignment horizontal="left" vertical="top" wrapText="1" indent="1"/>
      <protection locked="0"/>
    </xf>
    <xf numFmtId="0" fontId="0" fillId="5" borderId="6" xfId="0" quotePrefix="1" applyFill="1" applyBorder="1" applyAlignment="1" applyProtection="1">
      <alignment horizontal="left" vertical="top" wrapText="1" indent="1"/>
      <protection locked="0"/>
    </xf>
    <xf numFmtId="0" fontId="0" fillId="5" borderId="0" xfId="0" quotePrefix="1" applyFill="1" applyAlignment="1" applyProtection="1">
      <alignment horizontal="left" vertical="top" wrapText="1" indent="1"/>
      <protection locked="0"/>
    </xf>
    <xf numFmtId="0" fontId="0" fillId="5" borderId="7" xfId="0" quotePrefix="1" applyFill="1" applyBorder="1" applyAlignment="1" applyProtection="1">
      <alignment horizontal="left" vertical="top" wrapText="1" indent="1"/>
      <protection locked="0"/>
    </xf>
    <xf numFmtId="0" fontId="0" fillId="5" borderId="8" xfId="0" quotePrefix="1" applyFill="1" applyBorder="1" applyAlignment="1" applyProtection="1">
      <alignment horizontal="left" vertical="top" wrapText="1" indent="1"/>
      <protection locked="0"/>
    </xf>
    <xf numFmtId="0" fontId="0" fillId="5" borderId="4" xfId="0" quotePrefix="1" applyFill="1" applyBorder="1" applyAlignment="1" applyProtection="1">
      <alignment horizontal="left" vertical="top" wrapText="1" indent="1"/>
      <protection locked="0"/>
    </xf>
    <xf numFmtId="0" fontId="0" fillId="5" borderId="9" xfId="0" quotePrefix="1" applyFill="1" applyBorder="1" applyAlignment="1" applyProtection="1">
      <alignment horizontal="left" vertical="top" wrapText="1" indent="1"/>
      <protection locked="0"/>
    </xf>
    <xf numFmtId="0" fontId="2" fillId="8" borderId="1" xfId="0" applyFont="1" applyFill="1" applyBorder="1" applyAlignment="1">
      <alignment horizontal="left" vertical="center" wrapText="1" indent="1"/>
    </xf>
    <xf numFmtId="0" fontId="2" fillId="8" borderId="2" xfId="0" applyFont="1" applyFill="1" applyBorder="1" applyAlignment="1">
      <alignment horizontal="left" vertical="center" wrapText="1" indent="1"/>
    </xf>
    <xf numFmtId="170" fontId="2" fillId="0" borderId="2" xfId="0" applyNumberFormat="1" applyFont="1" applyBorder="1" applyAlignment="1">
      <alignment horizontal="left" vertical="center" indent="1"/>
    </xf>
    <xf numFmtId="0" fontId="2" fillId="0" borderId="0" xfId="0" applyFont="1" applyAlignment="1">
      <alignment horizontal="left" vertical="center" indent="1"/>
    </xf>
    <xf numFmtId="0" fontId="27" fillId="2" borderId="0" xfId="2" quotePrefix="1" applyFont="1" applyFill="1" applyAlignment="1" applyProtection="1">
      <alignment horizontal="left" vertical="top" wrapText="1"/>
    </xf>
    <xf numFmtId="0" fontId="27" fillId="2" borderId="0" xfId="2" applyFont="1" applyFill="1" applyAlignment="1" applyProtection="1">
      <alignment horizontal="left" vertical="top" wrapText="1"/>
    </xf>
    <xf numFmtId="0" fontId="12" fillId="2" borderId="0" xfId="0" applyFont="1" applyFill="1" applyAlignment="1">
      <alignment horizontal="center" vertical="center" wrapText="1"/>
    </xf>
    <xf numFmtId="0" fontId="10" fillId="2" borderId="4" xfId="0" applyFont="1" applyFill="1" applyBorder="1" applyAlignment="1">
      <alignment horizontal="center" vertical="center"/>
    </xf>
    <xf numFmtId="0" fontId="11" fillId="2" borderId="0" xfId="0" applyFont="1" applyFill="1" applyAlignment="1">
      <alignment horizontal="center" vertical="center" wrapText="1"/>
    </xf>
    <xf numFmtId="0" fontId="2" fillId="2" borderId="21" xfId="0" applyFont="1" applyFill="1" applyBorder="1" applyAlignment="1">
      <alignment horizontal="left" vertical="center" indent="1"/>
    </xf>
    <xf numFmtId="0" fontId="2" fillId="2" borderId="10" xfId="0" applyFont="1" applyFill="1" applyBorder="1" applyAlignment="1">
      <alignment horizontal="left" vertical="center" indent="1"/>
    </xf>
    <xf numFmtId="0" fontId="2" fillId="5" borderId="10" xfId="0" applyFont="1" applyFill="1" applyBorder="1" applyAlignment="1" applyProtection="1">
      <alignment horizontal="left" vertical="center" indent="1"/>
      <protection locked="0"/>
    </xf>
    <xf numFmtId="0" fontId="2" fillId="0" borderId="0" xfId="0" applyFont="1" applyAlignment="1">
      <alignment horizontal="left" vertical="center" indent="3"/>
    </xf>
    <xf numFmtId="0" fontId="0" fillId="5" borderId="23" xfId="0" applyFill="1" applyBorder="1" applyAlignment="1" applyProtection="1">
      <alignment horizontal="left" vertical="center"/>
      <protection locked="0"/>
    </xf>
    <xf numFmtId="0" fontId="2" fillId="2" borderId="0" xfId="0" applyFont="1" applyFill="1" applyAlignment="1">
      <alignment horizontal="right" vertical="center" indent="1"/>
    </xf>
    <xf numFmtId="0" fontId="2" fillId="5" borderId="39" xfId="0" applyFont="1" applyFill="1" applyBorder="1" applyAlignment="1" applyProtection="1">
      <alignment horizontal="left" vertical="center" indent="1"/>
      <protection locked="0"/>
    </xf>
    <xf numFmtId="0" fontId="2" fillId="5" borderId="40" xfId="0" applyFont="1" applyFill="1" applyBorder="1" applyAlignment="1" applyProtection="1">
      <alignment horizontal="left" vertical="center" indent="1"/>
      <protection locked="0"/>
    </xf>
    <xf numFmtId="0" fontId="2" fillId="5" borderId="41" xfId="0" applyFont="1" applyFill="1" applyBorder="1" applyAlignment="1" applyProtection="1">
      <alignment horizontal="left" vertical="center" indent="1"/>
      <protection locked="0"/>
    </xf>
    <xf numFmtId="0" fontId="0" fillId="5" borderId="2" xfId="0" applyFill="1" applyBorder="1" applyAlignment="1" applyProtection="1">
      <alignment horizontal="left" vertical="center" indent="1"/>
      <protection locked="0"/>
    </xf>
    <xf numFmtId="0" fontId="0" fillId="5" borderId="23" xfId="0" applyFill="1" applyBorder="1" applyAlignment="1" applyProtection="1">
      <alignment horizontal="left" vertical="center" indent="1"/>
      <protection locked="0"/>
    </xf>
    <xf numFmtId="0" fontId="19" fillId="24" borderId="0" xfId="5" applyFill="1" applyBorder="1" applyAlignment="1">
      <alignment horizontal="center"/>
    </xf>
    <xf numFmtId="0" fontId="35" fillId="0" borderId="30" xfId="0" applyFont="1" applyBorder="1" applyAlignment="1">
      <alignment horizontal="left" vertical="center"/>
    </xf>
    <xf numFmtId="0" fontId="0" fillId="0" borderId="5" xfId="0" applyBorder="1" applyAlignment="1">
      <alignment horizontal="left" vertical="center"/>
    </xf>
    <xf numFmtId="0" fontId="35" fillId="0" borderId="6" xfId="0" applyFont="1" applyBorder="1" applyAlignment="1">
      <alignment horizontal="left" vertical="center" indent="1"/>
    </xf>
    <xf numFmtId="0" fontId="35" fillId="0" borderId="0" xfId="0" applyFont="1" applyAlignment="1">
      <alignment horizontal="left" vertical="center" indent="1"/>
    </xf>
    <xf numFmtId="0" fontId="27" fillId="0" borderId="8" xfId="0" applyFont="1" applyBorder="1" applyAlignment="1">
      <alignment horizontal="left" vertical="center" indent="1"/>
    </xf>
    <xf numFmtId="0" fontId="27" fillId="0" borderId="4" xfId="0" applyFont="1" applyBorder="1" applyAlignment="1">
      <alignment horizontal="left" vertical="center" indent="1"/>
    </xf>
    <xf numFmtId="0" fontId="36" fillId="0" borderId="0" xfId="5" applyFont="1" applyBorder="1" applyAlignment="1" applyProtection="1">
      <alignment horizontal="left" vertical="center" indent="1"/>
    </xf>
    <xf numFmtId="0" fontId="36" fillId="0" borderId="6" xfId="5" applyFont="1" applyBorder="1" applyAlignment="1" applyProtection="1">
      <alignment horizontal="left" vertical="center" indent="1"/>
    </xf>
    <xf numFmtId="0" fontId="35" fillId="0" borderId="55" xfId="0" applyFont="1" applyBorder="1" applyAlignment="1">
      <alignment horizontal="left" vertical="center" indent="1"/>
    </xf>
    <xf numFmtId="0" fontId="35" fillId="0" borderId="30" xfId="0" applyFont="1" applyBorder="1" applyAlignment="1">
      <alignment horizontal="left" vertical="center" indent="1"/>
    </xf>
    <xf numFmtId="0" fontId="35" fillId="0" borderId="5" xfId="0" applyFont="1" applyBorder="1" applyAlignment="1">
      <alignment horizontal="left" vertical="center" indent="1"/>
    </xf>
    <xf numFmtId="0" fontId="35" fillId="0" borderId="8" xfId="0" applyFont="1" applyBorder="1" applyAlignment="1">
      <alignment horizontal="left" vertical="center" indent="1"/>
    </xf>
    <xf numFmtId="0" fontId="35" fillId="0" borderId="4" xfId="0" applyFont="1" applyBorder="1" applyAlignment="1">
      <alignment horizontal="left" vertical="center" indent="1"/>
    </xf>
    <xf numFmtId="0" fontId="35" fillId="9" borderId="0" xfId="0" applyFont="1" applyFill="1" applyAlignment="1" applyProtection="1">
      <alignment horizontal="left" vertical="center" indent="1"/>
      <protection locked="0"/>
    </xf>
    <xf numFmtId="0" fontId="32" fillId="17" borderId="48" xfId="0" applyFont="1" applyFill="1" applyBorder="1" applyAlignment="1">
      <alignment horizontal="right" vertical="center"/>
    </xf>
    <xf numFmtId="0" fontId="32" fillId="17" borderId="49" xfId="0" applyFont="1" applyFill="1" applyBorder="1" applyAlignment="1">
      <alignment horizontal="right" vertical="center"/>
    </xf>
    <xf numFmtId="0" fontId="18" fillId="18" borderId="48" xfId="0" applyFont="1" applyFill="1" applyBorder="1" applyAlignment="1" applyProtection="1">
      <alignment horizontal="left" vertical="center" indent="1"/>
      <protection locked="0"/>
    </xf>
    <xf numFmtId="0" fontId="18" fillId="18" borderId="51" xfId="0" applyFont="1" applyFill="1" applyBorder="1" applyAlignment="1" applyProtection="1">
      <alignment horizontal="left" vertical="center" indent="1"/>
      <protection locked="0"/>
    </xf>
    <xf numFmtId="0" fontId="18" fillId="18" borderId="49" xfId="0" applyFont="1" applyFill="1" applyBorder="1" applyAlignment="1" applyProtection="1">
      <alignment horizontal="left" vertical="center" indent="1"/>
      <protection locked="0"/>
    </xf>
    <xf numFmtId="165" fontId="30" fillId="17" borderId="51" xfId="0" applyNumberFormat="1" applyFont="1" applyFill="1" applyBorder="1" applyAlignment="1">
      <alignment horizontal="right" vertical="center"/>
    </xf>
    <xf numFmtId="0" fontId="30" fillId="17" borderId="49" xfId="0" applyFont="1" applyFill="1" applyBorder="1" applyAlignment="1">
      <alignment horizontal="right" vertical="center"/>
    </xf>
    <xf numFmtId="0" fontId="2" fillId="16" borderId="47" xfId="0" applyFont="1" applyFill="1" applyBorder="1" applyAlignment="1">
      <alignment horizontal="left" vertical="center" wrapText="1" indent="1"/>
    </xf>
    <xf numFmtId="0" fontId="2" fillId="16" borderId="47" xfId="0" applyFont="1" applyFill="1" applyBorder="1" applyAlignment="1">
      <alignment horizontal="left" vertical="center" indent="1"/>
    </xf>
    <xf numFmtId="0" fontId="0" fillId="9" borderId="56" xfId="0" quotePrefix="1" applyFill="1" applyBorder="1" applyAlignment="1" applyProtection="1">
      <alignment horizontal="left" vertical="top" wrapText="1" indent="1"/>
      <protection locked="0"/>
    </xf>
    <xf numFmtId="0" fontId="0" fillId="9" borderId="57" xfId="0" quotePrefix="1" applyFill="1" applyBorder="1" applyAlignment="1" applyProtection="1">
      <alignment horizontal="left" vertical="top" wrapText="1" indent="1"/>
      <protection locked="0"/>
    </xf>
    <xf numFmtId="0" fontId="0" fillId="9" borderId="58" xfId="0" quotePrefix="1" applyFill="1" applyBorder="1" applyAlignment="1" applyProtection="1">
      <alignment horizontal="left" vertical="top" wrapText="1" indent="1"/>
      <protection locked="0"/>
    </xf>
    <xf numFmtId="0" fontId="0" fillId="9" borderId="59" xfId="0" quotePrefix="1" applyFill="1" applyBorder="1" applyAlignment="1" applyProtection="1">
      <alignment horizontal="left" vertical="top" wrapText="1" indent="1"/>
      <protection locked="0"/>
    </xf>
    <xf numFmtId="0" fontId="0" fillId="9" borderId="0" xfId="0" quotePrefix="1" applyFill="1" applyAlignment="1" applyProtection="1">
      <alignment horizontal="left" vertical="top" wrapText="1" indent="1"/>
      <protection locked="0"/>
    </xf>
    <xf numFmtId="0" fontId="0" fillId="9" borderId="60" xfId="0" quotePrefix="1" applyFill="1" applyBorder="1" applyAlignment="1" applyProtection="1">
      <alignment horizontal="left" vertical="top" wrapText="1" indent="1"/>
      <protection locked="0"/>
    </xf>
    <xf numFmtId="0" fontId="0" fillId="9" borderId="61" xfId="0" quotePrefix="1" applyFill="1" applyBorder="1" applyAlignment="1" applyProtection="1">
      <alignment horizontal="left" vertical="top" wrapText="1" indent="1"/>
      <protection locked="0"/>
    </xf>
    <xf numFmtId="0" fontId="0" fillId="9" borderId="62" xfId="0" quotePrefix="1" applyFill="1" applyBorder="1" applyAlignment="1" applyProtection="1">
      <alignment horizontal="left" vertical="top" wrapText="1" indent="1"/>
      <protection locked="0"/>
    </xf>
    <xf numFmtId="0" fontId="0" fillId="9" borderId="63" xfId="0" quotePrefix="1" applyFill="1" applyBorder="1" applyAlignment="1" applyProtection="1">
      <alignment horizontal="left" vertical="top" wrapText="1" indent="1"/>
      <protection locked="0"/>
    </xf>
    <xf numFmtId="171" fontId="2" fillId="0" borderId="72" xfId="0" applyNumberFormat="1" applyFont="1" applyBorder="1" applyAlignment="1">
      <alignment horizontal="center" vertical="center"/>
    </xf>
    <xf numFmtId="171" fontId="2" fillId="0" borderId="72" xfId="0" applyNumberFormat="1" applyFont="1" applyBorder="1" applyAlignment="1">
      <alignment horizontal="left" vertical="center" indent="2"/>
    </xf>
    <xf numFmtId="172" fontId="2" fillId="0" borderId="64" xfId="3" quotePrefix="1" applyNumberFormat="1" applyFont="1" applyFill="1" applyBorder="1" applyAlignment="1" applyProtection="1">
      <alignment horizontal="center" vertical="center"/>
    </xf>
    <xf numFmtId="172" fontId="2" fillId="0" borderId="72" xfId="3" quotePrefix="1" applyNumberFormat="1" applyFont="1" applyFill="1" applyBorder="1" applyAlignment="1" applyProtection="1">
      <alignment horizontal="center" vertical="center"/>
    </xf>
    <xf numFmtId="172" fontId="2" fillId="0" borderId="73" xfId="3" quotePrefix="1" applyNumberFormat="1" applyFont="1" applyFill="1" applyBorder="1" applyAlignment="1" applyProtection="1">
      <alignment horizontal="center" vertical="center"/>
    </xf>
    <xf numFmtId="0" fontId="26" fillId="22" borderId="78" xfId="0" quotePrefix="1" applyFont="1" applyFill="1" applyBorder="1" applyAlignment="1" applyProtection="1">
      <alignment horizontal="left" vertical="top" wrapText="1"/>
      <protection locked="0"/>
    </xf>
    <xf numFmtId="0" fontId="26" fillId="22" borderId="79" xfId="0" quotePrefix="1" applyFont="1" applyFill="1" applyBorder="1" applyAlignment="1" applyProtection="1">
      <alignment horizontal="left" vertical="top" wrapText="1"/>
      <protection locked="0"/>
    </xf>
    <xf numFmtId="0" fontId="26" fillId="22" borderId="80" xfId="0" quotePrefix="1" applyFont="1" applyFill="1" applyBorder="1" applyAlignment="1" applyProtection="1">
      <alignment horizontal="left" vertical="top" wrapText="1"/>
      <protection locked="0"/>
    </xf>
    <xf numFmtId="0" fontId="26" fillId="22" borderId="81" xfId="0" quotePrefix="1" applyFont="1" applyFill="1" applyBorder="1" applyAlignment="1" applyProtection="1">
      <alignment horizontal="left" vertical="top" wrapText="1"/>
      <protection locked="0"/>
    </xf>
    <xf numFmtId="0" fontId="26" fillId="22" borderId="0" xfId="0" quotePrefix="1" applyFont="1" applyFill="1" applyAlignment="1" applyProtection="1">
      <alignment horizontal="left" vertical="top" wrapText="1"/>
      <protection locked="0"/>
    </xf>
    <xf numFmtId="0" fontId="26" fillId="22" borderId="82" xfId="0" quotePrefix="1" applyFont="1" applyFill="1" applyBorder="1" applyAlignment="1" applyProtection="1">
      <alignment horizontal="left" vertical="top" wrapText="1"/>
      <protection locked="0"/>
    </xf>
    <xf numFmtId="0" fontId="26" fillId="22" borderId="83" xfId="0" quotePrefix="1" applyFont="1" applyFill="1" applyBorder="1" applyAlignment="1" applyProtection="1">
      <alignment horizontal="left" vertical="top" wrapText="1"/>
      <protection locked="0"/>
    </xf>
    <xf numFmtId="0" fontId="26" fillId="22" borderId="84" xfId="0" quotePrefix="1" applyFont="1" applyFill="1" applyBorder="1" applyAlignment="1" applyProtection="1">
      <alignment horizontal="left" vertical="top" wrapText="1"/>
      <protection locked="0"/>
    </xf>
    <xf numFmtId="0" fontId="26" fillId="22" borderId="85" xfId="0" quotePrefix="1" applyFont="1" applyFill="1" applyBorder="1" applyAlignment="1" applyProtection="1">
      <alignment horizontal="left" vertical="top" wrapText="1"/>
      <protection locked="0"/>
    </xf>
    <xf numFmtId="0" fontId="2" fillId="0" borderId="72" xfId="0" applyFont="1" applyBorder="1" applyAlignment="1">
      <alignment horizontal="center" vertical="center"/>
    </xf>
    <xf numFmtId="0" fontId="2" fillId="0" borderId="73" xfId="0" applyFont="1" applyBorder="1" applyAlignment="1">
      <alignment horizontal="center" vertical="center"/>
    </xf>
    <xf numFmtId="0" fontId="18" fillId="21" borderId="66" xfId="0" applyFont="1" applyFill="1" applyBorder="1" applyAlignment="1" applyProtection="1">
      <alignment horizontal="left" vertical="center" indent="1"/>
      <protection locked="0"/>
    </xf>
    <xf numFmtId="0" fontId="30" fillId="20" borderId="66" xfId="0" applyFont="1" applyFill="1" applyBorder="1" applyAlignment="1">
      <alignment horizontal="right" vertical="center"/>
    </xf>
    <xf numFmtId="14" fontId="18" fillId="21" borderId="66" xfId="0" applyNumberFormat="1" applyFont="1" applyFill="1" applyBorder="1" applyAlignment="1" applyProtection="1">
      <alignment horizontal="center" vertical="center"/>
      <protection locked="0"/>
    </xf>
    <xf numFmtId="0" fontId="18" fillId="21" borderId="66" xfId="0" applyFont="1" applyFill="1" applyBorder="1" applyAlignment="1" applyProtection="1">
      <alignment horizontal="center" vertical="center"/>
      <protection locked="0"/>
    </xf>
    <xf numFmtId="165" fontId="30" fillId="20" borderId="66" xfId="0" applyNumberFormat="1" applyFont="1" applyFill="1" applyBorder="1" applyAlignment="1">
      <alignment horizontal="right" vertical="center"/>
    </xf>
    <xf numFmtId="14" fontId="30" fillId="20" borderId="66" xfId="0" applyNumberFormat="1" applyFont="1" applyFill="1" applyBorder="1" applyAlignment="1">
      <alignment horizontal="center" vertical="center"/>
    </xf>
    <xf numFmtId="0" fontId="30" fillId="20" borderId="66" xfId="0" applyFont="1" applyFill="1" applyBorder="1" applyAlignment="1">
      <alignment horizontal="center" vertical="center"/>
    </xf>
    <xf numFmtId="171" fontId="2" fillId="22" borderId="69" xfId="0" applyNumberFormat="1" applyFont="1" applyFill="1" applyBorder="1" applyAlignment="1" applyProtection="1">
      <alignment horizontal="center" vertical="center"/>
      <protection locked="0"/>
    </xf>
    <xf numFmtId="171" fontId="2" fillId="22" borderId="70" xfId="0" applyNumberFormat="1" applyFont="1" applyFill="1" applyBorder="1" applyAlignment="1" applyProtection="1">
      <alignment horizontal="center" vertical="center"/>
      <protection locked="0"/>
    </xf>
    <xf numFmtId="171" fontId="2" fillId="22" borderId="0" xfId="0" applyNumberFormat="1" applyFont="1" applyFill="1" applyAlignment="1" applyProtection="1">
      <alignment horizontal="center" vertical="center"/>
      <protection locked="0"/>
    </xf>
    <xf numFmtId="0" fontId="2" fillId="0" borderId="0" xfId="0" applyFont="1" applyAlignment="1">
      <alignment horizontal="right" vertical="center"/>
    </xf>
    <xf numFmtId="0" fontId="2" fillId="22" borderId="68" xfId="0" applyFont="1" applyFill="1" applyBorder="1" applyAlignment="1" applyProtection="1">
      <alignment horizontal="center" vertical="center"/>
      <protection locked="0"/>
    </xf>
    <xf numFmtId="0" fontId="2" fillId="16" borderId="0" xfId="0" applyFont="1" applyFill="1" applyAlignment="1">
      <alignment horizontal="left" vertical="center" wrapText="1" indent="1"/>
    </xf>
    <xf numFmtId="0" fontId="2" fillId="16" borderId="0" xfId="0" applyFont="1" applyFill="1" applyAlignment="1">
      <alignment horizontal="left" vertical="center" indent="1"/>
    </xf>
    <xf numFmtId="0" fontId="46" fillId="0" borderId="0" xfId="0" applyFont="1" applyAlignment="1">
      <alignment horizontal="left" vertical="top" wrapText="1"/>
    </xf>
    <xf numFmtId="0" fontId="46" fillId="0" borderId="0" xfId="0" applyFont="1" applyAlignment="1">
      <alignment horizontal="left" vertical="top" wrapText="1" indent="3"/>
    </xf>
    <xf numFmtId="0" fontId="52" fillId="23" borderId="88" xfId="0" applyFont="1" applyFill="1" applyBorder="1" applyAlignment="1">
      <alignment horizontal="center" vertical="center" wrapText="1"/>
    </xf>
    <xf numFmtId="0" fontId="52" fillId="23" borderId="0" xfId="0" applyFont="1" applyFill="1" applyAlignment="1">
      <alignment horizontal="center" vertical="center" wrapText="1"/>
    </xf>
    <xf numFmtId="0" fontId="52" fillId="23" borderId="87" xfId="0" applyFont="1" applyFill="1" applyBorder="1" applyAlignment="1">
      <alignment horizontal="center" vertical="center" wrapText="1"/>
    </xf>
    <xf numFmtId="0" fontId="46" fillId="0" borderId="90" xfId="0" applyFont="1" applyBorder="1" applyAlignment="1">
      <alignment horizontal="center" vertical="center" wrapText="1"/>
    </xf>
    <xf numFmtId="0" fontId="46" fillId="0" borderId="91" xfId="0" applyFont="1" applyBorder="1" applyAlignment="1">
      <alignment horizontal="center" vertical="center" wrapText="1"/>
    </xf>
    <xf numFmtId="0" fontId="46" fillId="0" borderId="89" xfId="0" applyFont="1" applyBorder="1" applyAlignment="1">
      <alignment horizontal="center" vertical="center" wrapText="1"/>
    </xf>
    <xf numFmtId="0" fontId="45" fillId="0" borderId="0" xfId="0" applyFont="1" applyAlignment="1">
      <alignment horizontal="left" vertical="top" wrapText="1"/>
    </xf>
    <xf numFmtId="0" fontId="46" fillId="0" borderId="95" xfId="0" applyFont="1" applyBorder="1" applyAlignment="1">
      <alignment horizontal="center" vertical="center" wrapText="1"/>
    </xf>
    <xf numFmtId="0" fontId="46" fillId="0" borderId="96" xfId="0" applyFont="1" applyBorder="1" applyAlignment="1">
      <alignment horizontal="center" vertical="center" wrapText="1"/>
    </xf>
    <xf numFmtId="0" fontId="46" fillId="0" borderId="97" xfId="0" applyFont="1" applyBorder="1" applyAlignment="1">
      <alignment horizontal="center" vertical="center" wrapText="1"/>
    </xf>
    <xf numFmtId="0" fontId="48" fillId="0" borderId="0" xfId="0" applyFont="1" applyAlignment="1">
      <alignment horizontal="left" vertical="top" wrapText="1"/>
    </xf>
  </cellXfs>
  <cellStyles count="8">
    <cellStyle name="60% - Accent6" xfId="2" builtinId="52"/>
    <cellStyle name="Comma" xfId="7" builtinId="3"/>
    <cellStyle name="Heading 1" xfId="6" builtinId="16"/>
    <cellStyle name="Hyperlink" xfId="5" builtinId="8"/>
    <cellStyle name="Normal" xfId="0" builtinId="0"/>
    <cellStyle name="Output" xfId="4" builtinId="21"/>
    <cellStyle name="Percent" xfId="3" builtinId="5"/>
    <cellStyle name="Title" xfId="1" builtinId="15"/>
  </cellStyles>
  <dxfs count="108">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s>
  <tableStyles count="0" defaultTableStyle="TableStyleMedium2" defaultPivotStyle="PivotStyleLight16"/>
  <colors>
    <mruColors>
      <color rgb="FF41719C"/>
      <color rgb="FFC6E0B4"/>
      <color rgb="FFACD292"/>
      <color rgb="FFDDDDDD"/>
      <color rgb="FFFF6600"/>
      <color rgb="FF0A3A5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hyperlink" Target="#'Help Doc'!A1"/></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5.png"/></Relationships>
</file>

<file path=xl/drawings/_rels/drawing6.xml.rels><?xml version="1.0" encoding="UTF-8" standalone="yes"?>
<Relationships xmlns="http://schemas.openxmlformats.org/package/2006/relationships"><Relationship Id="rId3" Type="http://schemas.openxmlformats.org/officeDocument/2006/relationships/hyperlink" Target="http://www.mgic.com/seb" TargetMode="External"/><Relationship Id="rId2" Type="http://schemas.openxmlformats.org/officeDocument/2006/relationships/image" Target="../media/image7.png"/><Relationship Id="rId1" Type="http://schemas.openxmlformats.org/officeDocument/2006/relationships/image" Target="../media/image6.png"/><Relationship Id="rId5" Type="http://schemas.openxmlformats.org/officeDocument/2006/relationships/image" Target="../media/image9.png"/><Relationship Id="rId4"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editAs="oneCell">
    <xdr:from>
      <xdr:col>10</xdr:col>
      <xdr:colOff>829206</xdr:colOff>
      <xdr:row>0</xdr:row>
      <xdr:rowOff>123825</xdr:rowOff>
    </xdr:from>
    <xdr:to>
      <xdr:col>12</xdr:col>
      <xdr:colOff>266881</xdr:colOff>
      <xdr:row>0</xdr:row>
      <xdr:rowOff>447675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174489" y="123825"/>
          <a:ext cx="1033562" cy="323850"/>
        </a:xfrm>
        <a:prstGeom prst="rect">
          <a:avLst/>
        </a:prstGeom>
      </xdr:spPr>
    </xdr:pic>
    <xdr:clientData/>
  </xdr:twoCellAnchor>
  <xdr:twoCellAnchor>
    <xdr:from>
      <xdr:col>1</xdr:col>
      <xdr:colOff>0</xdr:colOff>
      <xdr:row>7</xdr:row>
      <xdr:rowOff>2103</xdr:rowOff>
    </xdr:from>
    <xdr:to>
      <xdr:col>1</xdr:col>
      <xdr:colOff>283464</xdr:colOff>
      <xdr:row>7</xdr:row>
      <xdr:rowOff>257175</xdr:rowOff>
    </xdr:to>
    <xdr:sp macro="[0]!btnShowHideSchedB_Click" textlink="">
      <xdr:nvSpPr>
        <xdr:cNvPr id="18" name="Rounded Rectangle 17">
          <a:extLst>
            <a:ext uri="{FF2B5EF4-FFF2-40B4-BE49-F238E27FC236}">
              <a16:creationId xmlns:a16="http://schemas.microsoft.com/office/drawing/2014/main" id="{00000000-0008-0000-0000-000012000000}"/>
            </a:ext>
          </a:extLst>
        </xdr:cNvPr>
        <xdr:cNvSpPr/>
      </xdr:nvSpPr>
      <xdr:spPr>
        <a:xfrm>
          <a:off x="161745" y="3084249"/>
          <a:ext cx="283464" cy="255072"/>
        </a:xfrm>
        <a:prstGeom prst="roundRect">
          <a:avLst/>
        </a:pr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rtlCol="0" anchor="ctr" anchorCtr="1"/>
        <a:lstStyle/>
        <a:p>
          <a:pPr algn="l"/>
          <a:r>
            <a:rPr lang="en-US" sz="1600" b="0">
              <a:solidFill>
                <a:sysClr val="windowText" lastClr="000000"/>
              </a:solidFill>
            </a:rPr>
            <a:t>O</a:t>
          </a:r>
        </a:p>
      </xdr:txBody>
    </xdr:sp>
    <xdr:clientData/>
  </xdr:twoCellAnchor>
  <xdr:twoCellAnchor>
    <xdr:from>
      <xdr:col>1</xdr:col>
      <xdr:colOff>0</xdr:colOff>
      <xdr:row>15</xdr:row>
      <xdr:rowOff>2103</xdr:rowOff>
    </xdr:from>
    <xdr:to>
      <xdr:col>1</xdr:col>
      <xdr:colOff>283464</xdr:colOff>
      <xdr:row>15</xdr:row>
      <xdr:rowOff>257175</xdr:rowOff>
    </xdr:to>
    <xdr:sp macro="[0]!btnShowHideSchedC_Click" textlink="">
      <xdr:nvSpPr>
        <xdr:cNvPr id="19" name="Rounded Rectangle 18">
          <a:extLst>
            <a:ext uri="{FF2B5EF4-FFF2-40B4-BE49-F238E27FC236}">
              <a16:creationId xmlns:a16="http://schemas.microsoft.com/office/drawing/2014/main" id="{00000000-0008-0000-0000-000013000000}"/>
            </a:ext>
          </a:extLst>
        </xdr:cNvPr>
        <xdr:cNvSpPr/>
      </xdr:nvSpPr>
      <xdr:spPr>
        <a:xfrm>
          <a:off x="152400" y="4564578"/>
          <a:ext cx="283464" cy="255072"/>
        </a:xfrm>
        <a:prstGeom prst="roundRect">
          <a:avLst/>
        </a:pr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rtlCol="0" anchor="ctr" anchorCtr="1"/>
        <a:lstStyle/>
        <a:p>
          <a:pPr algn="l"/>
          <a:r>
            <a:rPr lang="en-US" sz="1600" b="0">
              <a:solidFill>
                <a:sysClr val="windowText" lastClr="000000"/>
              </a:solidFill>
            </a:rPr>
            <a:t>O</a:t>
          </a:r>
        </a:p>
      </xdr:txBody>
    </xdr:sp>
    <xdr:clientData/>
  </xdr:twoCellAnchor>
  <xdr:twoCellAnchor>
    <xdr:from>
      <xdr:col>0</xdr:col>
      <xdr:colOff>206674</xdr:colOff>
      <xdr:row>17</xdr:row>
      <xdr:rowOff>9948</xdr:rowOff>
    </xdr:from>
    <xdr:to>
      <xdr:col>1</xdr:col>
      <xdr:colOff>287544</xdr:colOff>
      <xdr:row>17</xdr:row>
      <xdr:rowOff>265980</xdr:rowOff>
    </xdr:to>
    <xdr:sp macro="" textlink="">
      <xdr:nvSpPr>
        <xdr:cNvPr id="5" name="Flowchart: Delay 4">
          <a:extLst>
            <a:ext uri="{FF2B5EF4-FFF2-40B4-BE49-F238E27FC236}">
              <a16:creationId xmlns:a16="http://schemas.microsoft.com/office/drawing/2014/main" id="{00000000-0008-0000-0000-000005000000}"/>
            </a:ext>
          </a:extLst>
        </xdr:cNvPr>
        <xdr:cNvSpPr/>
      </xdr:nvSpPr>
      <xdr:spPr>
        <a:xfrm rot="10800000">
          <a:off x="206674" y="10002212"/>
          <a:ext cx="296530" cy="256032"/>
        </a:xfrm>
        <a:prstGeom prst="flowChartDelay">
          <a:avLst/>
        </a:prstGeom>
        <a:solidFill>
          <a:schemeClr val="accent6">
            <a:lumMod val="40000"/>
            <a:lumOff val="60000"/>
          </a:schemeClr>
        </a:solidFill>
        <a:ln>
          <a:solidFill>
            <a:schemeClr val="accent6">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0</xdr:colOff>
      <xdr:row>17</xdr:row>
      <xdr:rowOff>0</xdr:rowOff>
    </xdr:from>
    <xdr:to>
      <xdr:col>12</xdr:col>
      <xdr:colOff>296533</xdr:colOff>
      <xdr:row>17</xdr:row>
      <xdr:rowOff>256032</xdr:rowOff>
    </xdr:to>
    <xdr:sp macro="" textlink="">
      <xdr:nvSpPr>
        <xdr:cNvPr id="24" name="Flowchart: Delay 23">
          <a:extLst>
            <a:ext uri="{FF2B5EF4-FFF2-40B4-BE49-F238E27FC236}">
              <a16:creationId xmlns:a16="http://schemas.microsoft.com/office/drawing/2014/main" id="{00000000-0008-0000-0000-000018000000}"/>
            </a:ext>
          </a:extLst>
        </xdr:cNvPr>
        <xdr:cNvSpPr/>
      </xdr:nvSpPr>
      <xdr:spPr>
        <a:xfrm>
          <a:off x="10264140" y="9982200"/>
          <a:ext cx="296533" cy="256032"/>
        </a:xfrm>
        <a:prstGeom prst="flowChartDelay">
          <a:avLst/>
        </a:prstGeom>
        <a:solidFill>
          <a:schemeClr val="accent6">
            <a:lumMod val="40000"/>
            <a:lumOff val="60000"/>
          </a:schemeClr>
        </a:solidFill>
        <a:ln>
          <a:solidFill>
            <a:schemeClr val="accent6">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lang="en-US" sz="1100" noProof="0">
            <a:solidFill>
              <a:schemeClr val="lt1"/>
            </a:solidFill>
            <a:latin typeface="+mn-lt"/>
            <a:ea typeface="+mn-ea"/>
            <a:cs typeface="+mn-cs"/>
          </a:endParaRPr>
        </a:p>
      </xdr:txBody>
    </xdr:sp>
    <xdr:clientData/>
  </xdr:twoCellAnchor>
  <xdr:twoCellAnchor>
    <xdr:from>
      <xdr:col>11</xdr:col>
      <xdr:colOff>305878</xdr:colOff>
      <xdr:row>17</xdr:row>
      <xdr:rowOff>9345</xdr:rowOff>
    </xdr:from>
    <xdr:to>
      <xdr:col>12</xdr:col>
      <xdr:colOff>251963</xdr:colOff>
      <xdr:row>17</xdr:row>
      <xdr:rowOff>251963</xdr:rowOff>
    </xdr:to>
    <xdr:sp macro="[0]!btnMinusSchedCAreas_Click" textlink="">
      <xdr:nvSpPr>
        <xdr:cNvPr id="29" name="Rectangle 28">
          <a:extLst>
            <a:ext uri="{FF2B5EF4-FFF2-40B4-BE49-F238E27FC236}">
              <a16:creationId xmlns:a16="http://schemas.microsoft.com/office/drawing/2014/main" id="{00000000-0008-0000-0000-00001D000000}"/>
            </a:ext>
          </a:extLst>
        </xdr:cNvPr>
        <xdr:cNvSpPr/>
      </xdr:nvSpPr>
      <xdr:spPr>
        <a:xfrm>
          <a:off x="9291727" y="10055524"/>
          <a:ext cx="269576" cy="242618"/>
        </a:xfrm>
        <a:prstGeom prst="rect">
          <a:avLst/>
        </a:prstGeom>
        <a:noFill/>
        <a:ln w="12700" cap="flat" cmpd="sng" algn="ctr">
          <a:noFill/>
          <a:prstDash val="solid"/>
          <a:miter lim="800000"/>
        </a:ln>
        <a:effectLst/>
      </xdr:spPr>
      <xdr:txBody>
        <a:bodyPr vertOverflow="clip" horzOverflow="clip" rtlCol="0" anchor="ctr" anchorCtr="1"/>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solidFill>
                  <a:srgbClr val="5B9BD5">
                    <a:shade val="50000"/>
                  </a:srgbClr>
                </a:solidFill>
              </a:ln>
              <a:solidFill>
                <a:sysClr val="windowText" lastClr="000000"/>
              </a:solidFill>
              <a:effectLst/>
              <a:uLnTx/>
              <a:uFillTx/>
              <a:latin typeface="Calibri" panose="020F0502020204030204"/>
              <a:ea typeface="+mn-ea"/>
              <a:cs typeface="+mn-cs"/>
            </a:rPr>
            <a:t>-</a:t>
          </a:r>
        </a:p>
      </xdr:txBody>
    </xdr:sp>
    <xdr:clientData/>
  </xdr:twoCellAnchor>
  <xdr:twoCellAnchor>
    <xdr:from>
      <xdr:col>11</xdr:col>
      <xdr:colOff>0</xdr:colOff>
      <xdr:row>17</xdr:row>
      <xdr:rowOff>8986</xdr:rowOff>
    </xdr:from>
    <xdr:to>
      <xdr:col>11</xdr:col>
      <xdr:colOff>269576</xdr:colOff>
      <xdr:row>17</xdr:row>
      <xdr:rowOff>251604</xdr:rowOff>
    </xdr:to>
    <xdr:sp macro="[0]!btnPlusSchedCAreas_Click" textlink="">
      <xdr:nvSpPr>
        <xdr:cNvPr id="30" name="Rectangle 29">
          <a:extLst>
            <a:ext uri="{FF2B5EF4-FFF2-40B4-BE49-F238E27FC236}">
              <a16:creationId xmlns:a16="http://schemas.microsoft.com/office/drawing/2014/main" id="{00000000-0008-0000-0000-00001E000000}"/>
            </a:ext>
          </a:extLst>
        </xdr:cNvPr>
        <xdr:cNvSpPr/>
      </xdr:nvSpPr>
      <xdr:spPr>
        <a:xfrm>
          <a:off x="8985849" y="10055165"/>
          <a:ext cx="269576" cy="242618"/>
        </a:xfrm>
        <a:prstGeom prst="rect">
          <a:avLst/>
        </a:prstGeom>
        <a:noFill/>
        <a:ln w="12700" cap="flat" cmpd="sng" algn="ctr">
          <a:noFill/>
          <a:prstDash val="solid"/>
          <a:miter lim="800000"/>
        </a:ln>
        <a:effectLst/>
      </xdr:spPr>
      <xdr:txBody>
        <a:bodyPr vertOverflow="clip" horzOverflow="clip" rtlCol="0" anchor="ctr" anchorCtr="1"/>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solidFill>
                  <a:srgbClr val="5B9BD5">
                    <a:shade val="50000"/>
                  </a:srgbClr>
                </a:solidFill>
              </a:ln>
              <a:solidFill>
                <a:sysClr val="windowText" lastClr="000000"/>
              </a:solidFill>
              <a:effectLst/>
              <a:uLnTx/>
              <a:uFillTx/>
              <a:latin typeface="Calibri" panose="020F0502020204030204"/>
              <a:ea typeface="+mn-ea"/>
              <a:cs typeface="+mn-cs"/>
            </a:rPr>
            <a:t>+</a:t>
          </a:r>
        </a:p>
      </xdr:txBody>
    </xdr:sp>
    <xdr:clientData/>
  </xdr:twoCellAnchor>
  <xdr:twoCellAnchor>
    <xdr:from>
      <xdr:col>0</xdr:col>
      <xdr:colOff>206674</xdr:colOff>
      <xdr:row>32</xdr:row>
      <xdr:rowOff>19654</xdr:rowOff>
    </xdr:from>
    <xdr:to>
      <xdr:col>1</xdr:col>
      <xdr:colOff>287544</xdr:colOff>
      <xdr:row>33</xdr:row>
      <xdr:rowOff>8986</xdr:rowOff>
    </xdr:to>
    <xdr:sp macro="" textlink="">
      <xdr:nvSpPr>
        <xdr:cNvPr id="31" name="Flowchart: Delay 30">
          <a:extLst>
            <a:ext uri="{FF2B5EF4-FFF2-40B4-BE49-F238E27FC236}">
              <a16:creationId xmlns:a16="http://schemas.microsoft.com/office/drawing/2014/main" id="{00000000-0008-0000-0000-00001F000000}"/>
            </a:ext>
          </a:extLst>
        </xdr:cNvPr>
        <xdr:cNvSpPr/>
      </xdr:nvSpPr>
      <xdr:spPr>
        <a:xfrm rot="10800000">
          <a:off x="206674" y="13385134"/>
          <a:ext cx="294230" cy="256032"/>
        </a:xfrm>
        <a:prstGeom prst="flowChartDelay">
          <a:avLst/>
        </a:prstGeom>
        <a:solidFill>
          <a:schemeClr val="accent6">
            <a:lumMod val="40000"/>
            <a:lumOff val="60000"/>
          </a:schemeClr>
        </a:solidFill>
        <a:ln>
          <a:solidFill>
            <a:schemeClr val="accent6">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12</xdr:col>
      <xdr:colOff>0</xdr:colOff>
      <xdr:row>32</xdr:row>
      <xdr:rowOff>0</xdr:rowOff>
    </xdr:from>
    <xdr:to>
      <xdr:col>12</xdr:col>
      <xdr:colOff>296533</xdr:colOff>
      <xdr:row>32</xdr:row>
      <xdr:rowOff>256032</xdr:rowOff>
    </xdr:to>
    <xdr:sp macro="" textlink="">
      <xdr:nvSpPr>
        <xdr:cNvPr id="32" name="Flowchart: Delay 31">
          <a:extLst>
            <a:ext uri="{FF2B5EF4-FFF2-40B4-BE49-F238E27FC236}">
              <a16:creationId xmlns:a16="http://schemas.microsoft.com/office/drawing/2014/main" id="{00000000-0008-0000-0000-000020000000}"/>
            </a:ext>
          </a:extLst>
        </xdr:cNvPr>
        <xdr:cNvSpPr/>
      </xdr:nvSpPr>
      <xdr:spPr>
        <a:xfrm>
          <a:off x="10264140" y="13365480"/>
          <a:ext cx="296533" cy="256032"/>
        </a:xfrm>
        <a:prstGeom prst="flowChartDelay">
          <a:avLst/>
        </a:prstGeom>
        <a:solidFill>
          <a:schemeClr val="accent6">
            <a:lumMod val="40000"/>
            <a:lumOff val="60000"/>
          </a:schemeClr>
        </a:solidFill>
        <a:ln>
          <a:solidFill>
            <a:schemeClr val="accent6">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lang="en-US" sz="1100" noProof="0">
            <a:solidFill>
              <a:schemeClr val="lt1"/>
            </a:solidFill>
            <a:latin typeface="+mn-lt"/>
            <a:ea typeface="+mn-ea"/>
            <a:cs typeface="+mn-cs"/>
          </a:endParaRPr>
        </a:p>
      </xdr:txBody>
    </xdr:sp>
    <xdr:clientData/>
  </xdr:twoCellAnchor>
  <xdr:twoCellAnchor>
    <xdr:from>
      <xdr:col>11</xdr:col>
      <xdr:colOff>305878</xdr:colOff>
      <xdr:row>32</xdr:row>
      <xdr:rowOff>9345</xdr:rowOff>
    </xdr:from>
    <xdr:to>
      <xdr:col>12</xdr:col>
      <xdr:colOff>251963</xdr:colOff>
      <xdr:row>32</xdr:row>
      <xdr:rowOff>251963</xdr:rowOff>
    </xdr:to>
    <xdr:sp macro="[0]!btnMinusSchedCAreas_Click" textlink="">
      <xdr:nvSpPr>
        <xdr:cNvPr id="33" name="Rectangle 32">
          <a:extLst>
            <a:ext uri="{FF2B5EF4-FFF2-40B4-BE49-F238E27FC236}">
              <a16:creationId xmlns:a16="http://schemas.microsoft.com/office/drawing/2014/main" id="{00000000-0008-0000-0000-000021000000}"/>
            </a:ext>
          </a:extLst>
        </xdr:cNvPr>
        <xdr:cNvSpPr/>
      </xdr:nvSpPr>
      <xdr:spPr>
        <a:xfrm>
          <a:off x="9291727" y="10055524"/>
          <a:ext cx="269576" cy="242618"/>
        </a:xfrm>
        <a:prstGeom prst="rect">
          <a:avLst/>
        </a:prstGeom>
        <a:noFill/>
        <a:ln w="12700" cap="flat" cmpd="sng" algn="ctr">
          <a:noFill/>
          <a:prstDash val="solid"/>
          <a:miter lim="800000"/>
        </a:ln>
        <a:effectLst/>
      </xdr:spPr>
      <xdr:txBody>
        <a:bodyPr vertOverflow="clip" horzOverflow="clip" rtlCol="0" anchor="ctr" anchorCtr="1"/>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solidFill>
                  <a:srgbClr val="5B9BD5">
                    <a:shade val="50000"/>
                  </a:srgbClr>
                </a:solidFill>
              </a:ln>
              <a:solidFill>
                <a:sysClr val="windowText" lastClr="000000"/>
              </a:solidFill>
              <a:effectLst/>
              <a:uLnTx/>
              <a:uFillTx/>
              <a:latin typeface="Calibri" panose="020F0502020204030204"/>
              <a:ea typeface="+mn-ea"/>
              <a:cs typeface="+mn-cs"/>
            </a:rPr>
            <a:t>-</a:t>
          </a:r>
        </a:p>
      </xdr:txBody>
    </xdr:sp>
    <xdr:clientData/>
  </xdr:twoCellAnchor>
  <xdr:twoCellAnchor>
    <xdr:from>
      <xdr:col>11</xdr:col>
      <xdr:colOff>0</xdr:colOff>
      <xdr:row>32</xdr:row>
      <xdr:rowOff>8986</xdr:rowOff>
    </xdr:from>
    <xdr:to>
      <xdr:col>11</xdr:col>
      <xdr:colOff>269576</xdr:colOff>
      <xdr:row>32</xdr:row>
      <xdr:rowOff>251604</xdr:rowOff>
    </xdr:to>
    <xdr:sp macro="[0]!btnPlusSchedCAreas_Click" textlink="">
      <xdr:nvSpPr>
        <xdr:cNvPr id="34" name="Rectangle 33">
          <a:extLst>
            <a:ext uri="{FF2B5EF4-FFF2-40B4-BE49-F238E27FC236}">
              <a16:creationId xmlns:a16="http://schemas.microsoft.com/office/drawing/2014/main" id="{00000000-0008-0000-0000-000022000000}"/>
            </a:ext>
          </a:extLst>
        </xdr:cNvPr>
        <xdr:cNvSpPr/>
      </xdr:nvSpPr>
      <xdr:spPr>
        <a:xfrm>
          <a:off x="8985849" y="10055165"/>
          <a:ext cx="269576" cy="242618"/>
        </a:xfrm>
        <a:prstGeom prst="rect">
          <a:avLst/>
        </a:prstGeom>
        <a:noFill/>
        <a:ln w="12700" cap="flat" cmpd="sng" algn="ctr">
          <a:noFill/>
          <a:prstDash val="solid"/>
          <a:miter lim="800000"/>
        </a:ln>
        <a:effectLst/>
      </xdr:spPr>
      <xdr:txBody>
        <a:bodyPr vertOverflow="clip" horzOverflow="clip" rtlCol="0" anchor="ctr" anchorCtr="1"/>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solidFill>
                  <a:srgbClr val="5B9BD5">
                    <a:shade val="50000"/>
                  </a:srgbClr>
                </a:solidFill>
              </a:ln>
              <a:solidFill>
                <a:sysClr val="windowText" lastClr="000000"/>
              </a:solidFill>
              <a:effectLst/>
              <a:uLnTx/>
              <a:uFillTx/>
              <a:latin typeface="Calibri" panose="020F0502020204030204"/>
              <a:ea typeface="+mn-ea"/>
              <a:cs typeface="+mn-cs"/>
            </a:rPr>
            <a:t>+</a:t>
          </a:r>
        </a:p>
      </xdr:txBody>
    </xdr:sp>
    <xdr:clientData/>
  </xdr:twoCellAnchor>
  <xdr:twoCellAnchor>
    <xdr:from>
      <xdr:col>0</xdr:col>
      <xdr:colOff>206674</xdr:colOff>
      <xdr:row>47</xdr:row>
      <xdr:rowOff>4241</xdr:rowOff>
    </xdr:from>
    <xdr:to>
      <xdr:col>1</xdr:col>
      <xdr:colOff>287544</xdr:colOff>
      <xdr:row>48</xdr:row>
      <xdr:rowOff>8986</xdr:rowOff>
    </xdr:to>
    <xdr:sp macro="" textlink="">
      <xdr:nvSpPr>
        <xdr:cNvPr id="35" name="Flowchart: Delay 34">
          <a:extLst>
            <a:ext uri="{FF2B5EF4-FFF2-40B4-BE49-F238E27FC236}">
              <a16:creationId xmlns:a16="http://schemas.microsoft.com/office/drawing/2014/main" id="{00000000-0008-0000-0000-000023000000}"/>
            </a:ext>
          </a:extLst>
        </xdr:cNvPr>
        <xdr:cNvSpPr/>
      </xdr:nvSpPr>
      <xdr:spPr>
        <a:xfrm rot="10800000">
          <a:off x="206674" y="16933581"/>
          <a:ext cx="287545" cy="274320"/>
        </a:xfrm>
        <a:prstGeom prst="flowChartDelay">
          <a:avLst/>
        </a:prstGeom>
        <a:solidFill>
          <a:schemeClr val="accent6">
            <a:lumMod val="40000"/>
            <a:lumOff val="60000"/>
          </a:schemeClr>
        </a:solidFill>
        <a:ln>
          <a:solidFill>
            <a:schemeClr val="accent6">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12</xdr:col>
      <xdr:colOff>0</xdr:colOff>
      <xdr:row>47</xdr:row>
      <xdr:rowOff>0</xdr:rowOff>
    </xdr:from>
    <xdr:to>
      <xdr:col>12</xdr:col>
      <xdr:colOff>296533</xdr:colOff>
      <xdr:row>48</xdr:row>
      <xdr:rowOff>2</xdr:rowOff>
    </xdr:to>
    <xdr:sp macro="" textlink="">
      <xdr:nvSpPr>
        <xdr:cNvPr id="36" name="Flowchart: Delay 35">
          <a:extLst>
            <a:ext uri="{FF2B5EF4-FFF2-40B4-BE49-F238E27FC236}">
              <a16:creationId xmlns:a16="http://schemas.microsoft.com/office/drawing/2014/main" id="{00000000-0008-0000-0000-000024000000}"/>
            </a:ext>
          </a:extLst>
        </xdr:cNvPr>
        <xdr:cNvSpPr/>
      </xdr:nvSpPr>
      <xdr:spPr>
        <a:xfrm>
          <a:off x="9309340" y="13487759"/>
          <a:ext cx="296533" cy="269578"/>
        </a:xfrm>
        <a:prstGeom prst="flowChartDelay">
          <a:avLst/>
        </a:prstGeom>
        <a:solidFill>
          <a:schemeClr val="accent6">
            <a:lumMod val="40000"/>
            <a:lumOff val="60000"/>
          </a:schemeClr>
        </a:solidFill>
        <a:ln>
          <a:solidFill>
            <a:schemeClr val="accent6">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lang="en-US" sz="1100" noProof="0">
            <a:solidFill>
              <a:schemeClr val="lt1"/>
            </a:solidFill>
            <a:latin typeface="+mn-lt"/>
            <a:ea typeface="+mn-ea"/>
            <a:cs typeface="+mn-cs"/>
          </a:endParaRPr>
        </a:p>
      </xdr:txBody>
    </xdr:sp>
    <xdr:clientData/>
  </xdr:twoCellAnchor>
  <xdr:twoCellAnchor>
    <xdr:from>
      <xdr:col>11</xdr:col>
      <xdr:colOff>305878</xdr:colOff>
      <xdr:row>47</xdr:row>
      <xdr:rowOff>9345</xdr:rowOff>
    </xdr:from>
    <xdr:to>
      <xdr:col>12</xdr:col>
      <xdr:colOff>251963</xdr:colOff>
      <xdr:row>47</xdr:row>
      <xdr:rowOff>251963</xdr:rowOff>
    </xdr:to>
    <xdr:sp macro="[0]!btnMinusSchedCAreas_Click" textlink="">
      <xdr:nvSpPr>
        <xdr:cNvPr id="37" name="Rectangle 36">
          <a:extLst>
            <a:ext uri="{FF2B5EF4-FFF2-40B4-BE49-F238E27FC236}">
              <a16:creationId xmlns:a16="http://schemas.microsoft.com/office/drawing/2014/main" id="{00000000-0008-0000-0000-000025000000}"/>
            </a:ext>
          </a:extLst>
        </xdr:cNvPr>
        <xdr:cNvSpPr/>
      </xdr:nvSpPr>
      <xdr:spPr>
        <a:xfrm>
          <a:off x="9291727" y="13497104"/>
          <a:ext cx="269576" cy="242618"/>
        </a:xfrm>
        <a:prstGeom prst="rect">
          <a:avLst/>
        </a:prstGeom>
        <a:noFill/>
        <a:ln w="12700" cap="flat" cmpd="sng" algn="ctr">
          <a:noFill/>
          <a:prstDash val="solid"/>
          <a:miter lim="800000"/>
        </a:ln>
        <a:effectLst/>
      </xdr:spPr>
      <xdr:txBody>
        <a:bodyPr vertOverflow="clip" horzOverflow="clip" rtlCol="0" anchor="ctr" anchorCtr="1"/>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solidFill>
                  <a:srgbClr val="5B9BD5">
                    <a:shade val="50000"/>
                  </a:srgbClr>
                </a:solidFill>
              </a:ln>
              <a:solidFill>
                <a:sysClr val="windowText" lastClr="000000"/>
              </a:solidFill>
              <a:effectLst/>
              <a:uLnTx/>
              <a:uFillTx/>
              <a:latin typeface="Calibri" panose="020F0502020204030204"/>
              <a:ea typeface="+mn-ea"/>
              <a:cs typeface="+mn-cs"/>
            </a:rPr>
            <a:t>-</a:t>
          </a:r>
        </a:p>
      </xdr:txBody>
    </xdr:sp>
    <xdr:clientData/>
  </xdr:twoCellAnchor>
  <xdr:twoCellAnchor>
    <xdr:from>
      <xdr:col>11</xdr:col>
      <xdr:colOff>0</xdr:colOff>
      <xdr:row>47</xdr:row>
      <xdr:rowOff>8986</xdr:rowOff>
    </xdr:from>
    <xdr:to>
      <xdr:col>11</xdr:col>
      <xdr:colOff>269576</xdr:colOff>
      <xdr:row>47</xdr:row>
      <xdr:rowOff>251604</xdr:rowOff>
    </xdr:to>
    <xdr:sp macro="[0]!btnPlusSchedCAreas_Click" textlink="">
      <xdr:nvSpPr>
        <xdr:cNvPr id="38" name="Rectangle 37">
          <a:extLst>
            <a:ext uri="{FF2B5EF4-FFF2-40B4-BE49-F238E27FC236}">
              <a16:creationId xmlns:a16="http://schemas.microsoft.com/office/drawing/2014/main" id="{00000000-0008-0000-0000-000026000000}"/>
            </a:ext>
          </a:extLst>
        </xdr:cNvPr>
        <xdr:cNvSpPr/>
      </xdr:nvSpPr>
      <xdr:spPr>
        <a:xfrm>
          <a:off x="8985849" y="13496745"/>
          <a:ext cx="269576" cy="242618"/>
        </a:xfrm>
        <a:prstGeom prst="rect">
          <a:avLst/>
        </a:prstGeom>
        <a:noFill/>
        <a:ln w="12700" cap="flat" cmpd="sng" algn="ctr">
          <a:noFill/>
          <a:prstDash val="solid"/>
          <a:miter lim="800000"/>
        </a:ln>
        <a:effectLst/>
      </xdr:spPr>
      <xdr:txBody>
        <a:bodyPr vertOverflow="clip" horzOverflow="clip" rtlCol="0" anchor="ctr" anchorCtr="1"/>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solidFill>
                  <a:srgbClr val="5B9BD5">
                    <a:shade val="50000"/>
                  </a:srgbClr>
                </a:solidFill>
              </a:ln>
              <a:solidFill>
                <a:sysClr val="windowText" lastClr="000000"/>
              </a:solidFill>
              <a:effectLst/>
              <a:uLnTx/>
              <a:uFillTx/>
              <a:latin typeface="Calibri" panose="020F0502020204030204"/>
              <a:ea typeface="+mn-ea"/>
              <a:cs typeface="+mn-cs"/>
            </a:rPr>
            <a:t>+</a:t>
          </a:r>
        </a:p>
      </xdr:txBody>
    </xdr:sp>
    <xdr:clientData/>
  </xdr:twoCellAnchor>
  <xdr:twoCellAnchor>
    <xdr:from>
      <xdr:col>1</xdr:col>
      <xdr:colOff>0</xdr:colOff>
      <xdr:row>82</xdr:row>
      <xdr:rowOff>2103</xdr:rowOff>
    </xdr:from>
    <xdr:to>
      <xdr:col>1</xdr:col>
      <xdr:colOff>283464</xdr:colOff>
      <xdr:row>82</xdr:row>
      <xdr:rowOff>257175</xdr:rowOff>
    </xdr:to>
    <xdr:sp macro="[0]!btnShowHideSchedD_Click" textlink="">
      <xdr:nvSpPr>
        <xdr:cNvPr id="81" name="Rounded Rectangle 80">
          <a:extLst>
            <a:ext uri="{FF2B5EF4-FFF2-40B4-BE49-F238E27FC236}">
              <a16:creationId xmlns:a16="http://schemas.microsoft.com/office/drawing/2014/main" id="{00000000-0008-0000-0000-000051000000}"/>
            </a:ext>
          </a:extLst>
        </xdr:cNvPr>
        <xdr:cNvSpPr/>
      </xdr:nvSpPr>
      <xdr:spPr>
        <a:xfrm>
          <a:off x="161745" y="8206183"/>
          <a:ext cx="283464" cy="255072"/>
        </a:xfrm>
        <a:prstGeom prst="roundRect">
          <a:avLst/>
        </a:pr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rtlCol="0" anchor="ctr" anchorCtr="1"/>
        <a:lstStyle/>
        <a:p>
          <a:pPr algn="l"/>
          <a:r>
            <a:rPr lang="en-US" sz="1600" b="0">
              <a:solidFill>
                <a:sysClr val="windowText" lastClr="000000"/>
              </a:solidFill>
            </a:rPr>
            <a:t>O</a:t>
          </a:r>
        </a:p>
      </xdr:txBody>
    </xdr:sp>
    <xdr:clientData/>
  </xdr:twoCellAnchor>
  <xdr:twoCellAnchor>
    <xdr:from>
      <xdr:col>1</xdr:col>
      <xdr:colOff>0</xdr:colOff>
      <xdr:row>89</xdr:row>
      <xdr:rowOff>2103</xdr:rowOff>
    </xdr:from>
    <xdr:to>
      <xdr:col>1</xdr:col>
      <xdr:colOff>283464</xdr:colOff>
      <xdr:row>89</xdr:row>
      <xdr:rowOff>257175</xdr:rowOff>
    </xdr:to>
    <xdr:sp macro="[0]!btnShowHideSchedE_Click" textlink="">
      <xdr:nvSpPr>
        <xdr:cNvPr id="83" name="Rounded Rectangle 82">
          <a:extLst>
            <a:ext uri="{FF2B5EF4-FFF2-40B4-BE49-F238E27FC236}">
              <a16:creationId xmlns:a16="http://schemas.microsoft.com/office/drawing/2014/main" id="{00000000-0008-0000-0000-000053000000}"/>
            </a:ext>
          </a:extLst>
        </xdr:cNvPr>
        <xdr:cNvSpPr/>
      </xdr:nvSpPr>
      <xdr:spPr>
        <a:xfrm>
          <a:off x="161745" y="25225381"/>
          <a:ext cx="283464" cy="255072"/>
        </a:xfrm>
        <a:prstGeom prst="roundRect">
          <a:avLst/>
        </a:pr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rtlCol="0" anchor="ctr" anchorCtr="1"/>
        <a:lstStyle/>
        <a:p>
          <a:pPr algn="l"/>
          <a:r>
            <a:rPr lang="en-US" sz="1600" b="0">
              <a:solidFill>
                <a:sysClr val="windowText" lastClr="000000"/>
              </a:solidFill>
            </a:rPr>
            <a:t>O</a:t>
          </a:r>
        </a:p>
      </xdr:txBody>
    </xdr:sp>
    <xdr:clientData/>
  </xdr:twoCellAnchor>
  <xdr:twoCellAnchor>
    <xdr:from>
      <xdr:col>1</xdr:col>
      <xdr:colOff>0</xdr:colOff>
      <xdr:row>98</xdr:row>
      <xdr:rowOff>2103</xdr:rowOff>
    </xdr:from>
    <xdr:to>
      <xdr:col>1</xdr:col>
      <xdr:colOff>283464</xdr:colOff>
      <xdr:row>98</xdr:row>
      <xdr:rowOff>257175</xdr:rowOff>
    </xdr:to>
    <xdr:sp macro="[0]!btnShowHideSchedF_Click" textlink="">
      <xdr:nvSpPr>
        <xdr:cNvPr id="84" name="Rounded Rectangle 83">
          <a:extLst>
            <a:ext uri="{FF2B5EF4-FFF2-40B4-BE49-F238E27FC236}">
              <a16:creationId xmlns:a16="http://schemas.microsoft.com/office/drawing/2014/main" id="{00000000-0008-0000-0000-000054000000}"/>
            </a:ext>
          </a:extLst>
        </xdr:cNvPr>
        <xdr:cNvSpPr/>
      </xdr:nvSpPr>
      <xdr:spPr>
        <a:xfrm>
          <a:off x="161745" y="3084249"/>
          <a:ext cx="283464" cy="255072"/>
        </a:xfrm>
        <a:prstGeom prst="roundRect">
          <a:avLst/>
        </a:pr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rtlCol="0" anchor="ctr" anchorCtr="1"/>
        <a:lstStyle/>
        <a:p>
          <a:pPr algn="l"/>
          <a:r>
            <a:rPr lang="en-US" sz="1600" b="0">
              <a:solidFill>
                <a:sysClr val="windowText" lastClr="000000"/>
              </a:solidFill>
            </a:rPr>
            <a:t>O</a:t>
          </a:r>
        </a:p>
      </xdr:txBody>
    </xdr:sp>
    <xdr:clientData/>
  </xdr:twoCellAnchor>
  <xdr:twoCellAnchor>
    <xdr:from>
      <xdr:col>1</xdr:col>
      <xdr:colOff>0</xdr:colOff>
      <xdr:row>113</xdr:row>
      <xdr:rowOff>2103</xdr:rowOff>
    </xdr:from>
    <xdr:to>
      <xdr:col>1</xdr:col>
      <xdr:colOff>283464</xdr:colOff>
      <xdr:row>113</xdr:row>
      <xdr:rowOff>257175</xdr:rowOff>
    </xdr:to>
    <xdr:sp macro="[0]!ShowHideSchK1" textlink="">
      <xdr:nvSpPr>
        <xdr:cNvPr id="43" name="Rounded Rectangle 42">
          <a:extLst>
            <a:ext uri="{FF2B5EF4-FFF2-40B4-BE49-F238E27FC236}">
              <a16:creationId xmlns:a16="http://schemas.microsoft.com/office/drawing/2014/main" id="{00000000-0008-0000-0000-00002B000000}"/>
            </a:ext>
          </a:extLst>
        </xdr:cNvPr>
        <xdr:cNvSpPr/>
      </xdr:nvSpPr>
      <xdr:spPr>
        <a:xfrm>
          <a:off x="206675" y="14819768"/>
          <a:ext cx="283464" cy="255072"/>
        </a:xfrm>
        <a:prstGeom prst="roundRect">
          <a:avLst/>
        </a:pr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rtlCol="0" anchor="ctr" anchorCtr="1"/>
        <a:lstStyle/>
        <a:p>
          <a:pPr algn="l"/>
          <a:r>
            <a:rPr lang="en-US" sz="1600" b="0">
              <a:solidFill>
                <a:sysClr val="windowText" lastClr="000000"/>
              </a:solidFill>
            </a:rPr>
            <a:t>O</a:t>
          </a:r>
        </a:p>
      </xdr:txBody>
    </xdr:sp>
    <xdr:clientData/>
  </xdr:twoCellAnchor>
  <xdr:twoCellAnchor editAs="oneCell">
    <xdr:from>
      <xdr:col>3</xdr:col>
      <xdr:colOff>2284204</xdr:colOff>
      <xdr:row>89</xdr:row>
      <xdr:rowOff>44929</xdr:rowOff>
    </xdr:from>
    <xdr:to>
      <xdr:col>5</xdr:col>
      <xdr:colOff>251606</xdr:colOff>
      <xdr:row>89</xdr:row>
      <xdr:rowOff>225549</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822581" y="4731948"/>
          <a:ext cx="1842100" cy="180620"/>
        </a:xfrm>
        <a:prstGeom prst="rect">
          <a:avLst/>
        </a:prstGeom>
      </xdr:spPr>
    </xdr:pic>
    <xdr:clientData/>
  </xdr:twoCellAnchor>
  <xdr:twoCellAnchor>
    <xdr:from>
      <xdr:col>1</xdr:col>
      <xdr:colOff>0</xdr:colOff>
      <xdr:row>489</xdr:row>
      <xdr:rowOff>2103</xdr:rowOff>
    </xdr:from>
    <xdr:to>
      <xdr:col>1</xdr:col>
      <xdr:colOff>283464</xdr:colOff>
      <xdr:row>489</xdr:row>
      <xdr:rowOff>257175</xdr:rowOff>
    </xdr:to>
    <xdr:sp macro="[0]!ShowHideRegCorp" textlink="">
      <xdr:nvSpPr>
        <xdr:cNvPr id="121" name="Rounded Rectangle 120">
          <a:extLst>
            <a:ext uri="{FF2B5EF4-FFF2-40B4-BE49-F238E27FC236}">
              <a16:creationId xmlns:a16="http://schemas.microsoft.com/office/drawing/2014/main" id="{00000000-0008-0000-0000-000079000000}"/>
            </a:ext>
          </a:extLst>
        </xdr:cNvPr>
        <xdr:cNvSpPr/>
      </xdr:nvSpPr>
      <xdr:spPr>
        <a:xfrm>
          <a:off x="206675" y="24551443"/>
          <a:ext cx="283464" cy="255072"/>
        </a:xfrm>
        <a:prstGeom prst="roundRect">
          <a:avLst/>
        </a:pr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rtlCol="0" anchor="ctr" anchorCtr="1"/>
        <a:lstStyle/>
        <a:p>
          <a:pPr algn="l"/>
          <a:r>
            <a:rPr lang="en-US" sz="1600" b="0">
              <a:solidFill>
                <a:sysClr val="windowText" lastClr="000000"/>
              </a:solidFill>
            </a:rPr>
            <a:t>O</a:t>
          </a:r>
        </a:p>
      </xdr:txBody>
    </xdr:sp>
    <xdr:clientData/>
  </xdr:twoCellAnchor>
  <xdr:twoCellAnchor>
    <xdr:from>
      <xdr:col>3</xdr:col>
      <xdr:colOff>2271651</xdr:colOff>
      <xdr:row>579</xdr:row>
      <xdr:rowOff>71886</xdr:rowOff>
    </xdr:from>
    <xdr:to>
      <xdr:col>3</xdr:col>
      <xdr:colOff>2480123</xdr:colOff>
      <xdr:row>579</xdr:row>
      <xdr:rowOff>280358</xdr:rowOff>
    </xdr:to>
    <xdr:sp macro="CkUnckSummBoxes_Click" textlink="">
      <xdr:nvSpPr>
        <xdr:cNvPr id="143" name="Rectangle 142">
          <a:extLst>
            <a:ext uri="{FF2B5EF4-FFF2-40B4-BE49-F238E27FC236}">
              <a16:creationId xmlns:a16="http://schemas.microsoft.com/office/drawing/2014/main" id="{00000000-0008-0000-0000-00008F000000}"/>
            </a:ext>
          </a:extLst>
        </xdr:cNvPr>
        <xdr:cNvSpPr>
          <a:spLocks noChangeAspect="1"/>
        </xdr:cNvSpPr>
      </xdr:nvSpPr>
      <xdr:spPr>
        <a:xfrm>
          <a:off x="3810028" y="49630641"/>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 </a:t>
          </a:r>
        </a:p>
      </xdr:txBody>
    </xdr:sp>
    <xdr:clientData/>
  </xdr:twoCellAnchor>
  <xdr:twoCellAnchor>
    <xdr:from>
      <xdr:col>6</xdr:col>
      <xdr:colOff>503207</xdr:colOff>
      <xdr:row>579</xdr:row>
      <xdr:rowOff>73324</xdr:rowOff>
    </xdr:from>
    <xdr:to>
      <xdr:col>6</xdr:col>
      <xdr:colOff>711679</xdr:colOff>
      <xdr:row>579</xdr:row>
      <xdr:rowOff>281796</xdr:rowOff>
    </xdr:to>
    <xdr:sp macro="CkUnckSummBoxes_Click" textlink="">
      <xdr:nvSpPr>
        <xdr:cNvPr id="144" name="Rectangle 143">
          <a:extLst>
            <a:ext uri="{FF2B5EF4-FFF2-40B4-BE49-F238E27FC236}">
              <a16:creationId xmlns:a16="http://schemas.microsoft.com/office/drawing/2014/main" id="{00000000-0008-0000-0000-000090000000}"/>
            </a:ext>
          </a:extLst>
        </xdr:cNvPr>
        <xdr:cNvSpPr>
          <a:spLocks noChangeAspect="1"/>
        </xdr:cNvSpPr>
      </xdr:nvSpPr>
      <xdr:spPr>
        <a:xfrm>
          <a:off x="5578415" y="91585211"/>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ysClr val="windowText" lastClr="000000"/>
              </a:solidFill>
              <a:latin typeface="+mn-lt"/>
              <a:ea typeface="+mn-ea"/>
              <a:cs typeface="+mn-cs"/>
            </a:rPr>
            <a:t> </a:t>
          </a:r>
        </a:p>
      </xdr:txBody>
    </xdr:sp>
    <xdr:clientData/>
  </xdr:twoCellAnchor>
  <xdr:twoCellAnchor>
    <xdr:from>
      <xdr:col>3</xdr:col>
      <xdr:colOff>2271651</xdr:colOff>
      <xdr:row>580</xdr:row>
      <xdr:rowOff>64698</xdr:rowOff>
    </xdr:from>
    <xdr:to>
      <xdr:col>3</xdr:col>
      <xdr:colOff>2480123</xdr:colOff>
      <xdr:row>580</xdr:row>
      <xdr:rowOff>273170</xdr:rowOff>
    </xdr:to>
    <xdr:sp macro="CkUnckSummBoxes_Click" textlink="">
      <xdr:nvSpPr>
        <xdr:cNvPr id="145" name="Rectangle 144">
          <a:extLst>
            <a:ext uri="{FF2B5EF4-FFF2-40B4-BE49-F238E27FC236}">
              <a16:creationId xmlns:a16="http://schemas.microsoft.com/office/drawing/2014/main" id="{00000000-0008-0000-0000-000091000000}"/>
            </a:ext>
          </a:extLst>
        </xdr:cNvPr>
        <xdr:cNvSpPr>
          <a:spLocks noChangeAspect="1"/>
        </xdr:cNvSpPr>
      </xdr:nvSpPr>
      <xdr:spPr>
        <a:xfrm>
          <a:off x="3810028" y="49975698"/>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 </a:t>
          </a:r>
        </a:p>
      </xdr:txBody>
    </xdr:sp>
    <xdr:clientData/>
  </xdr:twoCellAnchor>
  <xdr:twoCellAnchor>
    <xdr:from>
      <xdr:col>6</xdr:col>
      <xdr:colOff>503207</xdr:colOff>
      <xdr:row>580</xdr:row>
      <xdr:rowOff>64698</xdr:rowOff>
    </xdr:from>
    <xdr:to>
      <xdr:col>6</xdr:col>
      <xdr:colOff>711679</xdr:colOff>
      <xdr:row>580</xdr:row>
      <xdr:rowOff>273170</xdr:rowOff>
    </xdr:to>
    <xdr:sp macro="CkUnckSummBoxes_Click" textlink="">
      <xdr:nvSpPr>
        <xdr:cNvPr id="146" name="Rectangle 145">
          <a:extLst>
            <a:ext uri="{FF2B5EF4-FFF2-40B4-BE49-F238E27FC236}">
              <a16:creationId xmlns:a16="http://schemas.microsoft.com/office/drawing/2014/main" id="{00000000-0008-0000-0000-000092000000}"/>
            </a:ext>
          </a:extLst>
        </xdr:cNvPr>
        <xdr:cNvSpPr>
          <a:spLocks noChangeAspect="1"/>
        </xdr:cNvSpPr>
      </xdr:nvSpPr>
      <xdr:spPr>
        <a:xfrm>
          <a:off x="5578415" y="91928830"/>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ysClr val="windowText" lastClr="000000"/>
              </a:solidFill>
              <a:latin typeface="+mn-lt"/>
              <a:ea typeface="+mn-ea"/>
              <a:cs typeface="+mn-cs"/>
            </a:rPr>
            <a:t> </a:t>
          </a:r>
        </a:p>
      </xdr:txBody>
    </xdr:sp>
    <xdr:clientData/>
  </xdr:twoCellAnchor>
  <xdr:twoCellAnchor>
    <xdr:from>
      <xdr:col>3</xdr:col>
      <xdr:colOff>2271651</xdr:colOff>
      <xdr:row>581</xdr:row>
      <xdr:rowOff>64698</xdr:rowOff>
    </xdr:from>
    <xdr:to>
      <xdr:col>3</xdr:col>
      <xdr:colOff>2480123</xdr:colOff>
      <xdr:row>581</xdr:row>
      <xdr:rowOff>273170</xdr:rowOff>
    </xdr:to>
    <xdr:sp macro="CkUnckSummBoxes_Click" textlink="">
      <xdr:nvSpPr>
        <xdr:cNvPr id="147" name="Rectangle 146">
          <a:extLst>
            <a:ext uri="{FF2B5EF4-FFF2-40B4-BE49-F238E27FC236}">
              <a16:creationId xmlns:a16="http://schemas.microsoft.com/office/drawing/2014/main" id="{00000000-0008-0000-0000-000093000000}"/>
            </a:ext>
          </a:extLst>
        </xdr:cNvPr>
        <xdr:cNvSpPr>
          <a:spLocks noChangeAspect="1"/>
        </xdr:cNvSpPr>
      </xdr:nvSpPr>
      <xdr:spPr>
        <a:xfrm>
          <a:off x="3810028" y="50327943"/>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 </a:t>
          </a:r>
        </a:p>
      </xdr:txBody>
    </xdr:sp>
    <xdr:clientData/>
  </xdr:twoCellAnchor>
  <xdr:twoCellAnchor>
    <xdr:from>
      <xdr:col>6</xdr:col>
      <xdr:colOff>503207</xdr:colOff>
      <xdr:row>581</xdr:row>
      <xdr:rowOff>64698</xdr:rowOff>
    </xdr:from>
    <xdr:to>
      <xdr:col>6</xdr:col>
      <xdr:colOff>711679</xdr:colOff>
      <xdr:row>581</xdr:row>
      <xdr:rowOff>273170</xdr:rowOff>
    </xdr:to>
    <xdr:sp macro="CkUnckSummBoxes_Click" textlink="">
      <xdr:nvSpPr>
        <xdr:cNvPr id="148" name="Rectangle 147">
          <a:extLst>
            <a:ext uri="{FF2B5EF4-FFF2-40B4-BE49-F238E27FC236}">
              <a16:creationId xmlns:a16="http://schemas.microsoft.com/office/drawing/2014/main" id="{00000000-0008-0000-0000-000094000000}"/>
            </a:ext>
          </a:extLst>
        </xdr:cNvPr>
        <xdr:cNvSpPr>
          <a:spLocks noChangeAspect="1"/>
        </xdr:cNvSpPr>
      </xdr:nvSpPr>
      <xdr:spPr>
        <a:xfrm>
          <a:off x="5578415" y="86300094"/>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ysClr val="windowText" lastClr="000000"/>
              </a:solidFill>
              <a:latin typeface="+mn-lt"/>
              <a:ea typeface="+mn-ea"/>
              <a:cs typeface="+mn-cs"/>
            </a:rPr>
            <a:t> </a:t>
          </a:r>
        </a:p>
      </xdr:txBody>
    </xdr:sp>
    <xdr:clientData/>
  </xdr:twoCellAnchor>
  <xdr:twoCellAnchor>
    <xdr:from>
      <xdr:col>3</xdr:col>
      <xdr:colOff>2271651</xdr:colOff>
      <xdr:row>582</xdr:row>
      <xdr:rowOff>64698</xdr:rowOff>
    </xdr:from>
    <xdr:to>
      <xdr:col>3</xdr:col>
      <xdr:colOff>2480123</xdr:colOff>
      <xdr:row>582</xdr:row>
      <xdr:rowOff>273170</xdr:rowOff>
    </xdr:to>
    <xdr:sp macro="CkUnckSummBoxes_Click" textlink="">
      <xdr:nvSpPr>
        <xdr:cNvPr id="151" name="Rectangle 150">
          <a:extLst>
            <a:ext uri="{FF2B5EF4-FFF2-40B4-BE49-F238E27FC236}">
              <a16:creationId xmlns:a16="http://schemas.microsoft.com/office/drawing/2014/main" id="{00000000-0008-0000-0000-000097000000}"/>
            </a:ext>
          </a:extLst>
        </xdr:cNvPr>
        <xdr:cNvSpPr>
          <a:spLocks noChangeAspect="1"/>
        </xdr:cNvSpPr>
      </xdr:nvSpPr>
      <xdr:spPr>
        <a:xfrm>
          <a:off x="3810028" y="50680189"/>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 </a:t>
          </a:r>
        </a:p>
      </xdr:txBody>
    </xdr:sp>
    <xdr:clientData/>
  </xdr:twoCellAnchor>
  <xdr:twoCellAnchor>
    <xdr:from>
      <xdr:col>6</xdr:col>
      <xdr:colOff>503207</xdr:colOff>
      <xdr:row>582</xdr:row>
      <xdr:rowOff>64698</xdr:rowOff>
    </xdr:from>
    <xdr:to>
      <xdr:col>6</xdr:col>
      <xdr:colOff>711679</xdr:colOff>
      <xdr:row>582</xdr:row>
      <xdr:rowOff>273170</xdr:rowOff>
    </xdr:to>
    <xdr:sp macro="CkUnckSummBoxes_Click" textlink="">
      <xdr:nvSpPr>
        <xdr:cNvPr id="152" name="Rectangle 151">
          <a:extLst>
            <a:ext uri="{FF2B5EF4-FFF2-40B4-BE49-F238E27FC236}">
              <a16:creationId xmlns:a16="http://schemas.microsoft.com/office/drawing/2014/main" id="{00000000-0008-0000-0000-000098000000}"/>
            </a:ext>
          </a:extLst>
        </xdr:cNvPr>
        <xdr:cNvSpPr>
          <a:spLocks noChangeAspect="1"/>
        </xdr:cNvSpPr>
      </xdr:nvSpPr>
      <xdr:spPr>
        <a:xfrm>
          <a:off x="5578415" y="86652340"/>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ysClr val="windowText" lastClr="000000"/>
              </a:solidFill>
              <a:latin typeface="+mn-lt"/>
              <a:ea typeface="+mn-ea"/>
              <a:cs typeface="+mn-cs"/>
            </a:rPr>
            <a:t> </a:t>
          </a:r>
        </a:p>
      </xdr:txBody>
    </xdr:sp>
    <xdr:clientData/>
  </xdr:twoCellAnchor>
  <xdr:twoCellAnchor>
    <xdr:from>
      <xdr:col>3</xdr:col>
      <xdr:colOff>2271651</xdr:colOff>
      <xdr:row>583</xdr:row>
      <xdr:rowOff>64698</xdr:rowOff>
    </xdr:from>
    <xdr:to>
      <xdr:col>3</xdr:col>
      <xdr:colOff>2480123</xdr:colOff>
      <xdr:row>583</xdr:row>
      <xdr:rowOff>273170</xdr:rowOff>
    </xdr:to>
    <xdr:sp macro="CkUnckSummBoxes_Click" textlink="">
      <xdr:nvSpPr>
        <xdr:cNvPr id="153" name="Rectangle 152">
          <a:extLst>
            <a:ext uri="{FF2B5EF4-FFF2-40B4-BE49-F238E27FC236}">
              <a16:creationId xmlns:a16="http://schemas.microsoft.com/office/drawing/2014/main" id="{00000000-0008-0000-0000-000099000000}"/>
            </a:ext>
          </a:extLst>
        </xdr:cNvPr>
        <xdr:cNvSpPr>
          <a:spLocks noChangeAspect="1"/>
        </xdr:cNvSpPr>
      </xdr:nvSpPr>
      <xdr:spPr>
        <a:xfrm>
          <a:off x="3810028" y="51032434"/>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 </a:t>
          </a:r>
        </a:p>
      </xdr:txBody>
    </xdr:sp>
    <xdr:clientData/>
  </xdr:twoCellAnchor>
  <xdr:twoCellAnchor>
    <xdr:from>
      <xdr:col>6</xdr:col>
      <xdr:colOff>503207</xdr:colOff>
      <xdr:row>583</xdr:row>
      <xdr:rowOff>64698</xdr:rowOff>
    </xdr:from>
    <xdr:to>
      <xdr:col>6</xdr:col>
      <xdr:colOff>711679</xdr:colOff>
      <xdr:row>583</xdr:row>
      <xdr:rowOff>273170</xdr:rowOff>
    </xdr:to>
    <xdr:sp macro="CkUnckSummBoxes_Click" textlink="">
      <xdr:nvSpPr>
        <xdr:cNvPr id="154" name="Rectangle 153">
          <a:extLst>
            <a:ext uri="{FF2B5EF4-FFF2-40B4-BE49-F238E27FC236}">
              <a16:creationId xmlns:a16="http://schemas.microsoft.com/office/drawing/2014/main" id="{00000000-0008-0000-0000-00009A000000}"/>
            </a:ext>
          </a:extLst>
        </xdr:cNvPr>
        <xdr:cNvSpPr>
          <a:spLocks noChangeAspect="1"/>
        </xdr:cNvSpPr>
      </xdr:nvSpPr>
      <xdr:spPr>
        <a:xfrm>
          <a:off x="5578415" y="87004585"/>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ysClr val="windowText" lastClr="000000"/>
              </a:solidFill>
              <a:latin typeface="+mn-lt"/>
              <a:ea typeface="+mn-ea"/>
              <a:cs typeface="+mn-cs"/>
            </a:rPr>
            <a:t> </a:t>
          </a:r>
        </a:p>
      </xdr:txBody>
    </xdr:sp>
    <xdr:clientData/>
  </xdr:twoCellAnchor>
  <xdr:twoCellAnchor>
    <xdr:from>
      <xdr:col>3</xdr:col>
      <xdr:colOff>2271651</xdr:colOff>
      <xdr:row>584</xdr:row>
      <xdr:rowOff>71886</xdr:rowOff>
    </xdr:from>
    <xdr:to>
      <xdr:col>3</xdr:col>
      <xdr:colOff>2480123</xdr:colOff>
      <xdr:row>584</xdr:row>
      <xdr:rowOff>280358</xdr:rowOff>
    </xdr:to>
    <xdr:sp macro="CkUnckSummBoxes_Click" textlink="">
      <xdr:nvSpPr>
        <xdr:cNvPr id="155" name="Rectangle 154">
          <a:extLst>
            <a:ext uri="{FF2B5EF4-FFF2-40B4-BE49-F238E27FC236}">
              <a16:creationId xmlns:a16="http://schemas.microsoft.com/office/drawing/2014/main" id="{00000000-0008-0000-0000-00009B000000}"/>
            </a:ext>
          </a:extLst>
        </xdr:cNvPr>
        <xdr:cNvSpPr>
          <a:spLocks noChangeAspect="1"/>
        </xdr:cNvSpPr>
      </xdr:nvSpPr>
      <xdr:spPr>
        <a:xfrm>
          <a:off x="3810028" y="51391867"/>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 </a:t>
          </a:r>
        </a:p>
      </xdr:txBody>
    </xdr:sp>
    <xdr:clientData/>
  </xdr:twoCellAnchor>
  <xdr:twoCellAnchor>
    <xdr:from>
      <xdr:col>6</xdr:col>
      <xdr:colOff>503207</xdr:colOff>
      <xdr:row>584</xdr:row>
      <xdr:rowOff>73324</xdr:rowOff>
    </xdr:from>
    <xdr:to>
      <xdr:col>6</xdr:col>
      <xdr:colOff>711679</xdr:colOff>
      <xdr:row>584</xdr:row>
      <xdr:rowOff>281796</xdr:rowOff>
    </xdr:to>
    <xdr:sp macro="CkUnckSummBoxes_Click" textlink="">
      <xdr:nvSpPr>
        <xdr:cNvPr id="156" name="Rectangle 155">
          <a:extLst>
            <a:ext uri="{FF2B5EF4-FFF2-40B4-BE49-F238E27FC236}">
              <a16:creationId xmlns:a16="http://schemas.microsoft.com/office/drawing/2014/main" id="{00000000-0008-0000-0000-00009C000000}"/>
            </a:ext>
          </a:extLst>
        </xdr:cNvPr>
        <xdr:cNvSpPr>
          <a:spLocks noChangeAspect="1"/>
        </xdr:cNvSpPr>
      </xdr:nvSpPr>
      <xdr:spPr>
        <a:xfrm>
          <a:off x="5578415" y="85956475"/>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ysClr val="windowText" lastClr="000000"/>
              </a:solidFill>
              <a:latin typeface="+mn-lt"/>
              <a:ea typeface="+mn-ea"/>
              <a:cs typeface="+mn-cs"/>
            </a:rPr>
            <a:t> </a:t>
          </a:r>
        </a:p>
      </xdr:txBody>
    </xdr:sp>
    <xdr:clientData/>
  </xdr:twoCellAnchor>
  <xdr:twoCellAnchor>
    <xdr:from>
      <xdr:col>3</xdr:col>
      <xdr:colOff>2271651</xdr:colOff>
      <xdr:row>585</xdr:row>
      <xdr:rowOff>71886</xdr:rowOff>
    </xdr:from>
    <xdr:to>
      <xdr:col>3</xdr:col>
      <xdr:colOff>2480123</xdr:colOff>
      <xdr:row>585</xdr:row>
      <xdr:rowOff>280358</xdr:rowOff>
    </xdr:to>
    <xdr:sp macro="CkUnckSummBoxes_Click" textlink="">
      <xdr:nvSpPr>
        <xdr:cNvPr id="159" name="Rectangle 158">
          <a:extLst>
            <a:ext uri="{FF2B5EF4-FFF2-40B4-BE49-F238E27FC236}">
              <a16:creationId xmlns:a16="http://schemas.microsoft.com/office/drawing/2014/main" id="{00000000-0008-0000-0000-00009F000000}"/>
            </a:ext>
          </a:extLst>
        </xdr:cNvPr>
        <xdr:cNvSpPr>
          <a:spLocks noChangeAspect="1"/>
        </xdr:cNvSpPr>
      </xdr:nvSpPr>
      <xdr:spPr>
        <a:xfrm>
          <a:off x="3810028" y="52096358"/>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 </a:t>
          </a:r>
        </a:p>
      </xdr:txBody>
    </xdr:sp>
    <xdr:clientData/>
  </xdr:twoCellAnchor>
  <xdr:twoCellAnchor>
    <xdr:from>
      <xdr:col>6</xdr:col>
      <xdr:colOff>503207</xdr:colOff>
      <xdr:row>585</xdr:row>
      <xdr:rowOff>73324</xdr:rowOff>
    </xdr:from>
    <xdr:to>
      <xdr:col>6</xdr:col>
      <xdr:colOff>711679</xdr:colOff>
      <xdr:row>585</xdr:row>
      <xdr:rowOff>281796</xdr:rowOff>
    </xdr:to>
    <xdr:sp macro="CkUnckSummBoxes_Click" textlink="">
      <xdr:nvSpPr>
        <xdr:cNvPr id="160" name="Rectangle 159">
          <a:extLst>
            <a:ext uri="{FF2B5EF4-FFF2-40B4-BE49-F238E27FC236}">
              <a16:creationId xmlns:a16="http://schemas.microsoft.com/office/drawing/2014/main" id="{00000000-0008-0000-0000-0000A0000000}"/>
            </a:ext>
          </a:extLst>
        </xdr:cNvPr>
        <xdr:cNvSpPr>
          <a:spLocks noChangeAspect="1"/>
        </xdr:cNvSpPr>
      </xdr:nvSpPr>
      <xdr:spPr>
        <a:xfrm>
          <a:off x="5578415" y="73750098"/>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ysClr val="windowText" lastClr="000000"/>
              </a:solidFill>
              <a:latin typeface="+mn-lt"/>
              <a:ea typeface="+mn-ea"/>
              <a:cs typeface="+mn-cs"/>
            </a:rPr>
            <a:t> </a:t>
          </a:r>
        </a:p>
      </xdr:txBody>
    </xdr:sp>
    <xdr:clientData/>
  </xdr:twoCellAnchor>
  <xdr:twoCellAnchor>
    <xdr:from>
      <xdr:col>3</xdr:col>
      <xdr:colOff>2271651</xdr:colOff>
      <xdr:row>586</xdr:row>
      <xdr:rowOff>71886</xdr:rowOff>
    </xdr:from>
    <xdr:to>
      <xdr:col>3</xdr:col>
      <xdr:colOff>2480123</xdr:colOff>
      <xdr:row>586</xdr:row>
      <xdr:rowOff>280358</xdr:rowOff>
    </xdr:to>
    <xdr:sp macro="CkUnckSummBoxes_Click" textlink="">
      <xdr:nvSpPr>
        <xdr:cNvPr id="161" name="Rectangle 160">
          <a:extLst>
            <a:ext uri="{FF2B5EF4-FFF2-40B4-BE49-F238E27FC236}">
              <a16:creationId xmlns:a16="http://schemas.microsoft.com/office/drawing/2014/main" id="{00000000-0008-0000-0000-0000A1000000}"/>
            </a:ext>
          </a:extLst>
        </xdr:cNvPr>
        <xdr:cNvSpPr>
          <a:spLocks noChangeAspect="1"/>
        </xdr:cNvSpPr>
      </xdr:nvSpPr>
      <xdr:spPr>
        <a:xfrm>
          <a:off x="3810028" y="52448603"/>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 </a:t>
          </a:r>
        </a:p>
      </xdr:txBody>
    </xdr:sp>
    <xdr:clientData/>
  </xdr:twoCellAnchor>
  <xdr:twoCellAnchor>
    <xdr:from>
      <xdr:col>6</xdr:col>
      <xdr:colOff>503207</xdr:colOff>
      <xdr:row>586</xdr:row>
      <xdr:rowOff>73324</xdr:rowOff>
    </xdr:from>
    <xdr:to>
      <xdr:col>6</xdr:col>
      <xdr:colOff>711679</xdr:colOff>
      <xdr:row>586</xdr:row>
      <xdr:rowOff>281796</xdr:rowOff>
    </xdr:to>
    <xdr:sp macro="CkUnckSummBoxes_Click" textlink="">
      <xdr:nvSpPr>
        <xdr:cNvPr id="162" name="Rectangle 161">
          <a:extLst>
            <a:ext uri="{FF2B5EF4-FFF2-40B4-BE49-F238E27FC236}">
              <a16:creationId xmlns:a16="http://schemas.microsoft.com/office/drawing/2014/main" id="{00000000-0008-0000-0000-0000A2000000}"/>
            </a:ext>
          </a:extLst>
        </xdr:cNvPr>
        <xdr:cNvSpPr>
          <a:spLocks noChangeAspect="1"/>
        </xdr:cNvSpPr>
      </xdr:nvSpPr>
      <xdr:spPr>
        <a:xfrm>
          <a:off x="5578415" y="74102343"/>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ysClr val="windowText" lastClr="000000"/>
              </a:solidFill>
              <a:latin typeface="+mn-lt"/>
              <a:ea typeface="+mn-ea"/>
              <a:cs typeface="+mn-cs"/>
            </a:rPr>
            <a:t> </a:t>
          </a:r>
        </a:p>
      </xdr:txBody>
    </xdr:sp>
    <xdr:clientData/>
  </xdr:twoCellAnchor>
  <xdr:twoCellAnchor>
    <xdr:from>
      <xdr:col>3</xdr:col>
      <xdr:colOff>2271651</xdr:colOff>
      <xdr:row>588</xdr:row>
      <xdr:rowOff>64698</xdr:rowOff>
    </xdr:from>
    <xdr:to>
      <xdr:col>3</xdr:col>
      <xdr:colOff>2480123</xdr:colOff>
      <xdr:row>588</xdr:row>
      <xdr:rowOff>273170</xdr:rowOff>
    </xdr:to>
    <xdr:sp macro="CkUnckSummBoxes_Click" textlink="">
      <xdr:nvSpPr>
        <xdr:cNvPr id="163" name="Rectangle 162">
          <a:extLst>
            <a:ext uri="{FF2B5EF4-FFF2-40B4-BE49-F238E27FC236}">
              <a16:creationId xmlns:a16="http://schemas.microsoft.com/office/drawing/2014/main" id="{00000000-0008-0000-0000-0000A3000000}"/>
            </a:ext>
          </a:extLst>
        </xdr:cNvPr>
        <xdr:cNvSpPr>
          <a:spLocks noChangeAspect="1"/>
        </xdr:cNvSpPr>
      </xdr:nvSpPr>
      <xdr:spPr>
        <a:xfrm>
          <a:off x="3810028" y="53174660"/>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 </a:t>
          </a:r>
        </a:p>
      </xdr:txBody>
    </xdr:sp>
    <xdr:clientData/>
  </xdr:twoCellAnchor>
  <xdr:twoCellAnchor>
    <xdr:from>
      <xdr:col>6</xdr:col>
      <xdr:colOff>503207</xdr:colOff>
      <xdr:row>588</xdr:row>
      <xdr:rowOff>64698</xdr:rowOff>
    </xdr:from>
    <xdr:to>
      <xdr:col>6</xdr:col>
      <xdr:colOff>711679</xdr:colOff>
      <xdr:row>588</xdr:row>
      <xdr:rowOff>273170</xdr:rowOff>
    </xdr:to>
    <xdr:sp macro="CkUnckSummBoxes_Click" textlink="">
      <xdr:nvSpPr>
        <xdr:cNvPr id="164" name="Rectangle 163">
          <a:extLst>
            <a:ext uri="{FF2B5EF4-FFF2-40B4-BE49-F238E27FC236}">
              <a16:creationId xmlns:a16="http://schemas.microsoft.com/office/drawing/2014/main" id="{00000000-0008-0000-0000-0000A4000000}"/>
            </a:ext>
          </a:extLst>
        </xdr:cNvPr>
        <xdr:cNvSpPr>
          <a:spLocks noChangeAspect="1"/>
        </xdr:cNvSpPr>
      </xdr:nvSpPr>
      <xdr:spPr>
        <a:xfrm>
          <a:off x="5578415" y="67961773"/>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ysClr val="windowText" lastClr="000000"/>
              </a:solidFill>
              <a:latin typeface="+mn-lt"/>
              <a:ea typeface="+mn-ea"/>
              <a:cs typeface="+mn-cs"/>
            </a:rPr>
            <a:t> </a:t>
          </a:r>
        </a:p>
      </xdr:txBody>
    </xdr:sp>
    <xdr:clientData/>
  </xdr:twoCellAnchor>
  <xdr:twoCellAnchor>
    <xdr:from>
      <xdr:col>3</xdr:col>
      <xdr:colOff>2271651</xdr:colOff>
      <xdr:row>590</xdr:row>
      <xdr:rowOff>64698</xdr:rowOff>
    </xdr:from>
    <xdr:to>
      <xdr:col>3</xdr:col>
      <xdr:colOff>2480123</xdr:colOff>
      <xdr:row>590</xdr:row>
      <xdr:rowOff>273170</xdr:rowOff>
    </xdr:to>
    <xdr:sp macro="CkUnckSummBoxes_Click" textlink="">
      <xdr:nvSpPr>
        <xdr:cNvPr id="165" name="Rectangle 164">
          <a:extLst>
            <a:ext uri="{FF2B5EF4-FFF2-40B4-BE49-F238E27FC236}">
              <a16:creationId xmlns:a16="http://schemas.microsoft.com/office/drawing/2014/main" id="{00000000-0008-0000-0000-0000A5000000}"/>
            </a:ext>
          </a:extLst>
        </xdr:cNvPr>
        <xdr:cNvSpPr>
          <a:spLocks noChangeAspect="1"/>
        </xdr:cNvSpPr>
      </xdr:nvSpPr>
      <xdr:spPr>
        <a:xfrm>
          <a:off x="3810028" y="53526906"/>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 </a:t>
          </a:r>
        </a:p>
      </xdr:txBody>
    </xdr:sp>
    <xdr:clientData/>
  </xdr:twoCellAnchor>
  <xdr:twoCellAnchor>
    <xdr:from>
      <xdr:col>6</xdr:col>
      <xdr:colOff>503207</xdr:colOff>
      <xdr:row>590</xdr:row>
      <xdr:rowOff>64698</xdr:rowOff>
    </xdr:from>
    <xdr:to>
      <xdr:col>6</xdr:col>
      <xdr:colOff>711679</xdr:colOff>
      <xdr:row>590</xdr:row>
      <xdr:rowOff>273170</xdr:rowOff>
    </xdr:to>
    <xdr:sp macro="CkUnckSummBoxes_Click" textlink="">
      <xdr:nvSpPr>
        <xdr:cNvPr id="166" name="Rectangle 165">
          <a:extLst>
            <a:ext uri="{FF2B5EF4-FFF2-40B4-BE49-F238E27FC236}">
              <a16:creationId xmlns:a16="http://schemas.microsoft.com/office/drawing/2014/main" id="{00000000-0008-0000-0000-0000A6000000}"/>
            </a:ext>
          </a:extLst>
        </xdr:cNvPr>
        <xdr:cNvSpPr>
          <a:spLocks noChangeAspect="1"/>
        </xdr:cNvSpPr>
      </xdr:nvSpPr>
      <xdr:spPr>
        <a:xfrm>
          <a:off x="5578415" y="71160736"/>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ysClr val="windowText" lastClr="000000"/>
              </a:solidFill>
              <a:latin typeface="+mn-lt"/>
              <a:ea typeface="+mn-ea"/>
              <a:cs typeface="+mn-cs"/>
            </a:rPr>
            <a:t> </a:t>
          </a:r>
        </a:p>
      </xdr:txBody>
    </xdr:sp>
    <xdr:clientData/>
  </xdr:twoCellAnchor>
  <xdr:twoCellAnchor>
    <xdr:from>
      <xdr:col>3</xdr:col>
      <xdr:colOff>2271651</xdr:colOff>
      <xdr:row>592</xdr:row>
      <xdr:rowOff>64698</xdr:rowOff>
    </xdr:from>
    <xdr:to>
      <xdr:col>3</xdr:col>
      <xdr:colOff>2480123</xdr:colOff>
      <xdr:row>592</xdr:row>
      <xdr:rowOff>273170</xdr:rowOff>
    </xdr:to>
    <xdr:sp macro="CkUnckSummBoxes_Click" textlink="">
      <xdr:nvSpPr>
        <xdr:cNvPr id="167" name="Rectangle 166">
          <a:extLst>
            <a:ext uri="{FF2B5EF4-FFF2-40B4-BE49-F238E27FC236}">
              <a16:creationId xmlns:a16="http://schemas.microsoft.com/office/drawing/2014/main" id="{00000000-0008-0000-0000-0000A7000000}"/>
            </a:ext>
          </a:extLst>
        </xdr:cNvPr>
        <xdr:cNvSpPr>
          <a:spLocks noChangeAspect="1"/>
        </xdr:cNvSpPr>
      </xdr:nvSpPr>
      <xdr:spPr>
        <a:xfrm>
          <a:off x="3810028" y="54231396"/>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 </a:t>
          </a:r>
        </a:p>
      </xdr:txBody>
    </xdr:sp>
    <xdr:clientData/>
  </xdr:twoCellAnchor>
  <xdr:twoCellAnchor>
    <xdr:from>
      <xdr:col>6</xdr:col>
      <xdr:colOff>503207</xdr:colOff>
      <xdr:row>592</xdr:row>
      <xdr:rowOff>64698</xdr:rowOff>
    </xdr:from>
    <xdr:to>
      <xdr:col>6</xdr:col>
      <xdr:colOff>711679</xdr:colOff>
      <xdr:row>592</xdr:row>
      <xdr:rowOff>273170</xdr:rowOff>
    </xdr:to>
    <xdr:sp macro="CkUnckSummBoxes_Click" textlink="">
      <xdr:nvSpPr>
        <xdr:cNvPr id="168" name="Rectangle 167">
          <a:extLst>
            <a:ext uri="{FF2B5EF4-FFF2-40B4-BE49-F238E27FC236}">
              <a16:creationId xmlns:a16="http://schemas.microsoft.com/office/drawing/2014/main" id="{00000000-0008-0000-0000-0000A8000000}"/>
            </a:ext>
          </a:extLst>
        </xdr:cNvPr>
        <xdr:cNvSpPr>
          <a:spLocks noChangeAspect="1"/>
        </xdr:cNvSpPr>
      </xdr:nvSpPr>
      <xdr:spPr>
        <a:xfrm>
          <a:off x="5578415" y="71512981"/>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ysClr val="windowText" lastClr="000000"/>
              </a:solidFill>
              <a:latin typeface="+mn-lt"/>
              <a:ea typeface="+mn-ea"/>
              <a:cs typeface="+mn-cs"/>
            </a:rPr>
            <a:t> </a:t>
          </a:r>
        </a:p>
      </xdr:txBody>
    </xdr:sp>
    <xdr:clientData/>
  </xdr:twoCellAnchor>
  <xdr:twoCellAnchor>
    <xdr:from>
      <xdr:col>3</xdr:col>
      <xdr:colOff>2271651</xdr:colOff>
      <xdr:row>594</xdr:row>
      <xdr:rowOff>64698</xdr:rowOff>
    </xdr:from>
    <xdr:to>
      <xdr:col>3</xdr:col>
      <xdr:colOff>2480123</xdr:colOff>
      <xdr:row>594</xdr:row>
      <xdr:rowOff>273170</xdr:rowOff>
    </xdr:to>
    <xdr:sp macro="CkUnckSummBoxes_Click" textlink="">
      <xdr:nvSpPr>
        <xdr:cNvPr id="171" name="Rectangle 170">
          <a:extLst>
            <a:ext uri="{FF2B5EF4-FFF2-40B4-BE49-F238E27FC236}">
              <a16:creationId xmlns:a16="http://schemas.microsoft.com/office/drawing/2014/main" id="{00000000-0008-0000-0000-0000AB000000}"/>
            </a:ext>
          </a:extLst>
        </xdr:cNvPr>
        <xdr:cNvSpPr>
          <a:spLocks noChangeAspect="1"/>
        </xdr:cNvSpPr>
      </xdr:nvSpPr>
      <xdr:spPr>
        <a:xfrm>
          <a:off x="3810028" y="54583641"/>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 </a:t>
          </a:r>
        </a:p>
      </xdr:txBody>
    </xdr:sp>
    <xdr:clientData/>
  </xdr:twoCellAnchor>
  <xdr:twoCellAnchor>
    <xdr:from>
      <xdr:col>6</xdr:col>
      <xdr:colOff>503207</xdr:colOff>
      <xdr:row>594</xdr:row>
      <xdr:rowOff>64698</xdr:rowOff>
    </xdr:from>
    <xdr:to>
      <xdr:col>6</xdr:col>
      <xdr:colOff>711679</xdr:colOff>
      <xdr:row>594</xdr:row>
      <xdr:rowOff>273170</xdr:rowOff>
    </xdr:to>
    <xdr:sp macro="CkUnckSummBoxes_Click" textlink="">
      <xdr:nvSpPr>
        <xdr:cNvPr id="172" name="Rectangle 171">
          <a:extLst>
            <a:ext uri="{FF2B5EF4-FFF2-40B4-BE49-F238E27FC236}">
              <a16:creationId xmlns:a16="http://schemas.microsoft.com/office/drawing/2014/main" id="{00000000-0008-0000-0000-0000AC000000}"/>
            </a:ext>
          </a:extLst>
        </xdr:cNvPr>
        <xdr:cNvSpPr>
          <a:spLocks noChangeAspect="1"/>
        </xdr:cNvSpPr>
      </xdr:nvSpPr>
      <xdr:spPr>
        <a:xfrm>
          <a:off x="5578415" y="71865226"/>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ysClr val="windowText" lastClr="000000"/>
              </a:solidFill>
              <a:latin typeface="+mn-lt"/>
              <a:ea typeface="+mn-ea"/>
              <a:cs typeface="+mn-cs"/>
            </a:rPr>
            <a:t> </a:t>
          </a:r>
        </a:p>
      </xdr:txBody>
    </xdr:sp>
    <xdr:clientData/>
  </xdr:twoCellAnchor>
  <xdr:twoCellAnchor>
    <xdr:from>
      <xdr:col>3</xdr:col>
      <xdr:colOff>2271651</xdr:colOff>
      <xdr:row>596</xdr:row>
      <xdr:rowOff>64698</xdr:rowOff>
    </xdr:from>
    <xdr:to>
      <xdr:col>3</xdr:col>
      <xdr:colOff>2480123</xdr:colOff>
      <xdr:row>596</xdr:row>
      <xdr:rowOff>273170</xdr:rowOff>
    </xdr:to>
    <xdr:sp macro="CkUnckSummBoxes_Click" textlink="">
      <xdr:nvSpPr>
        <xdr:cNvPr id="173" name="Rectangle 172">
          <a:extLst>
            <a:ext uri="{FF2B5EF4-FFF2-40B4-BE49-F238E27FC236}">
              <a16:creationId xmlns:a16="http://schemas.microsoft.com/office/drawing/2014/main" id="{00000000-0008-0000-0000-0000AD000000}"/>
            </a:ext>
          </a:extLst>
        </xdr:cNvPr>
        <xdr:cNvSpPr>
          <a:spLocks noChangeAspect="1"/>
        </xdr:cNvSpPr>
      </xdr:nvSpPr>
      <xdr:spPr>
        <a:xfrm>
          <a:off x="3810028" y="55288132"/>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 </a:t>
          </a:r>
        </a:p>
      </xdr:txBody>
    </xdr:sp>
    <xdr:clientData/>
  </xdr:twoCellAnchor>
  <xdr:twoCellAnchor>
    <xdr:from>
      <xdr:col>6</xdr:col>
      <xdr:colOff>503207</xdr:colOff>
      <xdr:row>596</xdr:row>
      <xdr:rowOff>64698</xdr:rowOff>
    </xdr:from>
    <xdr:to>
      <xdr:col>6</xdr:col>
      <xdr:colOff>711679</xdr:colOff>
      <xdr:row>596</xdr:row>
      <xdr:rowOff>273170</xdr:rowOff>
    </xdr:to>
    <xdr:sp macro="CkUnckSummBoxes_Click" textlink="">
      <xdr:nvSpPr>
        <xdr:cNvPr id="174" name="Rectangle 173">
          <a:extLst>
            <a:ext uri="{FF2B5EF4-FFF2-40B4-BE49-F238E27FC236}">
              <a16:creationId xmlns:a16="http://schemas.microsoft.com/office/drawing/2014/main" id="{00000000-0008-0000-0000-0000AE000000}"/>
            </a:ext>
          </a:extLst>
        </xdr:cNvPr>
        <xdr:cNvSpPr>
          <a:spLocks noChangeAspect="1"/>
        </xdr:cNvSpPr>
      </xdr:nvSpPr>
      <xdr:spPr>
        <a:xfrm>
          <a:off x="5578415" y="65007226"/>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ysClr val="windowText" lastClr="000000"/>
              </a:solidFill>
              <a:latin typeface="+mn-lt"/>
              <a:ea typeface="+mn-ea"/>
              <a:cs typeface="+mn-cs"/>
            </a:rPr>
            <a:t> </a:t>
          </a:r>
        </a:p>
      </xdr:txBody>
    </xdr:sp>
    <xdr:clientData/>
  </xdr:twoCellAnchor>
  <xdr:twoCellAnchor>
    <xdr:from>
      <xdr:col>3</xdr:col>
      <xdr:colOff>2271651</xdr:colOff>
      <xdr:row>598</xdr:row>
      <xdr:rowOff>64698</xdr:rowOff>
    </xdr:from>
    <xdr:to>
      <xdr:col>3</xdr:col>
      <xdr:colOff>2480123</xdr:colOff>
      <xdr:row>598</xdr:row>
      <xdr:rowOff>273170</xdr:rowOff>
    </xdr:to>
    <xdr:sp macro="CkUnckSummBoxes_Click" textlink="">
      <xdr:nvSpPr>
        <xdr:cNvPr id="175" name="Rectangle 174">
          <a:extLst>
            <a:ext uri="{FF2B5EF4-FFF2-40B4-BE49-F238E27FC236}">
              <a16:creationId xmlns:a16="http://schemas.microsoft.com/office/drawing/2014/main" id="{00000000-0008-0000-0000-0000AF000000}"/>
            </a:ext>
          </a:extLst>
        </xdr:cNvPr>
        <xdr:cNvSpPr>
          <a:spLocks noChangeAspect="1"/>
        </xdr:cNvSpPr>
      </xdr:nvSpPr>
      <xdr:spPr>
        <a:xfrm>
          <a:off x="3810028" y="55640377"/>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 </a:t>
          </a:r>
        </a:p>
      </xdr:txBody>
    </xdr:sp>
    <xdr:clientData/>
  </xdr:twoCellAnchor>
  <xdr:twoCellAnchor>
    <xdr:from>
      <xdr:col>6</xdr:col>
      <xdr:colOff>503207</xdr:colOff>
      <xdr:row>598</xdr:row>
      <xdr:rowOff>64698</xdr:rowOff>
    </xdr:from>
    <xdr:to>
      <xdr:col>6</xdr:col>
      <xdr:colOff>711679</xdr:colOff>
      <xdr:row>598</xdr:row>
      <xdr:rowOff>273170</xdr:rowOff>
    </xdr:to>
    <xdr:sp macro="CkUnckSummBoxes_Click" textlink="">
      <xdr:nvSpPr>
        <xdr:cNvPr id="176" name="Rectangle 175">
          <a:extLst>
            <a:ext uri="{FF2B5EF4-FFF2-40B4-BE49-F238E27FC236}">
              <a16:creationId xmlns:a16="http://schemas.microsoft.com/office/drawing/2014/main" id="{00000000-0008-0000-0000-0000B0000000}"/>
            </a:ext>
          </a:extLst>
        </xdr:cNvPr>
        <xdr:cNvSpPr>
          <a:spLocks noChangeAspect="1"/>
        </xdr:cNvSpPr>
      </xdr:nvSpPr>
      <xdr:spPr>
        <a:xfrm>
          <a:off x="5578415" y="65359472"/>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ysClr val="windowText" lastClr="000000"/>
              </a:solidFill>
              <a:latin typeface="+mn-lt"/>
              <a:ea typeface="+mn-ea"/>
              <a:cs typeface="+mn-cs"/>
            </a:rPr>
            <a:t> </a:t>
          </a:r>
        </a:p>
      </xdr:txBody>
    </xdr:sp>
    <xdr:clientData/>
  </xdr:twoCellAnchor>
  <xdr:twoCellAnchor>
    <xdr:from>
      <xdr:col>3</xdr:col>
      <xdr:colOff>2271651</xdr:colOff>
      <xdr:row>600</xdr:row>
      <xdr:rowOff>64698</xdr:rowOff>
    </xdr:from>
    <xdr:to>
      <xdr:col>3</xdr:col>
      <xdr:colOff>2480123</xdr:colOff>
      <xdr:row>600</xdr:row>
      <xdr:rowOff>273170</xdr:rowOff>
    </xdr:to>
    <xdr:sp macro="CkUnckSummBoxes_Click" textlink="">
      <xdr:nvSpPr>
        <xdr:cNvPr id="177" name="Rectangle 176">
          <a:extLst>
            <a:ext uri="{FF2B5EF4-FFF2-40B4-BE49-F238E27FC236}">
              <a16:creationId xmlns:a16="http://schemas.microsoft.com/office/drawing/2014/main" id="{00000000-0008-0000-0000-0000B1000000}"/>
            </a:ext>
          </a:extLst>
        </xdr:cNvPr>
        <xdr:cNvSpPr>
          <a:spLocks noChangeAspect="1"/>
        </xdr:cNvSpPr>
      </xdr:nvSpPr>
      <xdr:spPr>
        <a:xfrm>
          <a:off x="3810028" y="56344868"/>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 </a:t>
          </a:r>
        </a:p>
      </xdr:txBody>
    </xdr:sp>
    <xdr:clientData/>
  </xdr:twoCellAnchor>
  <xdr:twoCellAnchor>
    <xdr:from>
      <xdr:col>6</xdr:col>
      <xdr:colOff>503207</xdr:colOff>
      <xdr:row>600</xdr:row>
      <xdr:rowOff>64698</xdr:rowOff>
    </xdr:from>
    <xdr:to>
      <xdr:col>6</xdr:col>
      <xdr:colOff>711679</xdr:colOff>
      <xdr:row>600</xdr:row>
      <xdr:rowOff>273170</xdr:rowOff>
    </xdr:to>
    <xdr:sp macro="CkUnckSummBoxes_Click" textlink="">
      <xdr:nvSpPr>
        <xdr:cNvPr id="178" name="Rectangle 177">
          <a:extLst>
            <a:ext uri="{FF2B5EF4-FFF2-40B4-BE49-F238E27FC236}">
              <a16:creationId xmlns:a16="http://schemas.microsoft.com/office/drawing/2014/main" id="{00000000-0008-0000-0000-0000B2000000}"/>
            </a:ext>
          </a:extLst>
        </xdr:cNvPr>
        <xdr:cNvSpPr>
          <a:spLocks noChangeAspect="1"/>
        </xdr:cNvSpPr>
      </xdr:nvSpPr>
      <xdr:spPr>
        <a:xfrm>
          <a:off x="5578415" y="65711717"/>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ysClr val="windowText" lastClr="000000"/>
              </a:solidFill>
              <a:latin typeface="+mn-lt"/>
              <a:ea typeface="+mn-ea"/>
              <a:cs typeface="+mn-cs"/>
            </a:rPr>
            <a:t> </a:t>
          </a:r>
        </a:p>
      </xdr:txBody>
    </xdr:sp>
    <xdr:clientData/>
  </xdr:twoCellAnchor>
  <xdr:twoCellAnchor>
    <xdr:from>
      <xdr:col>3</xdr:col>
      <xdr:colOff>2271651</xdr:colOff>
      <xdr:row>602</xdr:row>
      <xdr:rowOff>64698</xdr:rowOff>
    </xdr:from>
    <xdr:to>
      <xdr:col>3</xdr:col>
      <xdr:colOff>2480123</xdr:colOff>
      <xdr:row>602</xdr:row>
      <xdr:rowOff>273170</xdr:rowOff>
    </xdr:to>
    <xdr:sp macro="CkUnckSummBoxes_Click" textlink="">
      <xdr:nvSpPr>
        <xdr:cNvPr id="179" name="Rectangle 178">
          <a:extLst>
            <a:ext uri="{FF2B5EF4-FFF2-40B4-BE49-F238E27FC236}">
              <a16:creationId xmlns:a16="http://schemas.microsoft.com/office/drawing/2014/main" id="{00000000-0008-0000-0000-0000B3000000}"/>
            </a:ext>
          </a:extLst>
        </xdr:cNvPr>
        <xdr:cNvSpPr>
          <a:spLocks noChangeAspect="1"/>
        </xdr:cNvSpPr>
      </xdr:nvSpPr>
      <xdr:spPr>
        <a:xfrm>
          <a:off x="3810028" y="56697113"/>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 </a:t>
          </a:r>
        </a:p>
      </xdr:txBody>
    </xdr:sp>
    <xdr:clientData/>
  </xdr:twoCellAnchor>
  <xdr:twoCellAnchor>
    <xdr:from>
      <xdr:col>6</xdr:col>
      <xdr:colOff>503207</xdr:colOff>
      <xdr:row>602</xdr:row>
      <xdr:rowOff>64698</xdr:rowOff>
    </xdr:from>
    <xdr:to>
      <xdr:col>6</xdr:col>
      <xdr:colOff>711679</xdr:colOff>
      <xdr:row>602</xdr:row>
      <xdr:rowOff>273170</xdr:rowOff>
    </xdr:to>
    <xdr:sp macro="CkUnckSummBoxes_Click" textlink="">
      <xdr:nvSpPr>
        <xdr:cNvPr id="180" name="Rectangle 179">
          <a:extLst>
            <a:ext uri="{FF2B5EF4-FFF2-40B4-BE49-F238E27FC236}">
              <a16:creationId xmlns:a16="http://schemas.microsoft.com/office/drawing/2014/main" id="{00000000-0008-0000-0000-0000B4000000}"/>
            </a:ext>
          </a:extLst>
        </xdr:cNvPr>
        <xdr:cNvSpPr>
          <a:spLocks noChangeAspect="1"/>
        </xdr:cNvSpPr>
      </xdr:nvSpPr>
      <xdr:spPr>
        <a:xfrm>
          <a:off x="5578415" y="66063962"/>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ysClr val="windowText" lastClr="000000"/>
              </a:solidFill>
              <a:latin typeface="+mn-lt"/>
              <a:ea typeface="+mn-ea"/>
              <a:cs typeface="+mn-cs"/>
            </a:rPr>
            <a:t> </a:t>
          </a:r>
        </a:p>
      </xdr:txBody>
    </xdr:sp>
    <xdr:clientData/>
  </xdr:twoCellAnchor>
  <xdr:twoCellAnchor editAs="oneCell">
    <xdr:from>
      <xdr:col>2</xdr:col>
      <xdr:colOff>194095</xdr:colOff>
      <xdr:row>575</xdr:row>
      <xdr:rowOff>539152</xdr:rowOff>
    </xdr:from>
    <xdr:to>
      <xdr:col>3</xdr:col>
      <xdr:colOff>697303</xdr:colOff>
      <xdr:row>575</xdr:row>
      <xdr:rowOff>1255502</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11680" y="13069020"/>
          <a:ext cx="1524000" cy="716350"/>
        </a:xfrm>
        <a:prstGeom prst="rect">
          <a:avLst/>
        </a:prstGeom>
      </xdr:spPr>
    </xdr:pic>
    <xdr:clientData/>
  </xdr:twoCellAnchor>
  <xdr:twoCellAnchor>
    <xdr:from>
      <xdr:col>1</xdr:col>
      <xdr:colOff>0</xdr:colOff>
      <xdr:row>145</xdr:row>
      <xdr:rowOff>2103</xdr:rowOff>
    </xdr:from>
    <xdr:to>
      <xdr:col>1</xdr:col>
      <xdr:colOff>283464</xdr:colOff>
      <xdr:row>145</xdr:row>
      <xdr:rowOff>257175</xdr:rowOff>
    </xdr:to>
    <xdr:sp macro="[0]!ShowHideSchK1" textlink="">
      <xdr:nvSpPr>
        <xdr:cNvPr id="203" name="Rounded Rectangle 202">
          <a:extLst>
            <a:ext uri="{FF2B5EF4-FFF2-40B4-BE49-F238E27FC236}">
              <a16:creationId xmlns:a16="http://schemas.microsoft.com/office/drawing/2014/main" id="{00000000-0008-0000-0000-0000CB000000}"/>
            </a:ext>
          </a:extLst>
        </xdr:cNvPr>
        <xdr:cNvSpPr/>
      </xdr:nvSpPr>
      <xdr:spPr>
        <a:xfrm>
          <a:off x="215660" y="31114707"/>
          <a:ext cx="283464" cy="255072"/>
        </a:xfrm>
        <a:prstGeom prst="roundRect">
          <a:avLst/>
        </a:pr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rtlCol="0" anchor="ctr" anchorCtr="1"/>
        <a:lstStyle/>
        <a:p>
          <a:pPr algn="l"/>
          <a:r>
            <a:rPr lang="en-US" sz="1600" b="0">
              <a:solidFill>
                <a:sysClr val="windowText" lastClr="000000"/>
              </a:solidFill>
            </a:rPr>
            <a:t>O</a:t>
          </a:r>
        </a:p>
      </xdr:txBody>
    </xdr:sp>
    <xdr:clientData/>
  </xdr:twoCellAnchor>
  <xdr:twoCellAnchor>
    <xdr:from>
      <xdr:col>1</xdr:col>
      <xdr:colOff>0</xdr:colOff>
      <xdr:row>177</xdr:row>
      <xdr:rowOff>2103</xdr:rowOff>
    </xdr:from>
    <xdr:to>
      <xdr:col>1</xdr:col>
      <xdr:colOff>283464</xdr:colOff>
      <xdr:row>177</xdr:row>
      <xdr:rowOff>257175</xdr:rowOff>
    </xdr:to>
    <xdr:sp macro="[0]!ShowHideSchK1" textlink="">
      <xdr:nvSpPr>
        <xdr:cNvPr id="204" name="Rounded Rectangle 203">
          <a:extLst>
            <a:ext uri="{FF2B5EF4-FFF2-40B4-BE49-F238E27FC236}">
              <a16:creationId xmlns:a16="http://schemas.microsoft.com/office/drawing/2014/main" id="{00000000-0008-0000-0000-0000CC000000}"/>
            </a:ext>
          </a:extLst>
        </xdr:cNvPr>
        <xdr:cNvSpPr/>
      </xdr:nvSpPr>
      <xdr:spPr>
        <a:xfrm>
          <a:off x="215660" y="36671556"/>
          <a:ext cx="283464" cy="255072"/>
        </a:xfrm>
        <a:prstGeom prst="roundRect">
          <a:avLst/>
        </a:pr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rtlCol="0" anchor="ctr" anchorCtr="1"/>
        <a:lstStyle/>
        <a:p>
          <a:pPr algn="l"/>
          <a:r>
            <a:rPr lang="en-US" sz="1600" b="0">
              <a:solidFill>
                <a:sysClr val="windowText" lastClr="000000"/>
              </a:solidFill>
            </a:rPr>
            <a:t>O</a:t>
          </a:r>
        </a:p>
      </xdr:txBody>
    </xdr:sp>
    <xdr:clientData/>
  </xdr:twoCellAnchor>
  <xdr:twoCellAnchor>
    <xdr:from>
      <xdr:col>1</xdr:col>
      <xdr:colOff>0</xdr:colOff>
      <xdr:row>209</xdr:row>
      <xdr:rowOff>2103</xdr:rowOff>
    </xdr:from>
    <xdr:to>
      <xdr:col>1</xdr:col>
      <xdr:colOff>283464</xdr:colOff>
      <xdr:row>209</xdr:row>
      <xdr:rowOff>257175</xdr:rowOff>
    </xdr:to>
    <xdr:sp macro="[0]!ShowHideSchK1" textlink="">
      <xdr:nvSpPr>
        <xdr:cNvPr id="205" name="Rounded Rectangle 204">
          <a:extLst>
            <a:ext uri="{FF2B5EF4-FFF2-40B4-BE49-F238E27FC236}">
              <a16:creationId xmlns:a16="http://schemas.microsoft.com/office/drawing/2014/main" id="{00000000-0008-0000-0000-0000CD000000}"/>
            </a:ext>
          </a:extLst>
        </xdr:cNvPr>
        <xdr:cNvSpPr/>
      </xdr:nvSpPr>
      <xdr:spPr>
        <a:xfrm>
          <a:off x="215660" y="42228405"/>
          <a:ext cx="283464" cy="255072"/>
        </a:xfrm>
        <a:prstGeom prst="roundRect">
          <a:avLst/>
        </a:pr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rtlCol="0" anchor="ctr" anchorCtr="1"/>
        <a:lstStyle/>
        <a:p>
          <a:pPr algn="l"/>
          <a:r>
            <a:rPr lang="en-US" sz="1600" b="0">
              <a:solidFill>
                <a:sysClr val="windowText" lastClr="000000"/>
              </a:solidFill>
            </a:rPr>
            <a:t>O</a:t>
          </a:r>
        </a:p>
      </xdr:txBody>
    </xdr:sp>
    <xdr:clientData/>
  </xdr:twoCellAnchor>
  <xdr:twoCellAnchor>
    <xdr:from>
      <xdr:col>1</xdr:col>
      <xdr:colOff>0</xdr:colOff>
      <xdr:row>241</xdr:row>
      <xdr:rowOff>2103</xdr:rowOff>
    </xdr:from>
    <xdr:to>
      <xdr:col>1</xdr:col>
      <xdr:colOff>283464</xdr:colOff>
      <xdr:row>241</xdr:row>
      <xdr:rowOff>257175</xdr:rowOff>
    </xdr:to>
    <xdr:sp macro="[0]!ShowHideSchK1" textlink="">
      <xdr:nvSpPr>
        <xdr:cNvPr id="206" name="Rounded Rectangle 205">
          <a:extLst>
            <a:ext uri="{FF2B5EF4-FFF2-40B4-BE49-F238E27FC236}">
              <a16:creationId xmlns:a16="http://schemas.microsoft.com/office/drawing/2014/main" id="{00000000-0008-0000-0000-0000CE000000}"/>
            </a:ext>
          </a:extLst>
        </xdr:cNvPr>
        <xdr:cNvSpPr/>
      </xdr:nvSpPr>
      <xdr:spPr>
        <a:xfrm>
          <a:off x="215660" y="47785254"/>
          <a:ext cx="283464" cy="255072"/>
        </a:xfrm>
        <a:prstGeom prst="roundRect">
          <a:avLst/>
        </a:pr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rtlCol="0" anchor="ctr" anchorCtr="1"/>
        <a:lstStyle/>
        <a:p>
          <a:pPr algn="l"/>
          <a:r>
            <a:rPr lang="en-US" sz="1600" b="0">
              <a:solidFill>
                <a:sysClr val="windowText" lastClr="000000"/>
              </a:solidFill>
            </a:rPr>
            <a:t>O</a:t>
          </a:r>
        </a:p>
      </xdr:txBody>
    </xdr:sp>
    <xdr:clientData/>
  </xdr:twoCellAnchor>
  <xdr:twoCellAnchor>
    <xdr:from>
      <xdr:col>1</xdr:col>
      <xdr:colOff>0</xdr:colOff>
      <xdr:row>273</xdr:row>
      <xdr:rowOff>2103</xdr:rowOff>
    </xdr:from>
    <xdr:to>
      <xdr:col>1</xdr:col>
      <xdr:colOff>283464</xdr:colOff>
      <xdr:row>273</xdr:row>
      <xdr:rowOff>257175</xdr:rowOff>
    </xdr:to>
    <xdr:sp macro="[0]!ShowHideSchK1" textlink="">
      <xdr:nvSpPr>
        <xdr:cNvPr id="207" name="Rounded Rectangle 206">
          <a:extLst>
            <a:ext uri="{FF2B5EF4-FFF2-40B4-BE49-F238E27FC236}">
              <a16:creationId xmlns:a16="http://schemas.microsoft.com/office/drawing/2014/main" id="{00000000-0008-0000-0000-0000CF000000}"/>
            </a:ext>
          </a:extLst>
        </xdr:cNvPr>
        <xdr:cNvSpPr/>
      </xdr:nvSpPr>
      <xdr:spPr>
        <a:xfrm>
          <a:off x="215660" y="53342103"/>
          <a:ext cx="283464" cy="255072"/>
        </a:xfrm>
        <a:prstGeom prst="roundRect">
          <a:avLst/>
        </a:pr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rtlCol="0" anchor="ctr" anchorCtr="1"/>
        <a:lstStyle/>
        <a:p>
          <a:pPr algn="l"/>
          <a:r>
            <a:rPr lang="en-US" sz="1600" b="0">
              <a:solidFill>
                <a:sysClr val="windowText" lastClr="000000"/>
              </a:solidFill>
            </a:rPr>
            <a:t>O</a:t>
          </a:r>
        </a:p>
      </xdr:txBody>
    </xdr:sp>
    <xdr:clientData/>
  </xdr:twoCellAnchor>
  <xdr:twoCellAnchor>
    <xdr:from>
      <xdr:col>3</xdr:col>
      <xdr:colOff>2271651</xdr:colOff>
      <xdr:row>604</xdr:row>
      <xdr:rowOff>64698</xdr:rowOff>
    </xdr:from>
    <xdr:to>
      <xdr:col>3</xdr:col>
      <xdr:colOff>2480123</xdr:colOff>
      <xdr:row>604</xdr:row>
      <xdr:rowOff>273170</xdr:rowOff>
    </xdr:to>
    <xdr:sp macro="CkUnckSummBoxes_Click" textlink="">
      <xdr:nvSpPr>
        <xdr:cNvPr id="208" name="Rectangle 207">
          <a:extLst>
            <a:ext uri="{FF2B5EF4-FFF2-40B4-BE49-F238E27FC236}">
              <a16:creationId xmlns:a16="http://schemas.microsoft.com/office/drawing/2014/main" id="{00000000-0008-0000-0000-0000D0000000}"/>
            </a:ext>
          </a:extLst>
        </xdr:cNvPr>
        <xdr:cNvSpPr>
          <a:spLocks noChangeAspect="1"/>
        </xdr:cNvSpPr>
      </xdr:nvSpPr>
      <xdr:spPr>
        <a:xfrm>
          <a:off x="3810028" y="57401604"/>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 </a:t>
          </a:r>
        </a:p>
      </xdr:txBody>
    </xdr:sp>
    <xdr:clientData/>
  </xdr:twoCellAnchor>
  <xdr:twoCellAnchor>
    <xdr:from>
      <xdr:col>6</xdr:col>
      <xdr:colOff>503207</xdr:colOff>
      <xdr:row>604</xdr:row>
      <xdr:rowOff>64698</xdr:rowOff>
    </xdr:from>
    <xdr:to>
      <xdr:col>6</xdr:col>
      <xdr:colOff>711679</xdr:colOff>
      <xdr:row>604</xdr:row>
      <xdr:rowOff>273170</xdr:rowOff>
    </xdr:to>
    <xdr:sp macro="CkUnckSummBoxes_Click" textlink="">
      <xdr:nvSpPr>
        <xdr:cNvPr id="209" name="Rectangle 208">
          <a:extLst>
            <a:ext uri="{FF2B5EF4-FFF2-40B4-BE49-F238E27FC236}">
              <a16:creationId xmlns:a16="http://schemas.microsoft.com/office/drawing/2014/main" id="{00000000-0008-0000-0000-0000D1000000}"/>
            </a:ext>
          </a:extLst>
        </xdr:cNvPr>
        <xdr:cNvSpPr>
          <a:spLocks noChangeAspect="1"/>
        </xdr:cNvSpPr>
      </xdr:nvSpPr>
      <xdr:spPr>
        <a:xfrm>
          <a:off x="6211018" y="50004453"/>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ysClr val="windowText" lastClr="000000"/>
              </a:solidFill>
              <a:latin typeface="+mn-lt"/>
              <a:ea typeface="+mn-ea"/>
              <a:cs typeface="+mn-cs"/>
            </a:rPr>
            <a:t> </a:t>
          </a:r>
        </a:p>
      </xdr:txBody>
    </xdr:sp>
    <xdr:clientData/>
  </xdr:twoCellAnchor>
  <xdr:twoCellAnchor>
    <xdr:from>
      <xdr:col>3</xdr:col>
      <xdr:colOff>2271651</xdr:colOff>
      <xdr:row>606</xdr:row>
      <xdr:rowOff>64698</xdr:rowOff>
    </xdr:from>
    <xdr:to>
      <xdr:col>3</xdr:col>
      <xdr:colOff>2480123</xdr:colOff>
      <xdr:row>606</xdr:row>
      <xdr:rowOff>273170</xdr:rowOff>
    </xdr:to>
    <xdr:sp macro="CkUnckSummBoxes_Click" textlink="">
      <xdr:nvSpPr>
        <xdr:cNvPr id="210" name="Rectangle 209">
          <a:extLst>
            <a:ext uri="{FF2B5EF4-FFF2-40B4-BE49-F238E27FC236}">
              <a16:creationId xmlns:a16="http://schemas.microsoft.com/office/drawing/2014/main" id="{00000000-0008-0000-0000-0000D2000000}"/>
            </a:ext>
          </a:extLst>
        </xdr:cNvPr>
        <xdr:cNvSpPr>
          <a:spLocks noChangeAspect="1"/>
        </xdr:cNvSpPr>
      </xdr:nvSpPr>
      <xdr:spPr>
        <a:xfrm>
          <a:off x="3810028" y="57753849"/>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 </a:t>
          </a:r>
        </a:p>
      </xdr:txBody>
    </xdr:sp>
    <xdr:clientData/>
  </xdr:twoCellAnchor>
  <xdr:twoCellAnchor>
    <xdr:from>
      <xdr:col>6</xdr:col>
      <xdr:colOff>503207</xdr:colOff>
      <xdr:row>606</xdr:row>
      <xdr:rowOff>64698</xdr:rowOff>
    </xdr:from>
    <xdr:to>
      <xdr:col>6</xdr:col>
      <xdr:colOff>711679</xdr:colOff>
      <xdr:row>606</xdr:row>
      <xdr:rowOff>273170</xdr:rowOff>
    </xdr:to>
    <xdr:sp macro="CkUnckSummBoxes_Click" textlink="">
      <xdr:nvSpPr>
        <xdr:cNvPr id="211" name="Rectangle 210">
          <a:extLst>
            <a:ext uri="{FF2B5EF4-FFF2-40B4-BE49-F238E27FC236}">
              <a16:creationId xmlns:a16="http://schemas.microsoft.com/office/drawing/2014/main" id="{00000000-0008-0000-0000-0000D3000000}"/>
            </a:ext>
          </a:extLst>
        </xdr:cNvPr>
        <xdr:cNvSpPr>
          <a:spLocks noChangeAspect="1"/>
        </xdr:cNvSpPr>
      </xdr:nvSpPr>
      <xdr:spPr>
        <a:xfrm>
          <a:off x="6211018" y="50356698"/>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ysClr val="windowText" lastClr="000000"/>
              </a:solidFill>
              <a:latin typeface="+mn-lt"/>
              <a:ea typeface="+mn-ea"/>
              <a:cs typeface="+mn-cs"/>
            </a:rPr>
            <a:t> </a:t>
          </a:r>
        </a:p>
      </xdr:txBody>
    </xdr:sp>
    <xdr:clientData/>
  </xdr:twoCellAnchor>
  <xdr:twoCellAnchor>
    <xdr:from>
      <xdr:col>3</xdr:col>
      <xdr:colOff>2271651</xdr:colOff>
      <xdr:row>608</xdr:row>
      <xdr:rowOff>64698</xdr:rowOff>
    </xdr:from>
    <xdr:to>
      <xdr:col>3</xdr:col>
      <xdr:colOff>2480123</xdr:colOff>
      <xdr:row>608</xdr:row>
      <xdr:rowOff>273170</xdr:rowOff>
    </xdr:to>
    <xdr:sp macro="CkUnckSummBoxes_Click" textlink="">
      <xdr:nvSpPr>
        <xdr:cNvPr id="212" name="Rectangle 211">
          <a:extLst>
            <a:ext uri="{FF2B5EF4-FFF2-40B4-BE49-F238E27FC236}">
              <a16:creationId xmlns:a16="http://schemas.microsoft.com/office/drawing/2014/main" id="{00000000-0008-0000-0000-0000D4000000}"/>
            </a:ext>
          </a:extLst>
        </xdr:cNvPr>
        <xdr:cNvSpPr>
          <a:spLocks noChangeAspect="1"/>
        </xdr:cNvSpPr>
      </xdr:nvSpPr>
      <xdr:spPr>
        <a:xfrm>
          <a:off x="3810028" y="58458340"/>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 </a:t>
          </a:r>
        </a:p>
      </xdr:txBody>
    </xdr:sp>
    <xdr:clientData/>
  </xdr:twoCellAnchor>
  <xdr:twoCellAnchor>
    <xdr:from>
      <xdr:col>6</xdr:col>
      <xdr:colOff>503207</xdr:colOff>
      <xdr:row>608</xdr:row>
      <xdr:rowOff>64698</xdr:rowOff>
    </xdr:from>
    <xdr:to>
      <xdr:col>6</xdr:col>
      <xdr:colOff>711679</xdr:colOff>
      <xdr:row>608</xdr:row>
      <xdr:rowOff>273170</xdr:rowOff>
    </xdr:to>
    <xdr:sp macro="CkUnckSummBoxes_Click" textlink="">
      <xdr:nvSpPr>
        <xdr:cNvPr id="213" name="Rectangle 212">
          <a:extLst>
            <a:ext uri="{FF2B5EF4-FFF2-40B4-BE49-F238E27FC236}">
              <a16:creationId xmlns:a16="http://schemas.microsoft.com/office/drawing/2014/main" id="{00000000-0008-0000-0000-0000D5000000}"/>
            </a:ext>
          </a:extLst>
        </xdr:cNvPr>
        <xdr:cNvSpPr>
          <a:spLocks noChangeAspect="1"/>
        </xdr:cNvSpPr>
      </xdr:nvSpPr>
      <xdr:spPr>
        <a:xfrm>
          <a:off x="6211018" y="50708943"/>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ysClr val="windowText" lastClr="000000"/>
              </a:solidFill>
              <a:latin typeface="+mn-lt"/>
              <a:ea typeface="+mn-ea"/>
              <a:cs typeface="+mn-cs"/>
            </a:rPr>
            <a:t> </a:t>
          </a:r>
        </a:p>
      </xdr:txBody>
    </xdr:sp>
    <xdr:clientData/>
  </xdr:twoCellAnchor>
  <xdr:twoCellAnchor>
    <xdr:from>
      <xdr:col>3</xdr:col>
      <xdr:colOff>2271651</xdr:colOff>
      <xdr:row>610</xdr:row>
      <xdr:rowOff>64698</xdr:rowOff>
    </xdr:from>
    <xdr:to>
      <xdr:col>3</xdr:col>
      <xdr:colOff>2480123</xdr:colOff>
      <xdr:row>610</xdr:row>
      <xdr:rowOff>273170</xdr:rowOff>
    </xdr:to>
    <xdr:sp macro="CkUnckSummBoxes_Click" textlink="">
      <xdr:nvSpPr>
        <xdr:cNvPr id="214" name="Rectangle 213">
          <a:extLst>
            <a:ext uri="{FF2B5EF4-FFF2-40B4-BE49-F238E27FC236}">
              <a16:creationId xmlns:a16="http://schemas.microsoft.com/office/drawing/2014/main" id="{00000000-0008-0000-0000-0000D6000000}"/>
            </a:ext>
          </a:extLst>
        </xdr:cNvPr>
        <xdr:cNvSpPr>
          <a:spLocks noChangeAspect="1"/>
        </xdr:cNvSpPr>
      </xdr:nvSpPr>
      <xdr:spPr>
        <a:xfrm>
          <a:off x="3810028" y="58810585"/>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 </a:t>
          </a:r>
        </a:p>
      </xdr:txBody>
    </xdr:sp>
    <xdr:clientData/>
  </xdr:twoCellAnchor>
  <xdr:twoCellAnchor>
    <xdr:from>
      <xdr:col>6</xdr:col>
      <xdr:colOff>503207</xdr:colOff>
      <xdr:row>610</xdr:row>
      <xdr:rowOff>64698</xdr:rowOff>
    </xdr:from>
    <xdr:to>
      <xdr:col>6</xdr:col>
      <xdr:colOff>711679</xdr:colOff>
      <xdr:row>610</xdr:row>
      <xdr:rowOff>273170</xdr:rowOff>
    </xdr:to>
    <xdr:sp macro="CkUnckSummBoxes_Click" textlink="">
      <xdr:nvSpPr>
        <xdr:cNvPr id="215" name="Rectangle 214">
          <a:extLst>
            <a:ext uri="{FF2B5EF4-FFF2-40B4-BE49-F238E27FC236}">
              <a16:creationId xmlns:a16="http://schemas.microsoft.com/office/drawing/2014/main" id="{00000000-0008-0000-0000-0000D7000000}"/>
            </a:ext>
          </a:extLst>
        </xdr:cNvPr>
        <xdr:cNvSpPr>
          <a:spLocks noChangeAspect="1"/>
        </xdr:cNvSpPr>
      </xdr:nvSpPr>
      <xdr:spPr>
        <a:xfrm>
          <a:off x="6211018" y="51061189"/>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ysClr val="windowText" lastClr="000000"/>
              </a:solidFill>
              <a:latin typeface="+mn-lt"/>
              <a:ea typeface="+mn-ea"/>
              <a:cs typeface="+mn-cs"/>
            </a:rPr>
            <a:t> </a:t>
          </a:r>
        </a:p>
      </xdr:txBody>
    </xdr:sp>
    <xdr:clientData/>
  </xdr:twoCellAnchor>
  <xdr:twoCellAnchor>
    <xdr:from>
      <xdr:col>1</xdr:col>
      <xdr:colOff>0</xdr:colOff>
      <xdr:row>307</xdr:row>
      <xdr:rowOff>2103</xdr:rowOff>
    </xdr:from>
    <xdr:to>
      <xdr:col>1</xdr:col>
      <xdr:colOff>283464</xdr:colOff>
      <xdr:row>307</xdr:row>
      <xdr:rowOff>257175</xdr:rowOff>
    </xdr:to>
    <xdr:sp macro="[0]!ShowHideSCorp" textlink="">
      <xdr:nvSpPr>
        <xdr:cNvPr id="216" name="Rounded Rectangle 215">
          <a:extLst>
            <a:ext uri="{FF2B5EF4-FFF2-40B4-BE49-F238E27FC236}">
              <a16:creationId xmlns:a16="http://schemas.microsoft.com/office/drawing/2014/main" id="{00000000-0008-0000-0000-0000D8000000}"/>
            </a:ext>
          </a:extLst>
        </xdr:cNvPr>
        <xdr:cNvSpPr/>
      </xdr:nvSpPr>
      <xdr:spPr>
        <a:xfrm>
          <a:off x="215660" y="8635707"/>
          <a:ext cx="283464" cy="255072"/>
        </a:xfrm>
        <a:prstGeom prst="roundRect">
          <a:avLst/>
        </a:prstGeom>
        <a:solidFill>
          <a:srgbClr val="C6E0B4"/>
        </a:solidFill>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rtlCol="0" anchor="ctr" anchorCtr="1"/>
        <a:lstStyle/>
        <a:p>
          <a:pPr algn="l"/>
          <a:r>
            <a:rPr lang="en-US" sz="1600" b="0">
              <a:solidFill>
                <a:sysClr val="windowText" lastClr="000000"/>
              </a:solidFill>
            </a:rPr>
            <a:t>X</a:t>
          </a:r>
        </a:p>
      </xdr:txBody>
    </xdr:sp>
    <xdr:clientData/>
  </xdr:twoCellAnchor>
  <xdr:twoCellAnchor>
    <xdr:from>
      <xdr:col>1</xdr:col>
      <xdr:colOff>0</xdr:colOff>
      <xdr:row>337</xdr:row>
      <xdr:rowOff>2103</xdr:rowOff>
    </xdr:from>
    <xdr:to>
      <xdr:col>1</xdr:col>
      <xdr:colOff>283464</xdr:colOff>
      <xdr:row>337</xdr:row>
      <xdr:rowOff>257175</xdr:rowOff>
    </xdr:to>
    <xdr:sp macro="[0]!ShowHideSCorp" textlink="">
      <xdr:nvSpPr>
        <xdr:cNvPr id="221" name="Rounded Rectangle 220">
          <a:extLst>
            <a:ext uri="{FF2B5EF4-FFF2-40B4-BE49-F238E27FC236}">
              <a16:creationId xmlns:a16="http://schemas.microsoft.com/office/drawing/2014/main" id="{00000000-0008-0000-0000-0000DD000000}"/>
            </a:ext>
          </a:extLst>
        </xdr:cNvPr>
        <xdr:cNvSpPr/>
      </xdr:nvSpPr>
      <xdr:spPr>
        <a:xfrm>
          <a:off x="215660" y="17384329"/>
          <a:ext cx="283464" cy="255072"/>
        </a:xfrm>
        <a:prstGeom prst="roundRect">
          <a:avLst/>
        </a:pr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rtlCol="0" anchor="ctr" anchorCtr="1"/>
        <a:lstStyle/>
        <a:p>
          <a:pPr algn="l"/>
          <a:r>
            <a:rPr lang="en-US" sz="1600" b="0">
              <a:solidFill>
                <a:sysClr val="windowText" lastClr="000000"/>
              </a:solidFill>
            </a:rPr>
            <a:t>O</a:t>
          </a:r>
        </a:p>
      </xdr:txBody>
    </xdr:sp>
    <xdr:clientData/>
  </xdr:twoCellAnchor>
  <xdr:twoCellAnchor>
    <xdr:from>
      <xdr:col>1</xdr:col>
      <xdr:colOff>0</xdr:colOff>
      <xdr:row>367</xdr:row>
      <xdr:rowOff>2103</xdr:rowOff>
    </xdr:from>
    <xdr:to>
      <xdr:col>1</xdr:col>
      <xdr:colOff>283464</xdr:colOff>
      <xdr:row>367</xdr:row>
      <xdr:rowOff>257175</xdr:rowOff>
    </xdr:to>
    <xdr:sp macro="[0]!ShowHideSCorp" textlink="">
      <xdr:nvSpPr>
        <xdr:cNvPr id="226" name="Rounded Rectangle 225">
          <a:extLst>
            <a:ext uri="{FF2B5EF4-FFF2-40B4-BE49-F238E27FC236}">
              <a16:creationId xmlns:a16="http://schemas.microsoft.com/office/drawing/2014/main" id="{00000000-0008-0000-0000-0000E2000000}"/>
            </a:ext>
          </a:extLst>
        </xdr:cNvPr>
        <xdr:cNvSpPr/>
      </xdr:nvSpPr>
      <xdr:spPr>
        <a:xfrm>
          <a:off x="215660" y="23875707"/>
          <a:ext cx="283464" cy="255072"/>
        </a:xfrm>
        <a:prstGeom prst="roundRect">
          <a:avLst/>
        </a:pr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rtlCol="0" anchor="ctr" anchorCtr="1"/>
        <a:lstStyle/>
        <a:p>
          <a:pPr algn="l"/>
          <a:r>
            <a:rPr lang="en-US" sz="1600" b="0">
              <a:solidFill>
                <a:sysClr val="windowText" lastClr="000000"/>
              </a:solidFill>
            </a:rPr>
            <a:t>O</a:t>
          </a:r>
        </a:p>
      </xdr:txBody>
    </xdr:sp>
    <xdr:clientData/>
  </xdr:twoCellAnchor>
  <xdr:twoCellAnchor>
    <xdr:from>
      <xdr:col>1</xdr:col>
      <xdr:colOff>0</xdr:colOff>
      <xdr:row>397</xdr:row>
      <xdr:rowOff>2103</xdr:rowOff>
    </xdr:from>
    <xdr:to>
      <xdr:col>1</xdr:col>
      <xdr:colOff>283464</xdr:colOff>
      <xdr:row>397</xdr:row>
      <xdr:rowOff>257175</xdr:rowOff>
    </xdr:to>
    <xdr:sp macro="[0]!ShowHideSCorp" textlink="">
      <xdr:nvSpPr>
        <xdr:cNvPr id="231" name="Rounded Rectangle 230">
          <a:extLst>
            <a:ext uri="{FF2B5EF4-FFF2-40B4-BE49-F238E27FC236}">
              <a16:creationId xmlns:a16="http://schemas.microsoft.com/office/drawing/2014/main" id="{00000000-0008-0000-0000-0000E7000000}"/>
            </a:ext>
          </a:extLst>
        </xdr:cNvPr>
        <xdr:cNvSpPr/>
      </xdr:nvSpPr>
      <xdr:spPr>
        <a:xfrm>
          <a:off x="215660" y="30367084"/>
          <a:ext cx="283464" cy="255072"/>
        </a:xfrm>
        <a:prstGeom prst="roundRect">
          <a:avLst/>
        </a:pr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rtlCol="0" anchor="ctr" anchorCtr="1"/>
        <a:lstStyle/>
        <a:p>
          <a:pPr algn="l"/>
          <a:r>
            <a:rPr lang="en-US" sz="1600" b="0">
              <a:solidFill>
                <a:sysClr val="windowText" lastClr="000000"/>
              </a:solidFill>
            </a:rPr>
            <a:t>O</a:t>
          </a:r>
        </a:p>
      </xdr:txBody>
    </xdr:sp>
    <xdr:clientData/>
  </xdr:twoCellAnchor>
  <xdr:twoCellAnchor>
    <xdr:from>
      <xdr:col>1</xdr:col>
      <xdr:colOff>0</xdr:colOff>
      <xdr:row>427</xdr:row>
      <xdr:rowOff>2103</xdr:rowOff>
    </xdr:from>
    <xdr:to>
      <xdr:col>1</xdr:col>
      <xdr:colOff>283464</xdr:colOff>
      <xdr:row>427</xdr:row>
      <xdr:rowOff>257175</xdr:rowOff>
    </xdr:to>
    <xdr:sp macro="[0]!ShowHideSCorp" textlink="">
      <xdr:nvSpPr>
        <xdr:cNvPr id="236" name="Rounded Rectangle 235">
          <a:extLst>
            <a:ext uri="{FF2B5EF4-FFF2-40B4-BE49-F238E27FC236}">
              <a16:creationId xmlns:a16="http://schemas.microsoft.com/office/drawing/2014/main" id="{00000000-0008-0000-0000-0000EC000000}"/>
            </a:ext>
          </a:extLst>
        </xdr:cNvPr>
        <xdr:cNvSpPr/>
      </xdr:nvSpPr>
      <xdr:spPr>
        <a:xfrm>
          <a:off x="215660" y="36858461"/>
          <a:ext cx="283464" cy="255072"/>
        </a:xfrm>
        <a:prstGeom prst="roundRect">
          <a:avLst/>
        </a:pr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rtlCol="0" anchor="ctr" anchorCtr="1"/>
        <a:lstStyle/>
        <a:p>
          <a:pPr algn="l"/>
          <a:r>
            <a:rPr lang="en-US" sz="1600" b="0">
              <a:solidFill>
                <a:sysClr val="windowText" lastClr="000000"/>
              </a:solidFill>
            </a:rPr>
            <a:t>O</a:t>
          </a:r>
        </a:p>
      </xdr:txBody>
    </xdr:sp>
    <xdr:clientData/>
  </xdr:twoCellAnchor>
  <xdr:twoCellAnchor>
    <xdr:from>
      <xdr:col>1</xdr:col>
      <xdr:colOff>0</xdr:colOff>
      <xdr:row>457</xdr:row>
      <xdr:rowOff>2103</xdr:rowOff>
    </xdr:from>
    <xdr:to>
      <xdr:col>1</xdr:col>
      <xdr:colOff>283464</xdr:colOff>
      <xdr:row>457</xdr:row>
      <xdr:rowOff>257175</xdr:rowOff>
    </xdr:to>
    <xdr:sp macro="[0]!ShowHideSCorp" textlink="">
      <xdr:nvSpPr>
        <xdr:cNvPr id="241" name="Rounded Rectangle 240">
          <a:extLst>
            <a:ext uri="{FF2B5EF4-FFF2-40B4-BE49-F238E27FC236}">
              <a16:creationId xmlns:a16="http://schemas.microsoft.com/office/drawing/2014/main" id="{00000000-0008-0000-0000-0000F1000000}"/>
            </a:ext>
          </a:extLst>
        </xdr:cNvPr>
        <xdr:cNvSpPr/>
      </xdr:nvSpPr>
      <xdr:spPr>
        <a:xfrm>
          <a:off x="215660" y="43349839"/>
          <a:ext cx="283464" cy="255072"/>
        </a:xfrm>
        <a:prstGeom prst="roundRect">
          <a:avLst/>
        </a:pr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rtlCol="0" anchor="ctr" anchorCtr="1"/>
        <a:lstStyle/>
        <a:p>
          <a:pPr algn="l"/>
          <a:r>
            <a:rPr lang="en-US" sz="1600" b="0">
              <a:solidFill>
                <a:sysClr val="windowText" lastClr="000000"/>
              </a:solidFill>
            </a:rPr>
            <a:t>O</a:t>
          </a:r>
        </a:p>
      </xdr:txBody>
    </xdr:sp>
    <xdr:clientData/>
  </xdr:twoCellAnchor>
  <xdr:twoCellAnchor>
    <xdr:from>
      <xdr:col>3</xdr:col>
      <xdr:colOff>2271651</xdr:colOff>
      <xdr:row>612</xdr:row>
      <xdr:rowOff>64698</xdr:rowOff>
    </xdr:from>
    <xdr:to>
      <xdr:col>3</xdr:col>
      <xdr:colOff>2480123</xdr:colOff>
      <xdr:row>612</xdr:row>
      <xdr:rowOff>273170</xdr:rowOff>
    </xdr:to>
    <xdr:sp macro="CkUnckSummBoxes_Click" textlink="">
      <xdr:nvSpPr>
        <xdr:cNvPr id="246" name="Rectangle 245">
          <a:extLst>
            <a:ext uri="{FF2B5EF4-FFF2-40B4-BE49-F238E27FC236}">
              <a16:creationId xmlns:a16="http://schemas.microsoft.com/office/drawing/2014/main" id="{00000000-0008-0000-0000-0000F6000000}"/>
            </a:ext>
          </a:extLst>
        </xdr:cNvPr>
        <xdr:cNvSpPr>
          <a:spLocks noChangeAspect="1"/>
        </xdr:cNvSpPr>
      </xdr:nvSpPr>
      <xdr:spPr>
        <a:xfrm>
          <a:off x="3810028" y="69442641"/>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 </a:t>
          </a:r>
        </a:p>
      </xdr:txBody>
    </xdr:sp>
    <xdr:clientData/>
  </xdr:twoCellAnchor>
  <xdr:twoCellAnchor>
    <xdr:from>
      <xdr:col>6</xdr:col>
      <xdr:colOff>503207</xdr:colOff>
      <xdr:row>612</xdr:row>
      <xdr:rowOff>64698</xdr:rowOff>
    </xdr:from>
    <xdr:to>
      <xdr:col>6</xdr:col>
      <xdr:colOff>711679</xdr:colOff>
      <xdr:row>612</xdr:row>
      <xdr:rowOff>273170</xdr:rowOff>
    </xdr:to>
    <xdr:sp macro="CkUnckSummBoxes_Click" textlink="">
      <xdr:nvSpPr>
        <xdr:cNvPr id="247" name="Rectangle 246">
          <a:extLst>
            <a:ext uri="{FF2B5EF4-FFF2-40B4-BE49-F238E27FC236}">
              <a16:creationId xmlns:a16="http://schemas.microsoft.com/office/drawing/2014/main" id="{00000000-0008-0000-0000-0000F7000000}"/>
            </a:ext>
          </a:extLst>
        </xdr:cNvPr>
        <xdr:cNvSpPr>
          <a:spLocks noChangeAspect="1"/>
        </xdr:cNvSpPr>
      </xdr:nvSpPr>
      <xdr:spPr>
        <a:xfrm>
          <a:off x="6469811" y="69442641"/>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ysClr val="windowText" lastClr="000000"/>
              </a:solidFill>
              <a:latin typeface="+mn-lt"/>
              <a:ea typeface="+mn-ea"/>
              <a:cs typeface="+mn-cs"/>
            </a:rPr>
            <a:t> </a:t>
          </a:r>
        </a:p>
      </xdr:txBody>
    </xdr:sp>
    <xdr:clientData/>
  </xdr:twoCellAnchor>
  <xdr:twoCellAnchor>
    <xdr:from>
      <xdr:col>3</xdr:col>
      <xdr:colOff>2271651</xdr:colOff>
      <xdr:row>614</xdr:row>
      <xdr:rowOff>64698</xdr:rowOff>
    </xdr:from>
    <xdr:to>
      <xdr:col>3</xdr:col>
      <xdr:colOff>2480123</xdr:colOff>
      <xdr:row>614</xdr:row>
      <xdr:rowOff>273170</xdr:rowOff>
    </xdr:to>
    <xdr:sp macro="CkUnckSummBoxes_Click" textlink="">
      <xdr:nvSpPr>
        <xdr:cNvPr id="248" name="Rectangle 247">
          <a:extLst>
            <a:ext uri="{FF2B5EF4-FFF2-40B4-BE49-F238E27FC236}">
              <a16:creationId xmlns:a16="http://schemas.microsoft.com/office/drawing/2014/main" id="{00000000-0008-0000-0000-0000F8000000}"/>
            </a:ext>
          </a:extLst>
        </xdr:cNvPr>
        <xdr:cNvSpPr>
          <a:spLocks noChangeAspect="1"/>
        </xdr:cNvSpPr>
      </xdr:nvSpPr>
      <xdr:spPr>
        <a:xfrm>
          <a:off x="3810028" y="69794887"/>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 </a:t>
          </a:r>
        </a:p>
      </xdr:txBody>
    </xdr:sp>
    <xdr:clientData/>
  </xdr:twoCellAnchor>
  <xdr:twoCellAnchor>
    <xdr:from>
      <xdr:col>6</xdr:col>
      <xdr:colOff>503207</xdr:colOff>
      <xdr:row>614</xdr:row>
      <xdr:rowOff>64698</xdr:rowOff>
    </xdr:from>
    <xdr:to>
      <xdr:col>6</xdr:col>
      <xdr:colOff>711679</xdr:colOff>
      <xdr:row>614</xdr:row>
      <xdr:rowOff>273170</xdr:rowOff>
    </xdr:to>
    <xdr:sp macro="CkUnckSummBoxes_Click" textlink="">
      <xdr:nvSpPr>
        <xdr:cNvPr id="249" name="Rectangle 248">
          <a:extLst>
            <a:ext uri="{FF2B5EF4-FFF2-40B4-BE49-F238E27FC236}">
              <a16:creationId xmlns:a16="http://schemas.microsoft.com/office/drawing/2014/main" id="{00000000-0008-0000-0000-0000F9000000}"/>
            </a:ext>
          </a:extLst>
        </xdr:cNvPr>
        <xdr:cNvSpPr>
          <a:spLocks noChangeAspect="1"/>
        </xdr:cNvSpPr>
      </xdr:nvSpPr>
      <xdr:spPr>
        <a:xfrm>
          <a:off x="6469811" y="69794887"/>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ysClr val="windowText" lastClr="000000"/>
              </a:solidFill>
              <a:latin typeface="+mn-lt"/>
              <a:ea typeface="+mn-ea"/>
              <a:cs typeface="+mn-cs"/>
            </a:rPr>
            <a:t> </a:t>
          </a:r>
        </a:p>
      </xdr:txBody>
    </xdr:sp>
    <xdr:clientData/>
  </xdr:twoCellAnchor>
  <xdr:twoCellAnchor>
    <xdr:from>
      <xdr:col>3</xdr:col>
      <xdr:colOff>2271651</xdr:colOff>
      <xdr:row>613</xdr:row>
      <xdr:rowOff>64698</xdr:rowOff>
    </xdr:from>
    <xdr:to>
      <xdr:col>3</xdr:col>
      <xdr:colOff>2480123</xdr:colOff>
      <xdr:row>613</xdr:row>
      <xdr:rowOff>273170</xdr:rowOff>
    </xdr:to>
    <xdr:sp macro="CkUnckSummBoxes_Click" textlink="">
      <xdr:nvSpPr>
        <xdr:cNvPr id="270" name="Rectangle 269">
          <a:extLst>
            <a:ext uri="{FF2B5EF4-FFF2-40B4-BE49-F238E27FC236}">
              <a16:creationId xmlns:a16="http://schemas.microsoft.com/office/drawing/2014/main" id="{00000000-0008-0000-0000-00000E010000}"/>
            </a:ext>
          </a:extLst>
        </xdr:cNvPr>
        <xdr:cNvSpPr>
          <a:spLocks noChangeAspect="1"/>
        </xdr:cNvSpPr>
      </xdr:nvSpPr>
      <xdr:spPr>
        <a:xfrm>
          <a:off x="3810028" y="76487547"/>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 </a:t>
          </a:r>
        </a:p>
      </xdr:txBody>
    </xdr:sp>
    <xdr:clientData/>
  </xdr:twoCellAnchor>
  <xdr:twoCellAnchor>
    <xdr:from>
      <xdr:col>6</xdr:col>
      <xdr:colOff>503207</xdr:colOff>
      <xdr:row>613</xdr:row>
      <xdr:rowOff>64698</xdr:rowOff>
    </xdr:from>
    <xdr:to>
      <xdr:col>6</xdr:col>
      <xdr:colOff>711679</xdr:colOff>
      <xdr:row>613</xdr:row>
      <xdr:rowOff>273170</xdr:rowOff>
    </xdr:to>
    <xdr:sp macro="CkUnckSummBoxes_Click" textlink="">
      <xdr:nvSpPr>
        <xdr:cNvPr id="271" name="Rectangle 270">
          <a:extLst>
            <a:ext uri="{FF2B5EF4-FFF2-40B4-BE49-F238E27FC236}">
              <a16:creationId xmlns:a16="http://schemas.microsoft.com/office/drawing/2014/main" id="{00000000-0008-0000-0000-00000F010000}"/>
            </a:ext>
          </a:extLst>
        </xdr:cNvPr>
        <xdr:cNvSpPr>
          <a:spLocks noChangeAspect="1"/>
        </xdr:cNvSpPr>
      </xdr:nvSpPr>
      <xdr:spPr>
        <a:xfrm>
          <a:off x="6469811" y="76487547"/>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ysClr val="windowText" lastClr="000000"/>
              </a:solidFill>
              <a:latin typeface="+mn-lt"/>
              <a:ea typeface="+mn-ea"/>
              <a:cs typeface="+mn-cs"/>
            </a:rPr>
            <a:t> </a:t>
          </a:r>
        </a:p>
      </xdr:txBody>
    </xdr:sp>
    <xdr:clientData/>
  </xdr:twoCellAnchor>
  <xdr:twoCellAnchor>
    <xdr:from>
      <xdr:col>3</xdr:col>
      <xdr:colOff>2271651</xdr:colOff>
      <xdr:row>616</xdr:row>
      <xdr:rowOff>64698</xdr:rowOff>
    </xdr:from>
    <xdr:to>
      <xdr:col>3</xdr:col>
      <xdr:colOff>2480123</xdr:colOff>
      <xdr:row>616</xdr:row>
      <xdr:rowOff>273170</xdr:rowOff>
    </xdr:to>
    <xdr:sp macro="CkUnckSummBoxes_Click" textlink="">
      <xdr:nvSpPr>
        <xdr:cNvPr id="272" name="Rectangle 271">
          <a:extLst>
            <a:ext uri="{FF2B5EF4-FFF2-40B4-BE49-F238E27FC236}">
              <a16:creationId xmlns:a16="http://schemas.microsoft.com/office/drawing/2014/main" id="{00000000-0008-0000-0000-000010010000}"/>
            </a:ext>
          </a:extLst>
        </xdr:cNvPr>
        <xdr:cNvSpPr>
          <a:spLocks noChangeAspect="1"/>
        </xdr:cNvSpPr>
      </xdr:nvSpPr>
      <xdr:spPr>
        <a:xfrm>
          <a:off x="3810028" y="38179075"/>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 </a:t>
          </a:r>
        </a:p>
      </xdr:txBody>
    </xdr:sp>
    <xdr:clientData/>
  </xdr:twoCellAnchor>
  <xdr:twoCellAnchor>
    <xdr:from>
      <xdr:col>6</xdr:col>
      <xdr:colOff>503207</xdr:colOff>
      <xdr:row>616</xdr:row>
      <xdr:rowOff>64698</xdr:rowOff>
    </xdr:from>
    <xdr:to>
      <xdr:col>6</xdr:col>
      <xdr:colOff>711679</xdr:colOff>
      <xdr:row>616</xdr:row>
      <xdr:rowOff>273170</xdr:rowOff>
    </xdr:to>
    <xdr:sp macro="CkUnckSummBoxes_Click" textlink="">
      <xdr:nvSpPr>
        <xdr:cNvPr id="273" name="Rectangle 272">
          <a:extLst>
            <a:ext uri="{FF2B5EF4-FFF2-40B4-BE49-F238E27FC236}">
              <a16:creationId xmlns:a16="http://schemas.microsoft.com/office/drawing/2014/main" id="{00000000-0008-0000-0000-000011010000}"/>
            </a:ext>
          </a:extLst>
        </xdr:cNvPr>
        <xdr:cNvSpPr>
          <a:spLocks noChangeAspect="1"/>
        </xdr:cNvSpPr>
      </xdr:nvSpPr>
      <xdr:spPr>
        <a:xfrm>
          <a:off x="6469811" y="38179075"/>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ysClr val="windowText" lastClr="000000"/>
              </a:solidFill>
              <a:latin typeface="+mn-lt"/>
              <a:ea typeface="+mn-ea"/>
              <a:cs typeface="+mn-cs"/>
            </a:rPr>
            <a:t> </a:t>
          </a:r>
        </a:p>
      </xdr:txBody>
    </xdr:sp>
    <xdr:clientData/>
  </xdr:twoCellAnchor>
  <xdr:twoCellAnchor>
    <xdr:from>
      <xdr:col>3</xdr:col>
      <xdr:colOff>2271651</xdr:colOff>
      <xdr:row>618</xdr:row>
      <xdr:rowOff>64698</xdr:rowOff>
    </xdr:from>
    <xdr:to>
      <xdr:col>3</xdr:col>
      <xdr:colOff>2480123</xdr:colOff>
      <xdr:row>618</xdr:row>
      <xdr:rowOff>273170</xdr:rowOff>
    </xdr:to>
    <xdr:sp macro="CkUnckSummBoxes_Click" textlink="">
      <xdr:nvSpPr>
        <xdr:cNvPr id="274" name="Rectangle 273">
          <a:extLst>
            <a:ext uri="{FF2B5EF4-FFF2-40B4-BE49-F238E27FC236}">
              <a16:creationId xmlns:a16="http://schemas.microsoft.com/office/drawing/2014/main" id="{00000000-0008-0000-0000-000012010000}"/>
            </a:ext>
          </a:extLst>
        </xdr:cNvPr>
        <xdr:cNvSpPr>
          <a:spLocks noChangeAspect="1"/>
        </xdr:cNvSpPr>
      </xdr:nvSpPr>
      <xdr:spPr>
        <a:xfrm>
          <a:off x="3810028" y="38883566"/>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 </a:t>
          </a:r>
        </a:p>
      </xdr:txBody>
    </xdr:sp>
    <xdr:clientData/>
  </xdr:twoCellAnchor>
  <xdr:twoCellAnchor>
    <xdr:from>
      <xdr:col>6</xdr:col>
      <xdr:colOff>503207</xdr:colOff>
      <xdr:row>618</xdr:row>
      <xdr:rowOff>64698</xdr:rowOff>
    </xdr:from>
    <xdr:to>
      <xdr:col>6</xdr:col>
      <xdr:colOff>711679</xdr:colOff>
      <xdr:row>618</xdr:row>
      <xdr:rowOff>273170</xdr:rowOff>
    </xdr:to>
    <xdr:sp macro="CkUnckSummBoxes_Click" textlink="">
      <xdr:nvSpPr>
        <xdr:cNvPr id="275" name="Rectangle 274">
          <a:extLst>
            <a:ext uri="{FF2B5EF4-FFF2-40B4-BE49-F238E27FC236}">
              <a16:creationId xmlns:a16="http://schemas.microsoft.com/office/drawing/2014/main" id="{00000000-0008-0000-0000-000013010000}"/>
            </a:ext>
          </a:extLst>
        </xdr:cNvPr>
        <xdr:cNvSpPr>
          <a:spLocks noChangeAspect="1"/>
        </xdr:cNvSpPr>
      </xdr:nvSpPr>
      <xdr:spPr>
        <a:xfrm>
          <a:off x="6469811" y="38883566"/>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ysClr val="windowText" lastClr="000000"/>
              </a:solidFill>
              <a:latin typeface="+mn-lt"/>
              <a:ea typeface="+mn-ea"/>
              <a:cs typeface="+mn-cs"/>
            </a:rPr>
            <a:t> </a:t>
          </a:r>
        </a:p>
      </xdr:txBody>
    </xdr:sp>
    <xdr:clientData/>
  </xdr:twoCellAnchor>
  <xdr:twoCellAnchor>
    <xdr:from>
      <xdr:col>3</xdr:col>
      <xdr:colOff>2271651</xdr:colOff>
      <xdr:row>617</xdr:row>
      <xdr:rowOff>64698</xdr:rowOff>
    </xdr:from>
    <xdr:to>
      <xdr:col>3</xdr:col>
      <xdr:colOff>2480123</xdr:colOff>
      <xdr:row>617</xdr:row>
      <xdr:rowOff>273170</xdr:rowOff>
    </xdr:to>
    <xdr:sp macro="CkUnckSummBoxes_Click" textlink="">
      <xdr:nvSpPr>
        <xdr:cNvPr id="276" name="Rectangle 275">
          <a:extLst>
            <a:ext uri="{FF2B5EF4-FFF2-40B4-BE49-F238E27FC236}">
              <a16:creationId xmlns:a16="http://schemas.microsoft.com/office/drawing/2014/main" id="{00000000-0008-0000-0000-000014010000}"/>
            </a:ext>
          </a:extLst>
        </xdr:cNvPr>
        <xdr:cNvSpPr>
          <a:spLocks noChangeAspect="1"/>
        </xdr:cNvSpPr>
      </xdr:nvSpPr>
      <xdr:spPr>
        <a:xfrm>
          <a:off x="3810028" y="38531321"/>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 </a:t>
          </a:r>
        </a:p>
      </xdr:txBody>
    </xdr:sp>
    <xdr:clientData/>
  </xdr:twoCellAnchor>
  <xdr:twoCellAnchor>
    <xdr:from>
      <xdr:col>6</xdr:col>
      <xdr:colOff>503207</xdr:colOff>
      <xdr:row>617</xdr:row>
      <xdr:rowOff>64698</xdr:rowOff>
    </xdr:from>
    <xdr:to>
      <xdr:col>6</xdr:col>
      <xdr:colOff>711679</xdr:colOff>
      <xdr:row>617</xdr:row>
      <xdr:rowOff>273170</xdr:rowOff>
    </xdr:to>
    <xdr:sp macro="CkUnckSummBoxes_Click" textlink="">
      <xdr:nvSpPr>
        <xdr:cNvPr id="277" name="Rectangle 276">
          <a:extLst>
            <a:ext uri="{FF2B5EF4-FFF2-40B4-BE49-F238E27FC236}">
              <a16:creationId xmlns:a16="http://schemas.microsoft.com/office/drawing/2014/main" id="{00000000-0008-0000-0000-000015010000}"/>
            </a:ext>
          </a:extLst>
        </xdr:cNvPr>
        <xdr:cNvSpPr>
          <a:spLocks noChangeAspect="1"/>
        </xdr:cNvSpPr>
      </xdr:nvSpPr>
      <xdr:spPr>
        <a:xfrm>
          <a:off x="6469811" y="38531321"/>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ysClr val="windowText" lastClr="000000"/>
              </a:solidFill>
              <a:latin typeface="+mn-lt"/>
              <a:ea typeface="+mn-ea"/>
              <a:cs typeface="+mn-cs"/>
            </a:rPr>
            <a:t> </a:t>
          </a:r>
        </a:p>
      </xdr:txBody>
    </xdr:sp>
    <xdr:clientData/>
  </xdr:twoCellAnchor>
  <xdr:twoCellAnchor>
    <xdr:from>
      <xdr:col>3</xdr:col>
      <xdr:colOff>2271651</xdr:colOff>
      <xdr:row>620</xdr:row>
      <xdr:rowOff>64698</xdr:rowOff>
    </xdr:from>
    <xdr:to>
      <xdr:col>3</xdr:col>
      <xdr:colOff>2480123</xdr:colOff>
      <xdr:row>620</xdr:row>
      <xdr:rowOff>273170</xdr:rowOff>
    </xdr:to>
    <xdr:sp macro="CkUnckSummBoxes_Click" textlink="">
      <xdr:nvSpPr>
        <xdr:cNvPr id="278" name="Rectangle 277">
          <a:extLst>
            <a:ext uri="{FF2B5EF4-FFF2-40B4-BE49-F238E27FC236}">
              <a16:creationId xmlns:a16="http://schemas.microsoft.com/office/drawing/2014/main" id="{00000000-0008-0000-0000-000016010000}"/>
            </a:ext>
          </a:extLst>
        </xdr:cNvPr>
        <xdr:cNvSpPr>
          <a:spLocks noChangeAspect="1"/>
        </xdr:cNvSpPr>
      </xdr:nvSpPr>
      <xdr:spPr>
        <a:xfrm>
          <a:off x="3810028" y="39588056"/>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 </a:t>
          </a:r>
        </a:p>
      </xdr:txBody>
    </xdr:sp>
    <xdr:clientData/>
  </xdr:twoCellAnchor>
  <xdr:twoCellAnchor>
    <xdr:from>
      <xdr:col>6</xdr:col>
      <xdr:colOff>503207</xdr:colOff>
      <xdr:row>620</xdr:row>
      <xdr:rowOff>64698</xdr:rowOff>
    </xdr:from>
    <xdr:to>
      <xdr:col>6</xdr:col>
      <xdr:colOff>711679</xdr:colOff>
      <xdr:row>620</xdr:row>
      <xdr:rowOff>273170</xdr:rowOff>
    </xdr:to>
    <xdr:sp macro="CkUnckSummBoxes_Click" textlink="">
      <xdr:nvSpPr>
        <xdr:cNvPr id="279" name="Rectangle 278">
          <a:extLst>
            <a:ext uri="{FF2B5EF4-FFF2-40B4-BE49-F238E27FC236}">
              <a16:creationId xmlns:a16="http://schemas.microsoft.com/office/drawing/2014/main" id="{00000000-0008-0000-0000-000017010000}"/>
            </a:ext>
          </a:extLst>
        </xdr:cNvPr>
        <xdr:cNvSpPr>
          <a:spLocks noChangeAspect="1"/>
        </xdr:cNvSpPr>
      </xdr:nvSpPr>
      <xdr:spPr>
        <a:xfrm>
          <a:off x="6469811" y="39588056"/>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ysClr val="windowText" lastClr="000000"/>
              </a:solidFill>
              <a:latin typeface="+mn-lt"/>
              <a:ea typeface="+mn-ea"/>
              <a:cs typeface="+mn-cs"/>
            </a:rPr>
            <a:t> </a:t>
          </a:r>
        </a:p>
      </xdr:txBody>
    </xdr:sp>
    <xdr:clientData/>
  </xdr:twoCellAnchor>
  <xdr:twoCellAnchor>
    <xdr:from>
      <xdr:col>3</xdr:col>
      <xdr:colOff>2271651</xdr:colOff>
      <xdr:row>622</xdr:row>
      <xdr:rowOff>64698</xdr:rowOff>
    </xdr:from>
    <xdr:to>
      <xdr:col>3</xdr:col>
      <xdr:colOff>2480123</xdr:colOff>
      <xdr:row>622</xdr:row>
      <xdr:rowOff>273170</xdr:rowOff>
    </xdr:to>
    <xdr:sp macro="CkUnckSummBoxes_Click" textlink="">
      <xdr:nvSpPr>
        <xdr:cNvPr id="280" name="Rectangle 279">
          <a:extLst>
            <a:ext uri="{FF2B5EF4-FFF2-40B4-BE49-F238E27FC236}">
              <a16:creationId xmlns:a16="http://schemas.microsoft.com/office/drawing/2014/main" id="{00000000-0008-0000-0000-000018010000}"/>
            </a:ext>
          </a:extLst>
        </xdr:cNvPr>
        <xdr:cNvSpPr>
          <a:spLocks noChangeAspect="1"/>
        </xdr:cNvSpPr>
      </xdr:nvSpPr>
      <xdr:spPr>
        <a:xfrm>
          <a:off x="3810028" y="40292547"/>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 </a:t>
          </a:r>
        </a:p>
      </xdr:txBody>
    </xdr:sp>
    <xdr:clientData/>
  </xdr:twoCellAnchor>
  <xdr:twoCellAnchor>
    <xdr:from>
      <xdr:col>6</xdr:col>
      <xdr:colOff>503207</xdr:colOff>
      <xdr:row>622</xdr:row>
      <xdr:rowOff>64698</xdr:rowOff>
    </xdr:from>
    <xdr:to>
      <xdr:col>6</xdr:col>
      <xdr:colOff>711679</xdr:colOff>
      <xdr:row>622</xdr:row>
      <xdr:rowOff>273170</xdr:rowOff>
    </xdr:to>
    <xdr:sp macro="CkUnckSummBoxes_Click" textlink="">
      <xdr:nvSpPr>
        <xdr:cNvPr id="281" name="Rectangle 280">
          <a:extLst>
            <a:ext uri="{FF2B5EF4-FFF2-40B4-BE49-F238E27FC236}">
              <a16:creationId xmlns:a16="http://schemas.microsoft.com/office/drawing/2014/main" id="{00000000-0008-0000-0000-000019010000}"/>
            </a:ext>
          </a:extLst>
        </xdr:cNvPr>
        <xdr:cNvSpPr>
          <a:spLocks noChangeAspect="1"/>
        </xdr:cNvSpPr>
      </xdr:nvSpPr>
      <xdr:spPr>
        <a:xfrm>
          <a:off x="6469811" y="40292547"/>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ysClr val="windowText" lastClr="000000"/>
              </a:solidFill>
              <a:latin typeface="+mn-lt"/>
              <a:ea typeface="+mn-ea"/>
              <a:cs typeface="+mn-cs"/>
            </a:rPr>
            <a:t> </a:t>
          </a:r>
        </a:p>
      </xdr:txBody>
    </xdr:sp>
    <xdr:clientData/>
  </xdr:twoCellAnchor>
  <xdr:twoCellAnchor>
    <xdr:from>
      <xdr:col>3</xdr:col>
      <xdr:colOff>2271651</xdr:colOff>
      <xdr:row>621</xdr:row>
      <xdr:rowOff>64698</xdr:rowOff>
    </xdr:from>
    <xdr:to>
      <xdr:col>3</xdr:col>
      <xdr:colOff>2480123</xdr:colOff>
      <xdr:row>621</xdr:row>
      <xdr:rowOff>273170</xdr:rowOff>
    </xdr:to>
    <xdr:sp macro="CkUnckSummBoxes_Click" textlink="">
      <xdr:nvSpPr>
        <xdr:cNvPr id="282" name="Rectangle 281">
          <a:extLst>
            <a:ext uri="{FF2B5EF4-FFF2-40B4-BE49-F238E27FC236}">
              <a16:creationId xmlns:a16="http://schemas.microsoft.com/office/drawing/2014/main" id="{00000000-0008-0000-0000-00001A010000}"/>
            </a:ext>
          </a:extLst>
        </xdr:cNvPr>
        <xdr:cNvSpPr>
          <a:spLocks noChangeAspect="1"/>
        </xdr:cNvSpPr>
      </xdr:nvSpPr>
      <xdr:spPr>
        <a:xfrm>
          <a:off x="3810028" y="39940302"/>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 </a:t>
          </a:r>
        </a:p>
      </xdr:txBody>
    </xdr:sp>
    <xdr:clientData/>
  </xdr:twoCellAnchor>
  <xdr:twoCellAnchor>
    <xdr:from>
      <xdr:col>6</xdr:col>
      <xdr:colOff>503207</xdr:colOff>
      <xdr:row>621</xdr:row>
      <xdr:rowOff>64698</xdr:rowOff>
    </xdr:from>
    <xdr:to>
      <xdr:col>6</xdr:col>
      <xdr:colOff>711679</xdr:colOff>
      <xdr:row>621</xdr:row>
      <xdr:rowOff>273170</xdr:rowOff>
    </xdr:to>
    <xdr:sp macro="CkUnckSummBoxes_Click" textlink="">
      <xdr:nvSpPr>
        <xdr:cNvPr id="283" name="Rectangle 282">
          <a:extLst>
            <a:ext uri="{FF2B5EF4-FFF2-40B4-BE49-F238E27FC236}">
              <a16:creationId xmlns:a16="http://schemas.microsoft.com/office/drawing/2014/main" id="{00000000-0008-0000-0000-00001B010000}"/>
            </a:ext>
          </a:extLst>
        </xdr:cNvPr>
        <xdr:cNvSpPr>
          <a:spLocks noChangeAspect="1"/>
        </xdr:cNvSpPr>
      </xdr:nvSpPr>
      <xdr:spPr>
        <a:xfrm>
          <a:off x="6469811" y="39940302"/>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ysClr val="windowText" lastClr="000000"/>
              </a:solidFill>
              <a:latin typeface="+mn-lt"/>
              <a:ea typeface="+mn-ea"/>
              <a:cs typeface="+mn-cs"/>
            </a:rPr>
            <a:t> </a:t>
          </a:r>
        </a:p>
      </xdr:txBody>
    </xdr:sp>
    <xdr:clientData/>
  </xdr:twoCellAnchor>
  <xdr:twoCellAnchor>
    <xdr:from>
      <xdr:col>3</xdr:col>
      <xdr:colOff>2271651</xdr:colOff>
      <xdr:row>624</xdr:row>
      <xdr:rowOff>64698</xdr:rowOff>
    </xdr:from>
    <xdr:to>
      <xdr:col>3</xdr:col>
      <xdr:colOff>2480123</xdr:colOff>
      <xdr:row>624</xdr:row>
      <xdr:rowOff>273170</xdr:rowOff>
    </xdr:to>
    <xdr:sp macro="CkUnckSummBoxes_Click" textlink="">
      <xdr:nvSpPr>
        <xdr:cNvPr id="284" name="Rectangle 283">
          <a:extLst>
            <a:ext uri="{FF2B5EF4-FFF2-40B4-BE49-F238E27FC236}">
              <a16:creationId xmlns:a16="http://schemas.microsoft.com/office/drawing/2014/main" id="{00000000-0008-0000-0000-00001C010000}"/>
            </a:ext>
          </a:extLst>
        </xdr:cNvPr>
        <xdr:cNvSpPr>
          <a:spLocks noChangeAspect="1"/>
        </xdr:cNvSpPr>
      </xdr:nvSpPr>
      <xdr:spPr>
        <a:xfrm>
          <a:off x="3810028" y="40997038"/>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 </a:t>
          </a:r>
        </a:p>
      </xdr:txBody>
    </xdr:sp>
    <xdr:clientData/>
  </xdr:twoCellAnchor>
  <xdr:twoCellAnchor>
    <xdr:from>
      <xdr:col>6</xdr:col>
      <xdr:colOff>503207</xdr:colOff>
      <xdr:row>624</xdr:row>
      <xdr:rowOff>64698</xdr:rowOff>
    </xdr:from>
    <xdr:to>
      <xdr:col>6</xdr:col>
      <xdr:colOff>711679</xdr:colOff>
      <xdr:row>624</xdr:row>
      <xdr:rowOff>273170</xdr:rowOff>
    </xdr:to>
    <xdr:sp macro="CkUnckSummBoxes_Click" textlink="">
      <xdr:nvSpPr>
        <xdr:cNvPr id="285" name="Rectangle 284">
          <a:extLst>
            <a:ext uri="{FF2B5EF4-FFF2-40B4-BE49-F238E27FC236}">
              <a16:creationId xmlns:a16="http://schemas.microsoft.com/office/drawing/2014/main" id="{00000000-0008-0000-0000-00001D010000}"/>
            </a:ext>
          </a:extLst>
        </xdr:cNvPr>
        <xdr:cNvSpPr>
          <a:spLocks noChangeAspect="1"/>
        </xdr:cNvSpPr>
      </xdr:nvSpPr>
      <xdr:spPr>
        <a:xfrm>
          <a:off x="6469811" y="40997038"/>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ysClr val="windowText" lastClr="000000"/>
              </a:solidFill>
              <a:latin typeface="+mn-lt"/>
              <a:ea typeface="+mn-ea"/>
              <a:cs typeface="+mn-cs"/>
            </a:rPr>
            <a:t> </a:t>
          </a:r>
        </a:p>
      </xdr:txBody>
    </xdr:sp>
    <xdr:clientData/>
  </xdr:twoCellAnchor>
  <xdr:twoCellAnchor>
    <xdr:from>
      <xdr:col>3</xdr:col>
      <xdr:colOff>2271651</xdr:colOff>
      <xdr:row>626</xdr:row>
      <xdr:rowOff>64698</xdr:rowOff>
    </xdr:from>
    <xdr:to>
      <xdr:col>3</xdr:col>
      <xdr:colOff>2480123</xdr:colOff>
      <xdr:row>626</xdr:row>
      <xdr:rowOff>273170</xdr:rowOff>
    </xdr:to>
    <xdr:sp macro="CkUnckSummBoxes_Click" textlink="">
      <xdr:nvSpPr>
        <xdr:cNvPr id="286" name="Rectangle 285">
          <a:extLst>
            <a:ext uri="{FF2B5EF4-FFF2-40B4-BE49-F238E27FC236}">
              <a16:creationId xmlns:a16="http://schemas.microsoft.com/office/drawing/2014/main" id="{00000000-0008-0000-0000-00001E010000}"/>
            </a:ext>
          </a:extLst>
        </xdr:cNvPr>
        <xdr:cNvSpPr>
          <a:spLocks noChangeAspect="1"/>
        </xdr:cNvSpPr>
      </xdr:nvSpPr>
      <xdr:spPr>
        <a:xfrm>
          <a:off x="3810028" y="41701528"/>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 </a:t>
          </a:r>
        </a:p>
      </xdr:txBody>
    </xdr:sp>
    <xdr:clientData/>
  </xdr:twoCellAnchor>
  <xdr:twoCellAnchor>
    <xdr:from>
      <xdr:col>6</xdr:col>
      <xdr:colOff>503207</xdr:colOff>
      <xdr:row>626</xdr:row>
      <xdr:rowOff>64698</xdr:rowOff>
    </xdr:from>
    <xdr:to>
      <xdr:col>6</xdr:col>
      <xdr:colOff>711679</xdr:colOff>
      <xdr:row>626</xdr:row>
      <xdr:rowOff>273170</xdr:rowOff>
    </xdr:to>
    <xdr:sp macro="CkUnckSummBoxes_Click" textlink="">
      <xdr:nvSpPr>
        <xdr:cNvPr id="287" name="Rectangle 286">
          <a:extLst>
            <a:ext uri="{FF2B5EF4-FFF2-40B4-BE49-F238E27FC236}">
              <a16:creationId xmlns:a16="http://schemas.microsoft.com/office/drawing/2014/main" id="{00000000-0008-0000-0000-00001F010000}"/>
            </a:ext>
          </a:extLst>
        </xdr:cNvPr>
        <xdr:cNvSpPr>
          <a:spLocks noChangeAspect="1"/>
        </xdr:cNvSpPr>
      </xdr:nvSpPr>
      <xdr:spPr>
        <a:xfrm>
          <a:off x="6469811" y="41701528"/>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ysClr val="windowText" lastClr="000000"/>
              </a:solidFill>
              <a:latin typeface="+mn-lt"/>
              <a:ea typeface="+mn-ea"/>
              <a:cs typeface="+mn-cs"/>
            </a:rPr>
            <a:t> </a:t>
          </a:r>
        </a:p>
      </xdr:txBody>
    </xdr:sp>
    <xdr:clientData/>
  </xdr:twoCellAnchor>
  <xdr:twoCellAnchor>
    <xdr:from>
      <xdr:col>3</xdr:col>
      <xdr:colOff>2271651</xdr:colOff>
      <xdr:row>625</xdr:row>
      <xdr:rowOff>64698</xdr:rowOff>
    </xdr:from>
    <xdr:to>
      <xdr:col>3</xdr:col>
      <xdr:colOff>2480123</xdr:colOff>
      <xdr:row>625</xdr:row>
      <xdr:rowOff>273170</xdr:rowOff>
    </xdr:to>
    <xdr:sp macro="CkUnckSummBoxes_Click" textlink="">
      <xdr:nvSpPr>
        <xdr:cNvPr id="288" name="Rectangle 287">
          <a:extLst>
            <a:ext uri="{FF2B5EF4-FFF2-40B4-BE49-F238E27FC236}">
              <a16:creationId xmlns:a16="http://schemas.microsoft.com/office/drawing/2014/main" id="{00000000-0008-0000-0000-000020010000}"/>
            </a:ext>
          </a:extLst>
        </xdr:cNvPr>
        <xdr:cNvSpPr>
          <a:spLocks noChangeAspect="1"/>
        </xdr:cNvSpPr>
      </xdr:nvSpPr>
      <xdr:spPr>
        <a:xfrm>
          <a:off x="3810028" y="41349283"/>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 </a:t>
          </a:r>
        </a:p>
      </xdr:txBody>
    </xdr:sp>
    <xdr:clientData/>
  </xdr:twoCellAnchor>
  <xdr:twoCellAnchor>
    <xdr:from>
      <xdr:col>6</xdr:col>
      <xdr:colOff>503207</xdr:colOff>
      <xdr:row>625</xdr:row>
      <xdr:rowOff>64698</xdr:rowOff>
    </xdr:from>
    <xdr:to>
      <xdr:col>6</xdr:col>
      <xdr:colOff>711679</xdr:colOff>
      <xdr:row>625</xdr:row>
      <xdr:rowOff>273170</xdr:rowOff>
    </xdr:to>
    <xdr:sp macro="CkUnckSummBoxes_Click" textlink="">
      <xdr:nvSpPr>
        <xdr:cNvPr id="289" name="Rectangle 288">
          <a:extLst>
            <a:ext uri="{FF2B5EF4-FFF2-40B4-BE49-F238E27FC236}">
              <a16:creationId xmlns:a16="http://schemas.microsoft.com/office/drawing/2014/main" id="{00000000-0008-0000-0000-000021010000}"/>
            </a:ext>
          </a:extLst>
        </xdr:cNvPr>
        <xdr:cNvSpPr>
          <a:spLocks noChangeAspect="1"/>
        </xdr:cNvSpPr>
      </xdr:nvSpPr>
      <xdr:spPr>
        <a:xfrm>
          <a:off x="6469811" y="41349283"/>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ysClr val="windowText" lastClr="000000"/>
              </a:solidFill>
              <a:latin typeface="+mn-lt"/>
              <a:ea typeface="+mn-ea"/>
              <a:cs typeface="+mn-cs"/>
            </a:rPr>
            <a:t> </a:t>
          </a:r>
        </a:p>
      </xdr:txBody>
    </xdr:sp>
    <xdr:clientData/>
  </xdr:twoCellAnchor>
  <xdr:twoCellAnchor>
    <xdr:from>
      <xdr:col>3</xdr:col>
      <xdr:colOff>2271651</xdr:colOff>
      <xdr:row>628</xdr:row>
      <xdr:rowOff>64698</xdr:rowOff>
    </xdr:from>
    <xdr:to>
      <xdr:col>3</xdr:col>
      <xdr:colOff>2480123</xdr:colOff>
      <xdr:row>628</xdr:row>
      <xdr:rowOff>273170</xdr:rowOff>
    </xdr:to>
    <xdr:sp macro="CkUnckSummBoxes_Click" textlink="">
      <xdr:nvSpPr>
        <xdr:cNvPr id="290" name="Rectangle 289">
          <a:extLst>
            <a:ext uri="{FF2B5EF4-FFF2-40B4-BE49-F238E27FC236}">
              <a16:creationId xmlns:a16="http://schemas.microsoft.com/office/drawing/2014/main" id="{00000000-0008-0000-0000-000022010000}"/>
            </a:ext>
          </a:extLst>
        </xdr:cNvPr>
        <xdr:cNvSpPr>
          <a:spLocks noChangeAspect="1"/>
        </xdr:cNvSpPr>
      </xdr:nvSpPr>
      <xdr:spPr>
        <a:xfrm>
          <a:off x="3810028" y="42406019"/>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 </a:t>
          </a:r>
        </a:p>
      </xdr:txBody>
    </xdr:sp>
    <xdr:clientData/>
  </xdr:twoCellAnchor>
  <xdr:twoCellAnchor>
    <xdr:from>
      <xdr:col>6</xdr:col>
      <xdr:colOff>503207</xdr:colOff>
      <xdr:row>628</xdr:row>
      <xdr:rowOff>64698</xdr:rowOff>
    </xdr:from>
    <xdr:to>
      <xdr:col>6</xdr:col>
      <xdr:colOff>711679</xdr:colOff>
      <xdr:row>628</xdr:row>
      <xdr:rowOff>273170</xdr:rowOff>
    </xdr:to>
    <xdr:sp macro="CkUnckSummBoxes_Click" textlink="">
      <xdr:nvSpPr>
        <xdr:cNvPr id="291" name="Rectangle 290">
          <a:extLst>
            <a:ext uri="{FF2B5EF4-FFF2-40B4-BE49-F238E27FC236}">
              <a16:creationId xmlns:a16="http://schemas.microsoft.com/office/drawing/2014/main" id="{00000000-0008-0000-0000-000023010000}"/>
            </a:ext>
          </a:extLst>
        </xdr:cNvPr>
        <xdr:cNvSpPr>
          <a:spLocks noChangeAspect="1"/>
        </xdr:cNvSpPr>
      </xdr:nvSpPr>
      <xdr:spPr>
        <a:xfrm>
          <a:off x="6469811" y="42406019"/>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ysClr val="windowText" lastClr="000000"/>
              </a:solidFill>
              <a:latin typeface="+mn-lt"/>
              <a:ea typeface="+mn-ea"/>
              <a:cs typeface="+mn-cs"/>
            </a:rPr>
            <a:t> </a:t>
          </a:r>
        </a:p>
      </xdr:txBody>
    </xdr:sp>
    <xdr:clientData/>
  </xdr:twoCellAnchor>
  <xdr:twoCellAnchor>
    <xdr:from>
      <xdr:col>3</xdr:col>
      <xdr:colOff>2271651</xdr:colOff>
      <xdr:row>630</xdr:row>
      <xdr:rowOff>64698</xdr:rowOff>
    </xdr:from>
    <xdr:to>
      <xdr:col>3</xdr:col>
      <xdr:colOff>2480123</xdr:colOff>
      <xdr:row>630</xdr:row>
      <xdr:rowOff>273170</xdr:rowOff>
    </xdr:to>
    <xdr:sp macro="CkUnckSummBoxes_Click" textlink="">
      <xdr:nvSpPr>
        <xdr:cNvPr id="292" name="Rectangle 291">
          <a:extLst>
            <a:ext uri="{FF2B5EF4-FFF2-40B4-BE49-F238E27FC236}">
              <a16:creationId xmlns:a16="http://schemas.microsoft.com/office/drawing/2014/main" id="{00000000-0008-0000-0000-000024010000}"/>
            </a:ext>
          </a:extLst>
        </xdr:cNvPr>
        <xdr:cNvSpPr>
          <a:spLocks noChangeAspect="1"/>
        </xdr:cNvSpPr>
      </xdr:nvSpPr>
      <xdr:spPr>
        <a:xfrm>
          <a:off x="3810028" y="43110509"/>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 </a:t>
          </a:r>
        </a:p>
      </xdr:txBody>
    </xdr:sp>
    <xdr:clientData/>
  </xdr:twoCellAnchor>
  <xdr:twoCellAnchor>
    <xdr:from>
      <xdr:col>6</xdr:col>
      <xdr:colOff>503207</xdr:colOff>
      <xdr:row>630</xdr:row>
      <xdr:rowOff>64698</xdr:rowOff>
    </xdr:from>
    <xdr:to>
      <xdr:col>6</xdr:col>
      <xdr:colOff>711679</xdr:colOff>
      <xdr:row>630</xdr:row>
      <xdr:rowOff>273170</xdr:rowOff>
    </xdr:to>
    <xdr:sp macro="CkUnckSummBoxes_Click" textlink="">
      <xdr:nvSpPr>
        <xdr:cNvPr id="293" name="Rectangle 292">
          <a:extLst>
            <a:ext uri="{FF2B5EF4-FFF2-40B4-BE49-F238E27FC236}">
              <a16:creationId xmlns:a16="http://schemas.microsoft.com/office/drawing/2014/main" id="{00000000-0008-0000-0000-000025010000}"/>
            </a:ext>
          </a:extLst>
        </xdr:cNvPr>
        <xdr:cNvSpPr>
          <a:spLocks noChangeAspect="1"/>
        </xdr:cNvSpPr>
      </xdr:nvSpPr>
      <xdr:spPr>
        <a:xfrm>
          <a:off x="6469811" y="43110509"/>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ysClr val="windowText" lastClr="000000"/>
              </a:solidFill>
              <a:latin typeface="+mn-lt"/>
              <a:ea typeface="+mn-ea"/>
              <a:cs typeface="+mn-cs"/>
            </a:rPr>
            <a:t> </a:t>
          </a:r>
        </a:p>
      </xdr:txBody>
    </xdr:sp>
    <xdr:clientData/>
  </xdr:twoCellAnchor>
  <xdr:twoCellAnchor>
    <xdr:from>
      <xdr:col>3</xdr:col>
      <xdr:colOff>2271651</xdr:colOff>
      <xdr:row>629</xdr:row>
      <xdr:rowOff>64698</xdr:rowOff>
    </xdr:from>
    <xdr:to>
      <xdr:col>3</xdr:col>
      <xdr:colOff>2480123</xdr:colOff>
      <xdr:row>629</xdr:row>
      <xdr:rowOff>273170</xdr:rowOff>
    </xdr:to>
    <xdr:sp macro="CkUnckSummBoxes_Click" textlink="">
      <xdr:nvSpPr>
        <xdr:cNvPr id="294" name="Rectangle 293">
          <a:extLst>
            <a:ext uri="{FF2B5EF4-FFF2-40B4-BE49-F238E27FC236}">
              <a16:creationId xmlns:a16="http://schemas.microsoft.com/office/drawing/2014/main" id="{00000000-0008-0000-0000-000026010000}"/>
            </a:ext>
          </a:extLst>
        </xdr:cNvPr>
        <xdr:cNvSpPr>
          <a:spLocks noChangeAspect="1"/>
        </xdr:cNvSpPr>
      </xdr:nvSpPr>
      <xdr:spPr>
        <a:xfrm>
          <a:off x="3810028" y="42758264"/>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 </a:t>
          </a:r>
        </a:p>
      </xdr:txBody>
    </xdr:sp>
    <xdr:clientData/>
  </xdr:twoCellAnchor>
  <xdr:twoCellAnchor>
    <xdr:from>
      <xdr:col>6</xdr:col>
      <xdr:colOff>503207</xdr:colOff>
      <xdr:row>629</xdr:row>
      <xdr:rowOff>64698</xdr:rowOff>
    </xdr:from>
    <xdr:to>
      <xdr:col>6</xdr:col>
      <xdr:colOff>711679</xdr:colOff>
      <xdr:row>629</xdr:row>
      <xdr:rowOff>273170</xdr:rowOff>
    </xdr:to>
    <xdr:sp macro="CkUnckSummBoxes_Click" textlink="">
      <xdr:nvSpPr>
        <xdr:cNvPr id="295" name="Rectangle 294">
          <a:extLst>
            <a:ext uri="{FF2B5EF4-FFF2-40B4-BE49-F238E27FC236}">
              <a16:creationId xmlns:a16="http://schemas.microsoft.com/office/drawing/2014/main" id="{00000000-0008-0000-0000-000027010000}"/>
            </a:ext>
          </a:extLst>
        </xdr:cNvPr>
        <xdr:cNvSpPr>
          <a:spLocks noChangeAspect="1"/>
        </xdr:cNvSpPr>
      </xdr:nvSpPr>
      <xdr:spPr>
        <a:xfrm>
          <a:off x="6469811" y="42758264"/>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ysClr val="windowText" lastClr="000000"/>
              </a:solidFill>
              <a:latin typeface="+mn-lt"/>
              <a:ea typeface="+mn-ea"/>
              <a:cs typeface="+mn-cs"/>
            </a:rPr>
            <a:t> </a:t>
          </a:r>
        </a:p>
      </xdr:txBody>
    </xdr:sp>
    <xdr:clientData/>
  </xdr:twoCellAnchor>
  <xdr:twoCellAnchor>
    <xdr:from>
      <xdr:col>3</xdr:col>
      <xdr:colOff>2271651</xdr:colOff>
      <xdr:row>632</xdr:row>
      <xdr:rowOff>64698</xdr:rowOff>
    </xdr:from>
    <xdr:to>
      <xdr:col>3</xdr:col>
      <xdr:colOff>2480123</xdr:colOff>
      <xdr:row>632</xdr:row>
      <xdr:rowOff>273170</xdr:rowOff>
    </xdr:to>
    <xdr:sp macro="CkUnckSummBoxes_Click" textlink="">
      <xdr:nvSpPr>
        <xdr:cNvPr id="296" name="Rectangle 295">
          <a:extLst>
            <a:ext uri="{FF2B5EF4-FFF2-40B4-BE49-F238E27FC236}">
              <a16:creationId xmlns:a16="http://schemas.microsoft.com/office/drawing/2014/main" id="{00000000-0008-0000-0000-000028010000}"/>
            </a:ext>
          </a:extLst>
        </xdr:cNvPr>
        <xdr:cNvSpPr>
          <a:spLocks noChangeAspect="1"/>
        </xdr:cNvSpPr>
      </xdr:nvSpPr>
      <xdr:spPr>
        <a:xfrm>
          <a:off x="3810028" y="43815000"/>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 </a:t>
          </a:r>
        </a:p>
      </xdr:txBody>
    </xdr:sp>
    <xdr:clientData/>
  </xdr:twoCellAnchor>
  <xdr:twoCellAnchor>
    <xdr:from>
      <xdr:col>6</xdr:col>
      <xdr:colOff>503207</xdr:colOff>
      <xdr:row>632</xdr:row>
      <xdr:rowOff>64698</xdr:rowOff>
    </xdr:from>
    <xdr:to>
      <xdr:col>6</xdr:col>
      <xdr:colOff>711679</xdr:colOff>
      <xdr:row>632</xdr:row>
      <xdr:rowOff>273170</xdr:rowOff>
    </xdr:to>
    <xdr:sp macro="CkUnckSummBoxes_Click" textlink="">
      <xdr:nvSpPr>
        <xdr:cNvPr id="297" name="Rectangle 296">
          <a:extLst>
            <a:ext uri="{FF2B5EF4-FFF2-40B4-BE49-F238E27FC236}">
              <a16:creationId xmlns:a16="http://schemas.microsoft.com/office/drawing/2014/main" id="{00000000-0008-0000-0000-000029010000}"/>
            </a:ext>
          </a:extLst>
        </xdr:cNvPr>
        <xdr:cNvSpPr>
          <a:spLocks noChangeAspect="1"/>
        </xdr:cNvSpPr>
      </xdr:nvSpPr>
      <xdr:spPr>
        <a:xfrm>
          <a:off x="6469811" y="43815000"/>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ysClr val="windowText" lastClr="000000"/>
              </a:solidFill>
              <a:latin typeface="+mn-lt"/>
              <a:ea typeface="+mn-ea"/>
              <a:cs typeface="+mn-cs"/>
            </a:rPr>
            <a:t> </a:t>
          </a:r>
        </a:p>
      </xdr:txBody>
    </xdr:sp>
    <xdr:clientData/>
  </xdr:twoCellAnchor>
  <xdr:twoCellAnchor>
    <xdr:from>
      <xdr:col>3</xdr:col>
      <xdr:colOff>2271651</xdr:colOff>
      <xdr:row>634</xdr:row>
      <xdr:rowOff>64698</xdr:rowOff>
    </xdr:from>
    <xdr:to>
      <xdr:col>3</xdr:col>
      <xdr:colOff>2480123</xdr:colOff>
      <xdr:row>634</xdr:row>
      <xdr:rowOff>273170</xdr:rowOff>
    </xdr:to>
    <xdr:sp macro="CkUnckSummBoxes_Click" textlink="">
      <xdr:nvSpPr>
        <xdr:cNvPr id="298" name="Rectangle 297">
          <a:extLst>
            <a:ext uri="{FF2B5EF4-FFF2-40B4-BE49-F238E27FC236}">
              <a16:creationId xmlns:a16="http://schemas.microsoft.com/office/drawing/2014/main" id="{00000000-0008-0000-0000-00002A010000}"/>
            </a:ext>
          </a:extLst>
        </xdr:cNvPr>
        <xdr:cNvSpPr>
          <a:spLocks noChangeAspect="1"/>
        </xdr:cNvSpPr>
      </xdr:nvSpPr>
      <xdr:spPr>
        <a:xfrm>
          <a:off x="3810028" y="44519490"/>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 </a:t>
          </a:r>
        </a:p>
      </xdr:txBody>
    </xdr:sp>
    <xdr:clientData/>
  </xdr:twoCellAnchor>
  <xdr:twoCellAnchor>
    <xdr:from>
      <xdr:col>6</xdr:col>
      <xdr:colOff>503207</xdr:colOff>
      <xdr:row>634</xdr:row>
      <xdr:rowOff>64698</xdr:rowOff>
    </xdr:from>
    <xdr:to>
      <xdr:col>6</xdr:col>
      <xdr:colOff>711679</xdr:colOff>
      <xdr:row>634</xdr:row>
      <xdr:rowOff>273170</xdr:rowOff>
    </xdr:to>
    <xdr:sp macro="CkUnckSummBoxes_Click" textlink="">
      <xdr:nvSpPr>
        <xdr:cNvPr id="299" name="Rectangle 298">
          <a:extLst>
            <a:ext uri="{FF2B5EF4-FFF2-40B4-BE49-F238E27FC236}">
              <a16:creationId xmlns:a16="http://schemas.microsoft.com/office/drawing/2014/main" id="{00000000-0008-0000-0000-00002B010000}"/>
            </a:ext>
          </a:extLst>
        </xdr:cNvPr>
        <xdr:cNvSpPr>
          <a:spLocks noChangeAspect="1"/>
        </xdr:cNvSpPr>
      </xdr:nvSpPr>
      <xdr:spPr>
        <a:xfrm>
          <a:off x="6469811" y="44519490"/>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ysClr val="windowText" lastClr="000000"/>
              </a:solidFill>
              <a:latin typeface="+mn-lt"/>
              <a:ea typeface="+mn-ea"/>
              <a:cs typeface="+mn-cs"/>
            </a:rPr>
            <a:t> </a:t>
          </a:r>
        </a:p>
      </xdr:txBody>
    </xdr:sp>
    <xdr:clientData/>
  </xdr:twoCellAnchor>
  <xdr:twoCellAnchor>
    <xdr:from>
      <xdr:col>3</xdr:col>
      <xdr:colOff>2271651</xdr:colOff>
      <xdr:row>633</xdr:row>
      <xdr:rowOff>64698</xdr:rowOff>
    </xdr:from>
    <xdr:to>
      <xdr:col>3</xdr:col>
      <xdr:colOff>2480123</xdr:colOff>
      <xdr:row>633</xdr:row>
      <xdr:rowOff>273170</xdr:rowOff>
    </xdr:to>
    <xdr:sp macro="CkUnckSummBoxes_Click" textlink="">
      <xdr:nvSpPr>
        <xdr:cNvPr id="300" name="Rectangle 299">
          <a:extLst>
            <a:ext uri="{FF2B5EF4-FFF2-40B4-BE49-F238E27FC236}">
              <a16:creationId xmlns:a16="http://schemas.microsoft.com/office/drawing/2014/main" id="{00000000-0008-0000-0000-00002C010000}"/>
            </a:ext>
          </a:extLst>
        </xdr:cNvPr>
        <xdr:cNvSpPr>
          <a:spLocks noChangeAspect="1"/>
        </xdr:cNvSpPr>
      </xdr:nvSpPr>
      <xdr:spPr>
        <a:xfrm>
          <a:off x="3810028" y="44167245"/>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 </a:t>
          </a:r>
        </a:p>
      </xdr:txBody>
    </xdr:sp>
    <xdr:clientData/>
  </xdr:twoCellAnchor>
  <xdr:twoCellAnchor>
    <xdr:from>
      <xdr:col>6</xdr:col>
      <xdr:colOff>503207</xdr:colOff>
      <xdr:row>633</xdr:row>
      <xdr:rowOff>64698</xdr:rowOff>
    </xdr:from>
    <xdr:to>
      <xdr:col>6</xdr:col>
      <xdr:colOff>711679</xdr:colOff>
      <xdr:row>633</xdr:row>
      <xdr:rowOff>273170</xdr:rowOff>
    </xdr:to>
    <xdr:sp macro="CkUnckSummBoxes_Click" textlink="">
      <xdr:nvSpPr>
        <xdr:cNvPr id="301" name="Rectangle 300">
          <a:extLst>
            <a:ext uri="{FF2B5EF4-FFF2-40B4-BE49-F238E27FC236}">
              <a16:creationId xmlns:a16="http://schemas.microsoft.com/office/drawing/2014/main" id="{00000000-0008-0000-0000-00002D010000}"/>
            </a:ext>
          </a:extLst>
        </xdr:cNvPr>
        <xdr:cNvSpPr>
          <a:spLocks noChangeAspect="1"/>
        </xdr:cNvSpPr>
      </xdr:nvSpPr>
      <xdr:spPr>
        <a:xfrm>
          <a:off x="6469811" y="44167245"/>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ysClr val="windowText" lastClr="000000"/>
              </a:solidFill>
              <a:latin typeface="+mn-lt"/>
              <a:ea typeface="+mn-ea"/>
              <a:cs typeface="+mn-cs"/>
            </a:rPr>
            <a:t> </a:t>
          </a:r>
        </a:p>
      </xdr:txBody>
    </xdr:sp>
    <xdr:clientData/>
  </xdr:twoCellAnchor>
  <xdr:twoCellAnchor>
    <xdr:from>
      <xdr:col>1</xdr:col>
      <xdr:colOff>0</xdr:colOff>
      <xdr:row>516</xdr:row>
      <xdr:rowOff>2103</xdr:rowOff>
    </xdr:from>
    <xdr:to>
      <xdr:col>1</xdr:col>
      <xdr:colOff>283464</xdr:colOff>
      <xdr:row>516</xdr:row>
      <xdr:rowOff>257175</xdr:rowOff>
    </xdr:to>
    <xdr:sp macro="[0]!ShowHideRegCorp" textlink="">
      <xdr:nvSpPr>
        <xdr:cNvPr id="254" name="Rounded Rectangle 253">
          <a:extLst>
            <a:ext uri="{FF2B5EF4-FFF2-40B4-BE49-F238E27FC236}">
              <a16:creationId xmlns:a16="http://schemas.microsoft.com/office/drawing/2014/main" id="{00000000-0008-0000-0000-0000FE000000}"/>
            </a:ext>
          </a:extLst>
        </xdr:cNvPr>
        <xdr:cNvSpPr/>
      </xdr:nvSpPr>
      <xdr:spPr>
        <a:xfrm>
          <a:off x="215660" y="133790612"/>
          <a:ext cx="283464" cy="255072"/>
        </a:xfrm>
        <a:prstGeom prst="roundRect">
          <a:avLst/>
        </a:pr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rtlCol="0" anchor="ctr" anchorCtr="1"/>
        <a:lstStyle/>
        <a:p>
          <a:pPr algn="l"/>
          <a:r>
            <a:rPr lang="en-US" sz="1600" b="0">
              <a:solidFill>
                <a:sysClr val="windowText" lastClr="000000"/>
              </a:solidFill>
            </a:rPr>
            <a:t>O</a:t>
          </a:r>
        </a:p>
      </xdr:txBody>
    </xdr:sp>
    <xdr:clientData/>
  </xdr:twoCellAnchor>
  <xdr:twoCellAnchor>
    <xdr:from>
      <xdr:col>1</xdr:col>
      <xdr:colOff>0</xdr:colOff>
      <xdr:row>543</xdr:row>
      <xdr:rowOff>2103</xdr:rowOff>
    </xdr:from>
    <xdr:to>
      <xdr:col>1</xdr:col>
      <xdr:colOff>283464</xdr:colOff>
      <xdr:row>543</xdr:row>
      <xdr:rowOff>257175</xdr:rowOff>
    </xdr:to>
    <xdr:sp macro="[0]!ShowHideRegCorp" textlink="">
      <xdr:nvSpPr>
        <xdr:cNvPr id="259" name="Rounded Rectangle 258">
          <a:extLst>
            <a:ext uri="{FF2B5EF4-FFF2-40B4-BE49-F238E27FC236}">
              <a16:creationId xmlns:a16="http://schemas.microsoft.com/office/drawing/2014/main" id="{00000000-0008-0000-0000-000003010000}"/>
            </a:ext>
          </a:extLst>
        </xdr:cNvPr>
        <xdr:cNvSpPr/>
      </xdr:nvSpPr>
      <xdr:spPr>
        <a:xfrm>
          <a:off x="215660" y="140260424"/>
          <a:ext cx="283464" cy="255072"/>
        </a:xfrm>
        <a:prstGeom prst="roundRect">
          <a:avLst/>
        </a:pr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rtlCol="0" anchor="ctr" anchorCtr="1"/>
        <a:lstStyle/>
        <a:p>
          <a:pPr algn="l"/>
          <a:r>
            <a:rPr lang="en-US" sz="1600" b="0">
              <a:solidFill>
                <a:sysClr val="windowText" lastClr="000000"/>
              </a:solidFill>
            </a:rPr>
            <a:t>O</a:t>
          </a:r>
        </a:p>
      </xdr:txBody>
    </xdr:sp>
    <xdr:clientData/>
  </xdr:twoCellAnchor>
  <xdr:twoCellAnchor>
    <xdr:from>
      <xdr:col>3</xdr:col>
      <xdr:colOff>2271651</xdr:colOff>
      <xdr:row>637</xdr:row>
      <xdr:rowOff>64698</xdr:rowOff>
    </xdr:from>
    <xdr:to>
      <xdr:col>3</xdr:col>
      <xdr:colOff>2480123</xdr:colOff>
      <xdr:row>637</xdr:row>
      <xdr:rowOff>273170</xdr:rowOff>
    </xdr:to>
    <xdr:sp macro="CkUnckSummBoxes_Click" textlink="">
      <xdr:nvSpPr>
        <xdr:cNvPr id="264" name="Rectangle 263">
          <a:extLst>
            <a:ext uri="{FF2B5EF4-FFF2-40B4-BE49-F238E27FC236}">
              <a16:creationId xmlns:a16="http://schemas.microsoft.com/office/drawing/2014/main" id="{00000000-0008-0000-0000-000008010000}"/>
            </a:ext>
          </a:extLst>
        </xdr:cNvPr>
        <xdr:cNvSpPr>
          <a:spLocks noChangeAspect="1"/>
        </xdr:cNvSpPr>
      </xdr:nvSpPr>
      <xdr:spPr>
        <a:xfrm>
          <a:off x="3810028" y="161515245"/>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 </a:t>
          </a:r>
        </a:p>
      </xdr:txBody>
    </xdr:sp>
    <xdr:clientData/>
  </xdr:twoCellAnchor>
  <xdr:twoCellAnchor>
    <xdr:from>
      <xdr:col>6</xdr:col>
      <xdr:colOff>503207</xdr:colOff>
      <xdr:row>637</xdr:row>
      <xdr:rowOff>64698</xdr:rowOff>
    </xdr:from>
    <xdr:to>
      <xdr:col>6</xdr:col>
      <xdr:colOff>711679</xdr:colOff>
      <xdr:row>637</xdr:row>
      <xdr:rowOff>273170</xdr:rowOff>
    </xdr:to>
    <xdr:sp macro="CkUnckSummBoxes_Click" textlink="">
      <xdr:nvSpPr>
        <xdr:cNvPr id="265" name="Rectangle 264">
          <a:extLst>
            <a:ext uri="{FF2B5EF4-FFF2-40B4-BE49-F238E27FC236}">
              <a16:creationId xmlns:a16="http://schemas.microsoft.com/office/drawing/2014/main" id="{00000000-0008-0000-0000-000009010000}"/>
            </a:ext>
          </a:extLst>
        </xdr:cNvPr>
        <xdr:cNvSpPr>
          <a:spLocks noChangeAspect="1"/>
        </xdr:cNvSpPr>
      </xdr:nvSpPr>
      <xdr:spPr>
        <a:xfrm>
          <a:off x="6469811" y="161515245"/>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ysClr val="windowText" lastClr="000000"/>
              </a:solidFill>
              <a:latin typeface="+mn-lt"/>
              <a:ea typeface="+mn-ea"/>
              <a:cs typeface="+mn-cs"/>
            </a:rPr>
            <a:t> </a:t>
          </a:r>
        </a:p>
      </xdr:txBody>
    </xdr:sp>
    <xdr:clientData/>
  </xdr:twoCellAnchor>
  <xdr:twoCellAnchor>
    <xdr:from>
      <xdr:col>3</xdr:col>
      <xdr:colOff>2271651</xdr:colOff>
      <xdr:row>638</xdr:row>
      <xdr:rowOff>64698</xdr:rowOff>
    </xdr:from>
    <xdr:to>
      <xdr:col>3</xdr:col>
      <xdr:colOff>2480123</xdr:colOff>
      <xdr:row>638</xdr:row>
      <xdr:rowOff>273170</xdr:rowOff>
    </xdr:to>
    <xdr:sp macro="CkUnckSummBoxes_Click" textlink="">
      <xdr:nvSpPr>
        <xdr:cNvPr id="266" name="Rectangle 265">
          <a:extLst>
            <a:ext uri="{FF2B5EF4-FFF2-40B4-BE49-F238E27FC236}">
              <a16:creationId xmlns:a16="http://schemas.microsoft.com/office/drawing/2014/main" id="{00000000-0008-0000-0000-00000A010000}"/>
            </a:ext>
          </a:extLst>
        </xdr:cNvPr>
        <xdr:cNvSpPr>
          <a:spLocks noChangeAspect="1"/>
        </xdr:cNvSpPr>
      </xdr:nvSpPr>
      <xdr:spPr>
        <a:xfrm>
          <a:off x="3810028" y="161867490"/>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 </a:t>
          </a:r>
        </a:p>
      </xdr:txBody>
    </xdr:sp>
    <xdr:clientData/>
  </xdr:twoCellAnchor>
  <xdr:twoCellAnchor>
    <xdr:from>
      <xdr:col>6</xdr:col>
      <xdr:colOff>503207</xdr:colOff>
      <xdr:row>638</xdr:row>
      <xdr:rowOff>64698</xdr:rowOff>
    </xdr:from>
    <xdr:to>
      <xdr:col>6</xdr:col>
      <xdr:colOff>711679</xdr:colOff>
      <xdr:row>638</xdr:row>
      <xdr:rowOff>273170</xdr:rowOff>
    </xdr:to>
    <xdr:sp macro="CkUnckSummBoxes_Click" textlink="">
      <xdr:nvSpPr>
        <xdr:cNvPr id="267" name="Rectangle 266">
          <a:extLst>
            <a:ext uri="{FF2B5EF4-FFF2-40B4-BE49-F238E27FC236}">
              <a16:creationId xmlns:a16="http://schemas.microsoft.com/office/drawing/2014/main" id="{00000000-0008-0000-0000-00000B010000}"/>
            </a:ext>
          </a:extLst>
        </xdr:cNvPr>
        <xdr:cNvSpPr>
          <a:spLocks noChangeAspect="1"/>
        </xdr:cNvSpPr>
      </xdr:nvSpPr>
      <xdr:spPr>
        <a:xfrm>
          <a:off x="6469811" y="161867490"/>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ysClr val="windowText" lastClr="000000"/>
              </a:solidFill>
              <a:latin typeface="+mn-lt"/>
              <a:ea typeface="+mn-ea"/>
              <a:cs typeface="+mn-cs"/>
            </a:rPr>
            <a:t> </a:t>
          </a:r>
        </a:p>
      </xdr:txBody>
    </xdr:sp>
    <xdr:clientData/>
  </xdr:twoCellAnchor>
  <xdr:twoCellAnchor>
    <xdr:from>
      <xdr:col>3</xdr:col>
      <xdr:colOff>2271651</xdr:colOff>
      <xdr:row>640</xdr:row>
      <xdr:rowOff>64698</xdr:rowOff>
    </xdr:from>
    <xdr:to>
      <xdr:col>3</xdr:col>
      <xdr:colOff>2480123</xdr:colOff>
      <xdr:row>640</xdr:row>
      <xdr:rowOff>273170</xdr:rowOff>
    </xdr:to>
    <xdr:sp macro="CkUnckSummBoxes_Click" textlink="">
      <xdr:nvSpPr>
        <xdr:cNvPr id="268" name="Rectangle 267">
          <a:extLst>
            <a:ext uri="{FF2B5EF4-FFF2-40B4-BE49-F238E27FC236}">
              <a16:creationId xmlns:a16="http://schemas.microsoft.com/office/drawing/2014/main" id="{00000000-0008-0000-0000-00000C010000}"/>
            </a:ext>
          </a:extLst>
        </xdr:cNvPr>
        <xdr:cNvSpPr>
          <a:spLocks noChangeAspect="1"/>
        </xdr:cNvSpPr>
      </xdr:nvSpPr>
      <xdr:spPr>
        <a:xfrm>
          <a:off x="3810028" y="178099528"/>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 </a:t>
          </a:r>
        </a:p>
      </xdr:txBody>
    </xdr:sp>
    <xdr:clientData/>
  </xdr:twoCellAnchor>
  <xdr:twoCellAnchor>
    <xdr:from>
      <xdr:col>6</xdr:col>
      <xdr:colOff>503207</xdr:colOff>
      <xdr:row>640</xdr:row>
      <xdr:rowOff>64698</xdr:rowOff>
    </xdr:from>
    <xdr:to>
      <xdr:col>6</xdr:col>
      <xdr:colOff>711679</xdr:colOff>
      <xdr:row>640</xdr:row>
      <xdr:rowOff>273170</xdr:rowOff>
    </xdr:to>
    <xdr:sp macro="CkUnckSummBoxes_Click" textlink="">
      <xdr:nvSpPr>
        <xdr:cNvPr id="269" name="Rectangle 268">
          <a:extLst>
            <a:ext uri="{FF2B5EF4-FFF2-40B4-BE49-F238E27FC236}">
              <a16:creationId xmlns:a16="http://schemas.microsoft.com/office/drawing/2014/main" id="{00000000-0008-0000-0000-00000D010000}"/>
            </a:ext>
          </a:extLst>
        </xdr:cNvPr>
        <xdr:cNvSpPr>
          <a:spLocks noChangeAspect="1"/>
        </xdr:cNvSpPr>
      </xdr:nvSpPr>
      <xdr:spPr>
        <a:xfrm>
          <a:off x="6469811" y="178099528"/>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ysClr val="windowText" lastClr="000000"/>
              </a:solidFill>
              <a:latin typeface="+mn-lt"/>
              <a:ea typeface="+mn-ea"/>
              <a:cs typeface="+mn-cs"/>
            </a:rPr>
            <a:t> </a:t>
          </a:r>
        </a:p>
      </xdr:txBody>
    </xdr:sp>
    <xdr:clientData/>
  </xdr:twoCellAnchor>
  <xdr:twoCellAnchor>
    <xdr:from>
      <xdr:col>3</xdr:col>
      <xdr:colOff>2271651</xdr:colOff>
      <xdr:row>641</xdr:row>
      <xdr:rowOff>64698</xdr:rowOff>
    </xdr:from>
    <xdr:to>
      <xdr:col>3</xdr:col>
      <xdr:colOff>2480123</xdr:colOff>
      <xdr:row>641</xdr:row>
      <xdr:rowOff>273170</xdr:rowOff>
    </xdr:to>
    <xdr:sp macro="CkUnckSummBoxes_Click" textlink="">
      <xdr:nvSpPr>
        <xdr:cNvPr id="302" name="Rectangle 301">
          <a:extLst>
            <a:ext uri="{FF2B5EF4-FFF2-40B4-BE49-F238E27FC236}">
              <a16:creationId xmlns:a16="http://schemas.microsoft.com/office/drawing/2014/main" id="{00000000-0008-0000-0000-00002E010000}"/>
            </a:ext>
          </a:extLst>
        </xdr:cNvPr>
        <xdr:cNvSpPr>
          <a:spLocks noChangeAspect="1"/>
        </xdr:cNvSpPr>
      </xdr:nvSpPr>
      <xdr:spPr>
        <a:xfrm>
          <a:off x="3810028" y="178451773"/>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 </a:t>
          </a:r>
        </a:p>
      </xdr:txBody>
    </xdr:sp>
    <xdr:clientData/>
  </xdr:twoCellAnchor>
  <xdr:twoCellAnchor>
    <xdr:from>
      <xdr:col>6</xdr:col>
      <xdr:colOff>503207</xdr:colOff>
      <xdr:row>641</xdr:row>
      <xdr:rowOff>64698</xdr:rowOff>
    </xdr:from>
    <xdr:to>
      <xdr:col>6</xdr:col>
      <xdr:colOff>711679</xdr:colOff>
      <xdr:row>641</xdr:row>
      <xdr:rowOff>273170</xdr:rowOff>
    </xdr:to>
    <xdr:sp macro="CkUnckSummBoxes_Click" textlink="">
      <xdr:nvSpPr>
        <xdr:cNvPr id="303" name="Rectangle 302">
          <a:extLst>
            <a:ext uri="{FF2B5EF4-FFF2-40B4-BE49-F238E27FC236}">
              <a16:creationId xmlns:a16="http://schemas.microsoft.com/office/drawing/2014/main" id="{00000000-0008-0000-0000-00002F010000}"/>
            </a:ext>
          </a:extLst>
        </xdr:cNvPr>
        <xdr:cNvSpPr>
          <a:spLocks noChangeAspect="1"/>
        </xdr:cNvSpPr>
      </xdr:nvSpPr>
      <xdr:spPr>
        <a:xfrm>
          <a:off x="6469811" y="178451773"/>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ysClr val="windowText" lastClr="000000"/>
              </a:solidFill>
              <a:latin typeface="+mn-lt"/>
              <a:ea typeface="+mn-ea"/>
              <a:cs typeface="+mn-cs"/>
            </a:rPr>
            <a:t> </a:t>
          </a:r>
        </a:p>
      </xdr:txBody>
    </xdr:sp>
    <xdr:clientData/>
  </xdr:twoCellAnchor>
  <xdr:twoCellAnchor>
    <xdr:from>
      <xdr:col>3</xdr:col>
      <xdr:colOff>2271651</xdr:colOff>
      <xdr:row>643</xdr:row>
      <xdr:rowOff>64698</xdr:rowOff>
    </xdr:from>
    <xdr:to>
      <xdr:col>3</xdr:col>
      <xdr:colOff>2480123</xdr:colOff>
      <xdr:row>643</xdr:row>
      <xdr:rowOff>273170</xdr:rowOff>
    </xdr:to>
    <xdr:sp macro="CkUnckSummBoxes_Click" textlink="">
      <xdr:nvSpPr>
        <xdr:cNvPr id="304" name="Rectangle 303">
          <a:extLst>
            <a:ext uri="{FF2B5EF4-FFF2-40B4-BE49-F238E27FC236}">
              <a16:creationId xmlns:a16="http://schemas.microsoft.com/office/drawing/2014/main" id="{00000000-0008-0000-0000-000030010000}"/>
            </a:ext>
          </a:extLst>
        </xdr:cNvPr>
        <xdr:cNvSpPr>
          <a:spLocks noChangeAspect="1"/>
        </xdr:cNvSpPr>
      </xdr:nvSpPr>
      <xdr:spPr>
        <a:xfrm>
          <a:off x="3810028" y="179156264"/>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 </a:t>
          </a:r>
        </a:p>
      </xdr:txBody>
    </xdr:sp>
    <xdr:clientData/>
  </xdr:twoCellAnchor>
  <xdr:twoCellAnchor>
    <xdr:from>
      <xdr:col>6</xdr:col>
      <xdr:colOff>503207</xdr:colOff>
      <xdr:row>643</xdr:row>
      <xdr:rowOff>64698</xdr:rowOff>
    </xdr:from>
    <xdr:to>
      <xdr:col>6</xdr:col>
      <xdr:colOff>711679</xdr:colOff>
      <xdr:row>643</xdr:row>
      <xdr:rowOff>273170</xdr:rowOff>
    </xdr:to>
    <xdr:sp macro="CkUnckSummBoxes_Click" textlink="">
      <xdr:nvSpPr>
        <xdr:cNvPr id="305" name="Rectangle 304">
          <a:extLst>
            <a:ext uri="{FF2B5EF4-FFF2-40B4-BE49-F238E27FC236}">
              <a16:creationId xmlns:a16="http://schemas.microsoft.com/office/drawing/2014/main" id="{00000000-0008-0000-0000-000031010000}"/>
            </a:ext>
          </a:extLst>
        </xdr:cNvPr>
        <xdr:cNvSpPr>
          <a:spLocks noChangeAspect="1"/>
        </xdr:cNvSpPr>
      </xdr:nvSpPr>
      <xdr:spPr>
        <a:xfrm>
          <a:off x="6469811" y="179156264"/>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ysClr val="windowText" lastClr="000000"/>
              </a:solidFill>
              <a:latin typeface="+mn-lt"/>
              <a:ea typeface="+mn-ea"/>
              <a:cs typeface="+mn-cs"/>
            </a:rPr>
            <a:t> </a:t>
          </a:r>
        </a:p>
      </xdr:txBody>
    </xdr:sp>
    <xdr:clientData/>
  </xdr:twoCellAnchor>
  <xdr:twoCellAnchor>
    <xdr:from>
      <xdr:col>3</xdr:col>
      <xdr:colOff>2271651</xdr:colOff>
      <xdr:row>644</xdr:row>
      <xdr:rowOff>64698</xdr:rowOff>
    </xdr:from>
    <xdr:to>
      <xdr:col>3</xdr:col>
      <xdr:colOff>2480123</xdr:colOff>
      <xdr:row>644</xdr:row>
      <xdr:rowOff>273170</xdr:rowOff>
    </xdr:to>
    <xdr:sp macro="CkUnckSummBoxes_Click" textlink="">
      <xdr:nvSpPr>
        <xdr:cNvPr id="306" name="Rectangle 305">
          <a:extLst>
            <a:ext uri="{FF2B5EF4-FFF2-40B4-BE49-F238E27FC236}">
              <a16:creationId xmlns:a16="http://schemas.microsoft.com/office/drawing/2014/main" id="{00000000-0008-0000-0000-000032010000}"/>
            </a:ext>
          </a:extLst>
        </xdr:cNvPr>
        <xdr:cNvSpPr>
          <a:spLocks noChangeAspect="1"/>
        </xdr:cNvSpPr>
      </xdr:nvSpPr>
      <xdr:spPr>
        <a:xfrm>
          <a:off x="3810028" y="179508509"/>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 </a:t>
          </a:r>
        </a:p>
      </xdr:txBody>
    </xdr:sp>
    <xdr:clientData/>
  </xdr:twoCellAnchor>
  <xdr:twoCellAnchor>
    <xdr:from>
      <xdr:col>6</xdr:col>
      <xdr:colOff>503207</xdr:colOff>
      <xdr:row>644</xdr:row>
      <xdr:rowOff>64698</xdr:rowOff>
    </xdr:from>
    <xdr:to>
      <xdr:col>6</xdr:col>
      <xdr:colOff>711679</xdr:colOff>
      <xdr:row>644</xdr:row>
      <xdr:rowOff>273170</xdr:rowOff>
    </xdr:to>
    <xdr:sp macro="CkUnckSummBoxes_Click" textlink="">
      <xdr:nvSpPr>
        <xdr:cNvPr id="307" name="Rectangle 306">
          <a:extLst>
            <a:ext uri="{FF2B5EF4-FFF2-40B4-BE49-F238E27FC236}">
              <a16:creationId xmlns:a16="http://schemas.microsoft.com/office/drawing/2014/main" id="{00000000-0008-0000-0000-000033010000}"/>
            </a:ext>
          </a:extLst>
        </xdr:cNvPr>
        <xdr:cNvSpPr>
          <a:spLocks noChangeAspect="1"/>
        </xdr:cNvSpPr>
      </xdr:nvSpPr>
      <xdr:spPr>
        <a:xfrm>
          <a:off x="6469811" y="179508509"/>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ysClr val="windowText" lastClr="000000"/>
              </a:solidFill>
              <a:latin typeface="+mn-lt"/>
              <a:ea typeface="+mn-ea"/>
              <a:cs typeface="+mn-cs"/>
            </a:rPr>
            <a:t> </a:t>
          </a:r>
        </a:p>
      </xdr:txBody>
    </xdr:sp>
    <xdr:clientData/>
  </xdr:twoCellAnchor>
  <xdr:twoCellAnchor>
    <xdr:from>
      <xdr:col>3</xdr:col>
      <xdr:colOff>2271651</xdr:colOff>
      <xdr:row>589</xdr:row>
      <xdr:rowOff>64698</xdr:rowOff>
    </xdr:from>
    <xdr:to>
      <xdr:col>3</xdr:col>
      <xdr:colOff>2480123</xdr:colOff>
      <xdr:row>589</xdr:row>
      <xdr:rowOff>273170</xdr:rowOff>
    </xdr:to>
    <xdr:sp macro="CkUnckSummBoxes_Click" textlink="">
      <xdr:nvSpPr>
        <xdr:cNvPr id="130" name="Rectangle 129">
          <a:extLst>
            <a:ext uri="{FF2B5EF4-FFF2-40B4-BE49-F238E27FC236}">
              <a16:creationId xmlns:a16="http://schemas.microsoft.com/office/drawing/2014/main" id="{00000000-0008-0000-0000-000082000000}"/>
            </a:ext>
          </a:extLst>
        </xdr:cNvPr>
        <xdr:cNvSpPr>
          <a:spLocks noChangeAspect="1"/>
        </xdr:cNvSpPr>
      </xdr:nvSpPr>
      <xdr:spPr>
        <a:xfrm>
          <a:off x="3871851" y="122883858"/>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 </a:t>
          </a:r>
        </a:p>
      </xdr:txBody>
    </xdr:sp>
    <xdr:clientData/>
  </xdr:twoCellAnchor>
  <xdr:twoCellAnchor>
    <xdr:from>
      <xdr:col>6</xdr:col>
      <xdr:colOff>503207</xdr:colOff>
      <xdr:row>589</xdr:row>
      <xdr:rowOff>64698</xdr:rowOff>
    </xdr:from>
    <xdr:to>
      <xdr:col>6</xdr:col>
      <xdr:colOff>711679</xdr:colOff>
      <xdr:row>589</xdr:row>
      <xdr:rowOff>273170</xdr:rowOff>
    </xdr:to>
    <xdr:sp macro="CkUnckSummBoxes_Click" textlink="">
      <xdr:nvSpPr>
        <xdr:cNvPr id="131" name="Rectangle 130">
          <a:extLst>
            <a:ext uri="{FF2B5EF4-FFF2-40B4-BE49-F238E27FC236}">
              <a16:creationId xmlns:a16="http://schemas.microsoft.com/office/drawing/2014/main" id="{00000000-0008-0000-0000-000083000000}"/>
            </a:ext>
          </a:extLst>
        </xdr:cNvPr>
        <xdr:cNvSpPr>
          <a:spLocks noChangeAspect="1"/>
        </xdr:cNvSpPr>
      </xdr:nvSpPr>
      <xdr:spPr>
        <a:xfrm>
          <a:off x="6523007" y="122883858"/>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ysClr val="windowText" lastClr="000000"/>
              </a:solidFill>
              <a:latin typeface="+mn-lt"/>
              <a:ea typeface="+mn-ea"/>
              <a:cs typeface="+mn-cs"/>
            </a:rPr>
            <a:t> </a:t>
          </a:r>
        </a:p>
      </xdr:txBody>
    </xdr:sp>
    <xdr:clientData/>
  </xdr:twoCellAnchor>
  <xdr:twoCellAnchor>
    <xdr:from>
      <xdr:col>3</xdr:col>
      <xdr:colOff>2271651</xdr:colOff>
      <xdr:row>593</xdr:row>
      <xdr:rowOff>64698</xdr:rowOff>
    </xdr:from>
    <xdr:to>
      <xdr:col>3</xdr:col>
      <xdr:colOff>2480123</xdr:colOff>
      <xdr:row>593</xdr:row>
      <xdr:rowOff>273170</xdr:rowOff>
    </xdr:to>
    <xdr:sp macro="CkUnckSummBoxes_Click" textlink="">
      <xdr:nvSpPr>
        <xdr:cNvPr id="132" name="Rectangle 131">
          <a:extLst>
            <a:ext uri="{FF2B5EF4-FFF2-40B4-BE49-F238E27FC236}">
              <a16:creationId xmlns:a16="http://schemas.microsoft.com/office/drawing/2014/main" id="{00000000-0008-0000-0000-000084000000}"/>
            </a:ext>
          </a:extLst>
        </xdr:cNvPr>
        <xdr:cNvSpPr>
          <a:spLocks noChangeAspect="1"/>
        </xdr:cNvSpPr>
      </xdr:nvSpPr>
      <xdr:spPr>
        <a:xfrm>
          <a:off x="3871851" y="122883858"/>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 </a:t>
          </a:r>
        </a:p>
      </xdr:txBody>
    </xdr:sp>
    <xdr:clientData/>
  </xdr:twoCellAnchor>
  <xdr:twoCellAnchor>
    <xdr:from>
      <xdr:col>6</xdr:col>
      <xdr:colOff>503207</xdr:colOff>
      <xdr:row>593</xdr:row>
      <xdr:rowOff>64698</xdr:rowOff>
    </xdr:from>
    <xdr:to>
      <xdr:col>6</xdr:col>
      <xdr:colOff>711679</xdr:colOff>
      <xdr:row>593</xdr:row>
      <xdr:rowOff>273170</xdr:rowOff>
    </xdr:to>
    <xdr:sp macro="CkUnckSummBoxes_Click" textlink="">
      <xdr:nvSpPr>
        <xdr:cNvPr id="133" name="Rectangle 132">
          <a:extLst>
            <a:ext uri="{FF2B5EF4-FFF2-40B4-BE49-F238E27FC236}">
              <a16:creationId xmlns:a16="http://schemas.microsoft.com/office/drawing/2014/main" id="{00000000-0008-0000-0000-000085000000}"/>
            </a:ext>
          </a:extLst>
        </xdr:cNvPr>
        <xdr:cNvSpPr>
          <a:spLocks noChangeAspect="1"/>
        </xdr:cNvSpPr>
      </xdr:nvSpPr>
      <xdr:spPr>
        <a:xfrm>
          <a:off x="6523007" y="122883858"/>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ysClr val="windowText" lastClr="000000"/>
              </a:solidFill>
              <a:latin typeface="+mn-lt"/>
              <a:ea typeface="+mn-ea"/>
              <a:cs typeface="+mn-cs"/>
            </a:rPr>
            <a:t> </a:t>
          </a:r>
        </a:p>
      </xdr:txBody>
    </xdr:sp>
    <xdr:clientData/>
  </xdr:twoCellAnchor>
  <xdr:twoCellAnchor>
    <xdr:from>
      <xdr:col>3</xdr:col>
      <xdr:colOff>2271651</xdr:colOff>
      <xdr:row>597</xdr:row>
      <xdr:rowOff>64698</xdr:rowOff>
    </xdr:from>
    <xdr:to>
      <xdr:col>3</xdr:col>
      <xdr:colOff>2480123</xdr:colOff>
      <xdr:row>597</xdr:row>
      <xdr:rowOff>273170</xdr:rowOff>
    </xdr:to>
    <xdr:sp macro="CkUnckSummBoxes_Click" textlink="">
      <xdr:nvSpPr>
        <xdr:cNvPr id="134" name="Rectangle 133">
          <a:extLst>
            <a:ext uri="{FF2B5EF4-FFF2-40B4-BE49-F238E27FC236}">
              <a16:creationId xmlns:a16="http://schemas.microsoft.com/office/drawing/2014/main" id="{00000000-0008-0000-0000-000086000000}"/>
            </a:ext>
          </a:extLst>
        </xdr:cNvPr>
        <xdr:cNvSpPr>
          <a:spLocks noChangeAspect="1"/>
        </xdr:cNvSpPr>
      </xdr:nvSpPr>
      <xdr:spPr>
        <a:xfrm>
          <a:off x="3871851" y="122883858"/>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 </a:t>
          </a:r>
        </a:p>
      </xdr:txBody>
    </xdr:sp>
    <xdr:clientData/>
  </xdr:twoCellAnchor>
  <xdr:twoCellAnchor>
    <xdr:from>
      <xdr:col>6</xdr:col>
      <xdr:colOff>503207</xdr:colOff>
      <xdr:row>597</xdr:row>
      <xdr:rowOff>64698</xdr:rowOff>
    </xdr:from>
    <xdr:to>
      <xdr:col>6</xdr:col>
      <xdr:colOff>711679</xdr:colOff>
      <xdr:row>597</xdr:row>
      <xdr:rowOff>273170</xdr:rowOff>
    </xdr:to>
    <xdr:sp macro="CkUnckSummBoxes_Click" textlink="">
      <xdr:nvSpPr>
        <xdr:cNvPr id="135" name="Rectangle 134">
          <a:extLst>
            <a:ext uri="{FF2B5EF4-FFF2-40B4-BE49-F238E27FC236}">
              <a16:creationId xmlns:a16="http://schemas.microsoft.com/office/drawing/2014/main" id="{00000000-0008-0000-0000-000087000000}"/>
            </a:ext>
          </a:extLst>
        </xdr:cNvPr>
        <xdr:cNvSpPr>
          <a:spLocks noChangeAspect="1"/>
        </xdr:cNvSpPr>
      </xdr:nvSpPr>
      <xdr:spPr>
        <a:xfrm>
          <a:off x="6523007" y="122883858"/>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ysClr val="windowText" lastClr="000000"/>
              </a:solidFill>
              <a:latin typeface="+mn-lt"/>
              <a:ea typeface="+mn-ea"/>
              <a:cs typeface="+mn-cs"/>
            </a:rPr>
            <a:t> </a:t>
          </a:r>
        </a:p>
      </xdr:txBody>
    </xdr:sp>
    <xdr:clientData/>
  </xdr:twoCellAnchor>
  <xdr:twoCellAnchor>
    <xdr:from>
      <xdr:col>3</xdr:col>
      <xdr:colOff>2271651</xdr:colOff>
      <xdr:row>601</xdr:row>
      <xdr:rowOff>64698</xdr:rowOff>
    </xdr:from>
    <xdr:to>
      <xdr:col>3</xdr:col>
      <xdr:colOff>2480123</xdr:colOff>
      <xdr:row>601</xdr:row>
      <xdr:rowOff>273170</xdr:rowOff>
    </xdr:to>
    <xdr:sp macro="CkUnckSummBoxes_Click" textlink="">
      <xdr:nvSpPr>
        <xdr:cNvPr id="136" name="Rectangle 135">
          <a:extLst>
            <a:ext uri="{FF2B5EF4-FFF2-40B4-BE49-F238E27FC236}">
              <a16:creationId xmlns:a16="http://schemas.microsoft.com/office/drawing/2014/main" id="{00000000-0008-0000-0000-000088000000}"/>
            </a:ext>
          </a:extLst>
        </xdr:cNvPr>
        <xdr:cNvSpPr>
          <a:spLocks noChangeAspect="1"/>
        </xdr:cNvSpPr>
      </xdr:nvSpPr>
      <xdr:spPr>
        <a:xfrm>
          <a:off x="3871851" y="125337498"/>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 </a:t>
          </a:r>
        </a:p>
      </xdr:txBody>
    </xdr:sp>
    <xdr:clientData/>
  </xdr:twoCellAnchor>
  <xdr:twoCellAnchor>
    <xdr:from>
      <xdr:col>6</xdr:col>
      <xdr:colOff>503207</xdr:colOff>
      <xdr:row>601</xdr:row>
      <xdr:rowOff>64698</xdr:rowOff>
    </xdr:from>
    <xdr:to>
      <xdr:col>6</xdr:col>
      <xdr:colOff>711679</xdr:colOff>
      <xdr:row>601</xdr:row>
      <xdr:rowOff>273170</xdr:rowOff>
    </xdr:to>
    <xdr:sp macro="CkUnckSummBoxes_Click" textlink="">
      <xdr:nvSpPr>
        <xdr:cNvPr id="137" name="Rectangle 136">
          <a:extLst>
            <a:ext uri="{FF2B5EF4-FFF2-40B4-BE49-F238E27FC236}">
              <a16:creationId xmlns:a16="http://schemas.microsoft.com/office/drawing/2014/main" id="{00000000-0008-0000-0000-000089000000}"/>
            </a:ext>
          </a:extLst>
        </xdr:cNvPr>
        <xdr:cNvSpPr>
          <a:spLocks noChangeAspect="1"/>
        </xdr:cNvSpPr>
      </xdr:nvSpPr>
      <xdr:spPr>
        <a:xfrm>
          <a:off x="6523007" y="125337498"/>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ysClr val="windowText" lastClr="000000"/>
              </a:solidFill>
              <a:latin typeface="+mn-lt"/>
              <a:ea typeface="+mn-ea"/>
              <a:cs typeface="+mn-cs"/>
            </a:rPr>
            <a:t> </a:t>
          </a:r>
        </a:p>
      </xdr:txBody>
    </xdr:sp>
    <xdr:clientData/>
  </xdr:twoCellAnchor>
  <xdr:twoCellAnchor>
    <xdr:from>
      <xdr:col>3</xdr:col>
      <xdr:colOff>2271651</xdr:colOff>
      <xdr:row>605</xdr:row>
      <xdr:rowOff>64698</xdr:rowOff>
    </xdr:from>
    <xdr:to>
      <xdr:col>3</xdr:col>
      <xdr:colOff>2480123</xdr:colOff>
      <xdr:row>605</xdr:row>
      <xdr:rowOff>273170</xdr:rowOff>
    </xdr:to>
    <xdr:sp macro="CkUnckSummBoxes_Click" textlink="">
      <xdr:nvSpPr>
        <xdr:cNvPr id="138" name="Rectangle 137">
          <a:extLst>
            <a:ext uri="{FF2B5EF4-FFF2-40B4-BE49-F238E27FC236}">
              <a16:creationId xmlns:a16="http://schemas.microsoft.com/office/drawing/2014/main" id="{00000000-0008-0000-0000-00008A000000}"/>
            </a:ext>
          </a:extLst>
        </xdr:cNvPr>
        <xdr:cNvSpPr>
          <a:spLocks noChangeAspect="1"/>
        </xdr:cNvSpPr>
      </xdr:nvSpPr>
      <xdr:spPr>
        <a:xfrm>
          <a:off x="3871851" y="126739578"/>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 </a:t>
          </a:r>
        </a:p>
      </xdr:txBody>
    </xdr:sp>
    <xdr:clientData/>
  </xdr:twoCellAnchor>
  <xdr:twoCellAnchor>
    <xdr:from>
      <xdr:col>6</xdr:col>
      <xdr:colOff>503207</xdr:colOff>
      <xdr:row>605</xdr:row>
      <xdr:rowOff>64698</xdr:rowOff>
    </xdr:from>
    <xdr:to>
      <xdr:col>6</xdr:col>
      <xdr:colOff>711679</xdr:colOff>
      <xdr:row>605</xdr:row>
      <xdr:rowOff>273170</xdr:rowOff>
    </xdr:to>
    <xdr:sp macro="CkUnckSummBoxes_Click" textlink="">
      <xdr:nvSpPr>
        <xdr:cNvPr id="139" name="Rectangle 138">
          <a:extLst>
            <a:ext uri="{FF2B5EF4-FFF2-40B4-BE49-F238E27FC236}">
              <a16:creationId xmlns:a16="http://schemas.microsoft.com/office/drawing/2014/main" id="{00000000-0008-0000-0000-00008B000000}"/>
            </a:ext>
          </a:extLst>
        </xdr:cNvPr>
        <xdr:cNvSpPr>
          <a:spLocks noChangeAspect="1"/>
        </xdr:cNvSpPr>
      </xdr:nvSpPr>
      <xdr:spPr>
        <a:xfrm>
          <a:off x="6523007" y="126739578"/>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ysClr val="windowText" lastClr="000000"/>
              </a:solidFill>
              <a:latin typeface="+mn-lt"/>
              <a:ea typeface="+mn-ea"/>
              <a:cs typeface="+mn-cs"/>
            </a:rPr>
            <a:t> </a:t>
          </a:r>
        </a:p>
      </xdr:txBody>
    </xdr:sp>
    <xdr:clientData/>
  </xdr:twoCellAnchor>
  <xdr:twoCellAnchor>
    <xdr:from>
      <xdr:col>3</xdr:col>
      <xdr:colOff>2271651</xdr:colOff>
      <xdr:row>609</xdr:row>
      <xdr:rowOff>64698</xdr:rowOff>
    </xdr:from>
    <xdr:to>
      <xdr:col>3</xdr:col>
      <xdr:colOff>2480123</xdr:colOff>
      <xdr:row>609</xdr:row>
      <xdr:rowOff>273170</xdr:rowOff>
    </xdr:to>
    <xdr:sp macro="CkUnckSummBoxes_Click" textlink="">
      <xdr:nvSpPr>
        <xdr:cNvPr id="140" name="Rectangle 139">
          <a:extLst>
            <a:ext uri="{FF2B5EF4-FFF2-40B4-BE49-F238E27FC236}">
              <a16:creationId xmlns:a16="http://schemas.microsoft.com/office/drawing/2014/main" id="{00000000-0008-0000-0000-00008C000000}"/>
            </a:ext>
          </a:extLst>
        </xdr:cNvPr>
        <xdr:cNvSpPr>
          <a:spLocks noChangeAspect="1"/>
        </xdr:cNvSpPr>
      </xdr:nvSpPr>
      <xdr:spPr>
        <a:xfrm>
          <a:off x="3871851" y="128141658"/>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 </a:t>
          </a:r>
        </a:p>
      </xdr:txBody>
    </xdr:sp>
    <xdr:clientData/>
  </xdr:twoCellAnchor>
  <xdr:twoCellAnchor>
    <xdr:from>
      <xdr:col>6</xdr:col>
      <xdr:colOff>503207</xdr:colOff>
      <xdr:row>609</xdr:row>
      <xdr:rowOff>64698</xdr:rowOff>
    </xdr:from>
    <xdr:to>
      <xdr:col>6</xdr:col>
      <xdr:colOff>711679</xdr:colOff>
      <xdr:row>609</xdr:row>
      <xdr:rowOff>273170</xdr:rowOff>
    </xdr:to>
    <xdr:sp macro="CkUnckSummBoxes_Click" textlink="">
      <xdr:nvSpPr>
        <xdr:cNvPr id="141" name="Rectangle 140">
          <a:extLst>
            <a:ext uri="{FF2B5EF4-FFF2-40B4-BE49-F238E27FC236}">
              <a16:creationId xmlns:a16="http://schemas.microsoft.com/office/drawing/2014/main" id="{00000000-0008-0000-0000-00008D000000}"/>
            </a:ext>
          </a:extLst>
        </xdr:cNvPr>
        <xdr:cNvSpPr>
          <a:spLocks noChangeAspect="1"/>
        </xdr:cNvSpPr>
      </xdr:nvSpPr>
      <xdr:spPr>
        <a:xfrm>
          <a:off x="6523007" y="128141658"/>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ysClr val="windowText" lastClr="000000"/>
              </a:solidFill>
              <a:latin typeface="+mn-lt"/>
              <a:ea typeface="+mn-ea"/>
              <a:cs typeface="+mn-cs"/>
            </a:rPr>
            <a:t> </a:t>
          </a:r>
        </a:p>
      </xdr:txBody>
    </xdr:sp>
    <xdr:clientData/>
  </xdr:twoCellAnchor>
  <xdr:twoCellAnchor>
    <xdr:from>
      <xdr:col>9</xdr:col>
      <xdr:colOff>266700</xdr:colOff>
      <xdr:row>1</xdr:row>
      <xdr:rowOff>144780</xdr:rowOff>
    </xdr:from>
    <xdr:to>
      <xdr:col>10</xdr:col>
      <xdr:colOff>1219200</xdr:colOff>
      <xdr:row>1</xdr:row>
      <xdr:rowOff>510540</xdr:rowOff>
    </xdr:to>
    <xdr:sp macro="[0]!ResetWorkbook" textlink="">
      <xdr:nvSpPr>
        <xdr:cNvPr id="157" name="Rounded Rectangle 156">
          <a:extLst>
            <a:ext uri="{FF2B5EF4-FFF2-40B4-BE49-F238E27FC236}">
              <a16:creationId xmlns:a16="http://schemas.microsoft.com/office/drawing/2014/main" id="{00000000-0008-0000-0000-00009D000000}"/>
            </a:ext>
          </a:extLst>
        </xdr:cNvPr>
        <xdr:cNvSpPr/>
      </xdr:nvSpPr>
      <xdr:spPr>
        <a:xfrm>
          <a:off x="8770620" y="655320"/>
          <a:ext cx="1752600" cy="365760"/>
        </a:xfrm>
        <a:prstGeom prst="round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1100"/>
            <a:t>Reset Workbook</a:t>
          </a:r>
        </a:p>
      </xdr:txBody>
    </xdr:sp>
    <xdr:clientData/>
  </xdr:twoCellAnchor>
  <xdr:twoCellAnchor>
    <xdr:from>
      <xdr:col>6</xdr:col>
      <xdr:colOff>586740</xdr:colOff>
      <xdr:row>4</xdr:row>
      <xdr:rowOff>68580</xdr:rowOff>
    </xdr:from>
    <xdr:to>
      <xdr:col>6</xdr:col>
      <xdr:colOff>708947</xdr:colOff>
      <xdr:row>4</xdr:row>
      <xdr:rowOff>205165</xdr:rowOff>
    </xdr:to>
    <xdr:sp macro="" textlink="">
      <xdr:nvSpPr>
        <xdr:cNvPr id="169" name="Right Arrow 168">
          <a:extLst>
            <a:ext uri="{FF2B5EF4-FFF2-40B4-BE49-F238E27FC236}">
              <a16:creationId xmlns:a16="http://schemas.microsoft.com/office/drawing/2014/main" id="{00000000-0008-0000-0000-0000A9000000}"/>
            </a:ext>
          </a:extLst>
        </xdr:cNvPr>
        <xdr:cNvSpPr/>
      </xdr:nvSpPr>
      <xdr:spPr>
        <a:xfrm>
          <a:off x="6492240" y="2537460"/>
          <a:ext cx="122207" cy="136585"/>
        </a:xfrm>
        <a:prstGeom prst="rightArrow">
          <a:avLst/>
        </a:prstGeom>
        <a:solidFill>
          <a:srgbClr val="5B9BD5"/>
        </a:solidFill>
        <a:ln w="12700" cap="flat" cmpd="sng" algn="ctr">
          <a:solidFill>
            <a:srgbClr val="5B9BD5">
              <a:shade val="50000"/>
            </a:srgb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3</xdr:col>
      <xdr:colOff>371475</xdr:colOff>
      <xdr:row>1</xdr:row>
      <xdr:rowOff>1457325</xdr:rowOff>
    </xdr:from>
    <xdr:to>
      <xdr:col>3</xdr:col>
      <xdr:colOff>1362075</xdr:colOff>
      <xdr:row>1</xdr:row>
      <xdr:rowOff>1609725</xdr:rowOff>
    </xdr:to>
    <xdr:sp macro="" textlink="">
      <xdr:nvSpPr>
        <xdr:cNvPr id="4" name="Rectangle 3">
          <a:hlinkClick xmlns:r="http://schemas.openxmlformats.org/officeDocument/2006/relationships" r:id="rId4"/>
          <a:extLst>
            <a:ext uri="{FF2B5EF4-FFF2-40B4-BE49-F238E27FC236}">
              <a16:creationId xmlns:a16="http://schemas.microsoft.com/office/drawing/2014/main" id="{6E342A7C-4D8C-4B05-9883-06E424752D89}"/>
            </a:ext>
          </a:extLst>
        </xdr:cNvPr>
        <xdr:cNvSpPr/>
      </xdr:nvSpPr>
      <xdr:spPr>
        <a:xfrm>
          <a:off x="1809750" y="1971675"/>
          <a:ext cx="990600" cy="1524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63</xdr:row>
      <xdr:rowOff>2103</xdr:rowOff>
    </xdr:from>
    <xdr:to>
      <xdr:col>1</xdr:col>
      <xdr:colOff>283464</xdr:colOff>
      <xdr:row>63</xdr:row>
      <xdr:rowOff>257175</xdr:rowOff>
    </xdr:to>
    <xdr:sp macro="[0]!btnShowHideSchedC_SingMemLLC_Click" textlink="">
      <xdr:nvSpPr>
        <xdr:cNvPr id="7" name="rctSchC_SingMemLLC">
          <a:extLst>
            <a:ext uri="{FF2B5EF4-FFF2-40B4-BE49-F238E27FC236}">
              <a16:creationId xmlns:a16="http://schemas.microsoft.com/office/drawing/2014/main" id="{08C8C37F-316C-45B7-83B1-4CD79717EFE8}"/>
            </a:ext>
          </a:extLst>
        </xdr:cNvPr>
        <xdr:cNvSpPr/>
      </xdr:nvSpPr>
      <xdr:spPr>
        <a:xfrm>
          <a:off x="152400" y="4564578"/>
          <a:ext cx="283464" cy="255072"/>
        </a:xfrm>
        <a:prstGeom prst="roundRect">
          <a:avLst/>
        </a:pr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rtlCol="0" anchor="ctr" anchorCtr="1"/>
        <a:lstStyle/>
        <a:p>
          <a:pPr algn="l"/>
          <a:r>
            <a:rPr lang="en-US" sz="1600" b="0">
              <a:solidFill>
                <a:sysClr val="windowText" lastClr="000000"/>
              </a:solidFill>
            </a:rPr>
            <a:t>O</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10</xdr:col>
      <xdr:colOff>746626</xdr:colOff>
      <xdr:row>0</xdr:row>
      <xdr:rowOff>116636</xdr:rowOff>
    </xdr:from>
    <xdr:to>
      <xdr:col>12</xdr:col>
      <xdr:colOff>155546</xdr:colOff>
      <xdr:row>0</xdr:row>
      <xdr:rowOff>440486</xdr:rowOff>
    </xdr:to>
    <xdr:pic>
      <xdr:nvPicPr>
        <xdr:cNvPr id="2" name="Picture 1">
          <a:extLst>
            <a:ext uri="{FF2B5EF4-FFF2-40B4-BE49-F238E27FC236}">
              <a16:creationId xmlns:a16="http://schemas.microsoft.com/office/drawing/2014/main" id="{FA9882FC-EBE7-43A9-AAEC-9171471C2E1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62076" y="116636"/>
          <a:ext cx="980545" cy="323850"/>
        </a:xfrm>
        <a:prstGeom prst="rect">
          <a:avLst/>
        </a:prstGeom>
      </xdr:spPr>
    </xdr:pic>
    <xdr:clientData/>
  </xdr:twoCellAnchor>
  <xdr:twoCellAnchor>
    <xdr:from>
      <xdr:col>6</xdr:col>
      <xdr:colOff>651293</xdr:colOff>
      <xdr:row>6</xdr:row>
      <xdr:rowOff>130691</xdr:rowOff>
    </xdr:from>
    <xdr:to>
      <xdr:col>6</xdr:col>
      <xdr:colOff>773500</xdr:colOff>
      <xdr:row>6</xdr:row>
      <xdr:rowOff>267276</xdr:rowOff>
    </xdr:to>
    <xdr:sp macro="" textlink="">
      <xdr:nvSpPr>
        <xdr:cNvPr id="3" name="Right Arrow 134">
          <a:extLst>
            <a:ext uri="{FF2B5EF4-FFF2-40B4-BE49-F238E27FC236}">
              <a16:creationId xmlns:a16="http://schemas.microsoft.com/office/drawing/2014/main" id="{6786322C-E879-470A-B1CA-B85FDE307431}"/>
            </a:ext>
          </a:extLst>
        </xdr:cNvPr>
        <xdr:cNvSpPr/>
      </xdr:nvSpPr>
      <xdr:spPr>
        <a:xfrm>
          <a:off x="6452018" y="3064391"/>
          <a:ext cx="122207" cy="136585"/>
        </a:xfrm>
        <a:prstGeom prst="rightArrow">
          <a:avLst/>
        </a:prstGeom>
        <a:solidFill>
          <a:srgbClr val="5B9BD5"/>
        </a:solidFill>
        <a:ln w="12700" cap="flat" cmpd="sng" algn="ctr">
          <a:solidFill>
            <a:srgbClr val="5B9BD5">
              <a:shade val="50000"/>
            </a:srgb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6</xdr:col>
      <xdr:colOff>651293</xdr:colOff>
      <xdr:row>32</xdr:row>
      <xdr:rowOff>130691</xdr:rowOff>
    </xdr:from>
    <xdr:to>
      <xdr:col>6</xdr:col>
      <xdr:colOff>773500</xdr:colOff>
      <xdr:row>32</xdr:row>
      <xdr:rowOff>267276</xdr:rowOff>
    </xdr:to>
    <xdr:sp macro="" textlink="">
      <xdr:nvSpPr>
        <xdr:cNvPr id="4" name="Right Arrow 134">
          <a:extLst>
            <a:ext uri="{FF2B5EF4-FFF2-40B4-BE49-F238E27FC236}">
              <a16:creationId xmlns:a16="http://schemas.microsoft.com/office/drawing/2014/main" id="{E6BFA707-2D56-4E30-BEFE-45EFCEE2DE4A}"/>
            </a:ext>
          </a:extLst>
        </xdr:cNvPr>
        <xdr:cNvSpPr/>
      </xdr:nvSpPr>
      <xdr:spPr>
        <a:xfrm>
          <a:off x="6452018" y="3064391"/>
          <a:ext cx="122207" cy="136585"/>
        </a:xfrm>
        <a:prstGeom prst="rightArrow">
          <a:avLst/>
        </a:prstGeom>
        <a:solidFill>
          <a:srgbClr val="5B9BD5"/>
        </a:solidFill>
        <a:ln w="12700" cap="flat" cmpd="sng" algn="ctr">
          <a:solidFill>
            <a:srgbClr val="5B9BD5">
              <a:shade val="50000"/>
            </a:srgb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6</xdr:col>
      <xdr:colOff>651293</xdr:colOff>
      <xdr:row>58</xdr:row>
      <xdr:rowOff>130691</xdr:rowOff>
    </xdr:from>
    <xdr:to>
      <xdr:col>6</xdr:col>
      <xdr:colOff>773500</xdr:colOff>
      <xdr:row>58</xdr:row>
      <xdr:rowOff>267276</xdr:rowOff>
    </xdr:to>
    <xdr:sp macro="" textlink="">
      <xdr:nvSpPr>
        <xdr:cNvPr id="5" name="Right Arrow 134">
          <a:extLst>
            <a:ext uri="{FF2B5EF4-FFF2-40B4-BE49-F238E27FC236}">
              <a16:creationId xmlns:a16="http://schemas.microsoft.com/office/drawing/2014/main" id="{009BCF4D-F3B1-40FB-AA22-F645E25FF8B3}"/>
            </a:ext>
          </a:extLst>
        </xdr:cNvPr>
        <xdr:cNvSpPr/>
      </xdr:nvSpPr>
      <xdr:spPr>
        <a:xfrm>
          <a:off x="6452018" y="10884416"/>
          <a:ext cx="122207" cy="136585"/>
        </a:xfrm>
        <a:prstGeom prst="rightArrow">
          <a:avLst/>
        </a:prstGeom>
        <a:solidFill>
          <a:srgbClr val="5B9BD5"/>
        </a:solidFill>
        <a:ln w="12700" cap="flat" cmpd="sng" algn="ctr">
          <a:solidFill>
            <a:srgbClr val="5B9BD5">
              <a:shade val="50000"/>
            </a:srgb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6</xdr:col>
      <xdr:colOff>651293</xdr:colOff>
      <xdr:row>84</xdr:row>
      <xdr:rowOff>130691</xdr:rowOff>
    </xdr:from>
    <xdr:to>
      <xdr:col>6</xdr:col>
      <xdr:colOff>773500</xdr:colOff>
      <xdr:row>84</xdr:row>
      <xdr:rowOff>267276</xdr:rowOff>
    </xdr:to>
    <xdr:sp macro="" textlink="">
      <xdr:nvSpPr>
        <xdr:cNvPr id="6" name="Right Arrow 134">
          <a:extLst>
            <a:ext uri="{FF2B5EF4-FFF2-40B4-BE49-F238E27FC236}">
              <a16:creationId xmlns:a16="http://schemas.microsoft.com/office/drawing/2014/main" id="{3ACF6C04-B11B-4864-B294-EA62F4395596}"/>
            </a:ext>
          </a:extLst>
        </xdr:cNvPr>
        <xdr:cNvSpPr/>
      </xdr:nvSpPr>
      <xdr:spPr>
        <a:xfrm>
          <a:off x="6452018" y="18704441"/>
          <a:ext cx="122207" cy="136585"/>
        </a:xfrm>
        <a:prstGeom prst="rightArrow">
          <a:avLst/>
        </a:prstGeom>
        <a:solidFill>
          <a:srgbClr val="5B9BD5"/>
        </a:solidFill>
        <a:ln w="12700" cap="flat" cmpd="sng" algn="ctr">
          <a:solidFill>
            <a:srgbClr val="5B9BD5">
              <a:shade val="50000"/>
            </a:srgb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6</xdr:col>
      <xdr:colOff>651293</xdr:colOff>
      <xdr:row>110</xdr:row>
      <xdr:rowOff>130691</xdr:rowOff>
    </xdr:from>
    <xdr:to>
      <xdr:col>6</xdr:col>
      <xdr:colOff>773500</xdr:colOff>
      <xdr:row>110</xdr:row>
      <xdr:rowOff>267276</xdr:rowOff>
    </xdr:to>
    <xdr:sp macro="" textlink="">
      <xdr:nvSpPr>
        <xdr:cNvPr id="7" name="Right Arrow 134">
          <a:extLst>
            <a:ext uri="{FF2B5EF4-FFF2-40B4-BE49-F238E27FC236}">
              <a16:creationId xmlns:a16="http://schemas.microsoft.com/office/drawing/2014/main" id="{1AA4BB1B-5E1C-4779-A31E-7C71A61A7B75}"/>
            </a:ext>
          </a:extLst>
        </xdr:cNvPr>
        <xdr:cNvSpPr/>
      </xdr:nvSpPr>
      <xdr:spPr>
        <a:xfrm>
          <a:off x="6452018" y="26524466"/>
          <a:ext cx="122207" cy="136585"/>
        </a:xfrm>
        <a:prstGeom prst="rightArrow">
          <a:avLst/>
        </a:prstGeom>
        <a:solidFill>
          <a:srgbClr val="5B9BD5"/>
        </a:solidFill>
        <a:ln w="12700" cap="flat" cmpd="sng" algn="ctr">
          <a:solidFill>
            <a:srgbClr val="5B9BD5">
              <a:shade val="50000"/>
            </a:srgb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6</xdr:col>
      <xdr:colOff>651293</xdr:colOff>
      <xdr:row>266</xdr:row>
      <xdr:rowOff>130691</xdr:rowOff>
    </xdr:from>
    <xdr:to>
      <xdr:col>6</xdr:col>
      <xdr:colOff>773500</xdr:colOff>
      <xdr:row>266</xdr:row>
      <xdr:rowOff>267276</xdr:rowOff>
    </xdr:to>
    <xdr:sp macro="" textlink="">
      <xdr:nvSpPr>
        <xdr:cNvPr id="8" name="Right Arrow 134">
          <a:extLst>
            <a:ext uri="{FF2B5EF4-FFF2-40B4-BE49-F238E27FC236}">
              <a16:creationId xmlns:a16="http://schemas.microsoft.com/office/drawing/2014/main" id="{6BD17CF8-521E-403C-8FE7-F2E4207D1AE3}"/>
            </a:ext>
          </a:extLst>
        </xdr:cNvPr>
        <xdr:cNvSpPr/>
      </xdr:nvSpPr>
      <xdr:spPr>
        <a:xfrm>
          <a:off x="6452018" y="3064391"/>
          <a:ext cx="122207" cy="136585"/>
        </a:xfrm>
        <a:prstGeom prst="rightArrow">
          <a:avLst/>
        </a:prstGeom>
        <a:solidFill>
          <a:srgbClr val="5B9BD5"/>
        </a:solidFill>
        <a:ln w="12700" cap="flat" cmpd="sng" algn="ctr">
          <a:solidFill>
            <a:srgbClr val="5B9BD5">
              <a:shade val="50000"/>
            </a:srgb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6</xdr:col>
      <xdr:colOff>651293</xdr:colOff>
      <xdr:row>292</xdr:row>
      <xdr:rowOff>130691</xdr:rowOff>
    </xdr:from>
    <xdr:to>
      <xdr:col>6</xdr:col>
      <xdr:colOff>773500</xdr:colOff>
      <xdr:row>292</xdr:row>
      <xdr:rowOff>267276</xdr:rowOff>
    </xdr:to>
    <xdr:sp macro="" textlink="">
      <xdr:nvSpPr>
        <xdr:cNvPr id="9" name="Right Arrow 134">
          <a:extLst>
            <a:ext uri="{FF2B5EF4-FFF2-40B4-BE49-F238E27FC236}">
              <a16:creationId xmlns:a16="http://schemas.microsoft.com/office/drawing/2014/main" id="{F1188637-069B-4131-AD42-7AF5426E8C9B}"/>
            </a:ext>
          </a:extLst>
        </xdr:cNvPr>
        <xdr:cNvSpPr/>
      </xdr:nvSpPr>
      <xdr:spPr>
        <a:xfrm>
          <a:off x="6452018" y="10884416"/>
          <a:ext cx="122207" cy="136585"/>
        </a:xfrm>
        <a:prstGeom prst="rightArrow">
          <a:avLst/>
        </a:prstGeom>
        <a:solidFill>
          <a:srgbClr val="5B9BD5"/>
        </a:solidFill>
        <a:ln w="12700" cap="flat" cmpd="sng" algn="ctr">
          <a:solidFill>
            <a:srgbClr val="5B9BD5">
              <a:shade val="50000"/>
            </a:srgb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6</xdr:col>
      <xdr:colOff>651293</xdr:colOff>
      <xdr:row>318</xdr:row>
      <xdr:rowOff>130691</xdr:rowOff>
    </xdr:from>
    <xdr:to>
      <xdr:col>6</xdr:col>
      <xdr:colOff>773500</xdr:colOff>
      <xdr:row>318</xdr:row>
      <xdr:rowOff>267276</xdr:rowOff>
    </xdr:to>
    <xdr:sp macro="" textlink="">
      <xdr:nvSpPr>
        <xdr:cNvPr id="10" name="Right Arrow 134">
          <a:extLst>
            <a:ext uri="{FF2B5EF4-FFF2-40B4-BE49-F238E27FC236}">
              <a16:creationId xmlns:a16="http://schemas.microsoft.com/office/drawing/2014/main" id="{C9F9E720-43E4-4F07-BD12-38C86240FC89}"/>
            </a:ext>
          </a:extLst>
        </xdr:cNvPr>
        <xdr:cNvSpPr/>
      </xdr:nvSpPr>
      <xdr:spPr>
        <a:xfrm>
          <a:off x="6452018" y="18704441"/>
          <a:ext cx="122207" cy="136585"/>
        </a:xfrm>
        <a:prstGeom prst="rightArrow">
          <a:avLst/>
        </a:prstGeom>
        <a:solidFill>
          <a:srgbClr val="5B9BD5"/>
        </a:solidFill>
        <a:ln w="12700" cap="flat" cmpd="sng" algn="ctr">
          <a:solidFill>
            <a:srgbClr val="5B9BD5">
              <a:shade val="50000"/>
            </a:srgb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6</xdr:col>
      <xdr:colOff>651293</xdr:colOff>
      <xdr:row>344</xdr:row>
      <xdr:rowOff>130691</xdr:rowOff>
    </xdr:from>
    <xdr:to>
      <xdr:col>6</xdr:col>
      <xdr:colOff>773500</xdr:colOff>
      <xdr:row>344</xdr:row>
      <xdr:rowOff>267276</xdr:rowOff>
    </xdr:to>
    <xdr:sp macro="" textlink="">
      <xdr:nvSpPr>
        <xdr:cNvPr id="11" name="Right Arrow 134">
          <a:extLst>
            <a:ext uri="{FF2B5EF4-FFF2-40B4-BE49-F238E27FC236}">
              <a16:creationId xmlns:a16="http://schemas.microsoft.com/office/drawing/2014/main" id="{6F82400B-BC0C-41AA-8507-08AAB949922F}"/>
            </a:ext>
          </a:extLst>
        </xdr:cNvPr>
        <xdr:cNvSpPr/>
      </xdr:nvSpPr>
      <xdr:spPr>
        <a:xfrm>
          <a:off x="6452018" y="26524466"/>
          <a:ext cx="122207" cy="136585"/>
        </a:xfrm>
        <a:prstGeom prst="rightArrow">
          <a:avLst/>
        </a:prstGeom>
        <a:solidFill>
          <a:srgbClr val="5B9BD5"/>
        </a:solidFill>
        <a:ln w="12700" cap="flat" cmpd="sng" algn="ctr">
          <a:solidFill>
            <a:srgbClr val="5B9BD5">
              <a:shade val="50000"/>
            </a:srgb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6</xdr:col>
      <xdr:colOff>651293</xdr:colOff>
      <xdr:row>370</xdr:row>
      <xdr:rowOff>130691</xdr:rowOff>
    </xdr:from>
    <xdr:to>
      <xdr:col>6</xdr:col>
      <xdr:colOff>773500</xdr:colOff>
      <xdr:row>370</xdr:row>
      <xdr:rowOff>267276</xdr:rowOff>
    </xdr:to>
    <xdr:sp macro="" textlink="">
      <xdr:nvSpPr>
        <xdr:cNvPr id="12" name="Right Arrow 134">
          <a:extLst>
            <a:ext uri="{FF2B5EF4-FFF2-40B4-BE49-F238E27FC236}">
              <a16:creationId xmlns:a16="http://schemas.microsoft.com/office/drawing/2014/main" id="{5A96CE16-4CBD-48C1-AA78-BE84F18292CA}"/>
            </a:ext>
          </a:extLst>
        </xdr:cNvPr>
        <xdr:cNvSpPr/>
      </xdr:nvSpPr>
      <xdr:spPr>
        <a:xfrm>
          <a:off x="6452018" y="34344491"/>
          <a:ext cx="122207" cy="136585"/>
        </a:xfrm>
        <a:prstGeom prst="rightArrow">
          <a:avLst/>
        </a:prstGeom>
        <a:solidFill>
          <a:srgbClr val="5B9BD5"/>
        </a:solidFill>
        <a:ln w="12700" cap="flat" cmpd="sng" algn="ctr">
          <a:solidFill>
            <a:srgbClr val="5B9BD5">
              <a:shade val="50000"/>
            </a:srgb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6</xdr:col>
      <xdr:colOff>651293</xdr:colOff>
      <xdr:row>136</xdr:row>
      <xdr:rowOff>130691</xdr:rowOff>
    </xdr:from>
    <xdr:to>
      <xdr:col>6</xdr:col>
      <xdr:colOff>773500</xdr:colOff>
      <xdr:row>136</xdr:row>
      <xdr:rowOff>267276</xdr:rowOff>
    </xdr:to>
    <xdr:sp macro="" textlink="">
      <xdr:nvSpPr>
        <xdr:cNvPr id="13" name="Right Arrow 134">
          <a:extLst>
            <a:ext uri="{FF2B5EF4-FFF2-40B4-BE49-F238E27FC236}">
              <a16:creationId xmlns:a16="http://schemas.microsoft.com/office/drawing/2014/main" id="{9B23EB73-3B4F-43D9-B8C2-D2F94BED60C9}"/>
            </a:ext>
          </a:extLst>
        </xdr:cNvPr>
        <xdr:cNvSpPr/>
      </xdr:nvSpPr>
      <xdr:spPr>
        <a:xfrm>
          <a:off x="6452018" y="64453016"/>
          <a:ext cx="122207" cy="136585"/>
        </a:xfrm>
        <a:prstGeom prst="rightArrow">
          <a:avLst/>
        </a:prstGeom>
        <a:solidFill>
          <a:srgbClr val="5B9BD5"/>
        </a:solidFill>
        <a:ln w="12700" cap="flat" cmpd="sng" algn="ctr">
          <a:solidFill>
            <a:srgbClr val="5B9BD5">
              <a:shade val="50000"/>
            </a:srgb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6</xdr:col>
      <xdr:colOff>651293</xdr:colOff>
      <xdr:row>162</xdr:row>
      <xdr:rowOff>130691</xdr:rowOff>
    </xdr:from>
    <xdr:to>
      <xdr:col>6</xdr:col>
      <xdr:colOff>773500</xdr:colOff>
      <xdr:row>162</xdr:row>
      <xdr:rowOff>267276</xdr:rowOff>
    </xdr:to>
    <xdr:sp macro="" textlink="">
      <xdr:nvSpPr>
        <xdr:cNvPr id="14" name="Right Arrow 134">
          <a:extLst>
            <a:ext uri="{FF2B5EF4-FFF2-40B4-BE49-F238E27FC236}">
              <a16:creationId xmlns:a16="http://schemas.microsoft.com/office/drawing/2014/main" id="{17BF7D1D-3A35-48D4-B371-8025485420B2}"/>
            </a:ext>
          </a:extLst>
        </xdr:cNvPr>
        <xdr:cNvSpPr/>
      </xdr:nvSpPr>
      <xdr:spPr>
        <a:xfrm>
          <a:off x="6452018" y="72273041"/>
          <a:ext cx="122207" cy="136585"/>
        </a:xfrm>
        <a:prstGeom prst="rightArrow">
          <a:avLst/>
        </a:prstGeom>
        <a:solidFill>
          <a:srgbClr val="5B9BD5"/>
        </a:solidFill>
        <a:ln w="12700" cap="flat" cmpd="sng" algn="ctr">
          <a:solidFill>
            <a:srgbClr val="5B9BD5">
              <a:shade val="50000"/>
            </a:srgb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6</xdr:col>
      <xdr:colOff>651293</xdr:colOff>
      <xdr:row>188</xdr:row>
      <xdr:rowOff>130691</xdr:rowOff>
    </xdr:from>
    <xdr:to>
      <xdr:col>6</xdr:col>
      <xdr:colOff>773500</xdr:colOff>
      <xdr:row>188</xdr:row>
      <xdr:rowOff>267276</xdr:rowOff>
    </xdr:to>
    <xdr:sp macro="" textlink="">
      <xdr:nvSpPr>
        <xdr:cNvPr id="15" name="Right Arrow 134">
          <a:extLst>
            <a:ext uri="{FF2B5EF4-FFF2-40B4-BE49-F238E27FC236}">
              <a16:creationId xmlns:a16="http://schemas.microsoft.com/office/drawing/2014/main" id="{7CCBFAE1-AAD2-448F-83B4-B4B551CBDBCF}"/>
            </a:ext>
          </a:extLst>
        </xdr:cNvPr>
        <xdr:cNvSpPr/>
      </xdr:nvSpPr>
      <xdr:spPr>
        <a:xfrm>
          <a:off x="6452018" y="80093066"/>
          <a:ext cx="122207" cy="136585"/>
        </a:xfrm>
        <a:prstGeom prst="rightArrow">
          <a:avLst/>
        </a:prstGeom>
        <a:solidFill>
          <a:srgbClr val="5B9BD5"/>
        </a:solidFill>
        <a:ln w="12700" cap="flat" cmpd="sng" algn="ctr">
          <a:solidFill>
            <a:srgbClr val="5B9BD5">
              <a:shade val="50000"/>
            </a:srgb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6</xdr:col>
      <xdr:colOff>651293</xdr:colOff>
      <xdr:row>214</xdr:row>
      <xdr:rowOff>130691</xdr:rowOff>
    </xdr:from>
    <xdr:to>
      <xdr:col>6</xdr:col>
      <xdr:colOff>773500</xdr:colOff>
      <xdr:row>214</xdr:row>
      <xdr:rowOff>267276</xdr:rowOff>
    </xdr:to>
    <xdr:sp macro="" textlink="">
      <xdr:nvSpPr>
        <xdr:cNvPr id="16" name="Right Arrow 134">
          <a:extLst>
            <a:ext uri="{FF2B5EF4-FFF2-40B4-BE49-F238E27FC236}">
              <a16:creationId xmlns:a16="http://schemas.microsoft.com/office/drawing/2014/main" id="{6D83248F-09BA-4B05-8C30-B075DAA3D8D9}"/>
            </a:ext>
          </a:extLst>
        </xdr:cNvPr>
        <xdr:cNvSpPr/>
      </xdr:nvSpPr>
      <xdr:spPr>
        <a:xfrm>
          <a:off x="6452018" y="87913091"/>
          <a:ext cx="122207" cy="136585"/>
        </a:xfrm>
        <a:prstGeom prst="rightArrow">
          <a:avLst/>
        </a:prstGeom>
        <a:solidFill>
          <a:srgbClr val="5B9BD5"/>
        </a:solidFill>
        <a:ln w="12700" cap="flat" cmpd="sng" algn="ctr">
          <a:solidFill>
            <a:srgbClr val="5B9BD5">
              <a:shade val="50000"/>
            </a:srgb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6</xdr:col>
      <xdr:colOff>651293</xdr:colOff>
      <xdr:row>240</xdr:row>
      <xdr:rowOff>130691</xdr:rowOff>
    </xdr:from>
    <xdr:to>
      <xdr:col>6</xdr:col>
      <xdr:colOff>773500</xdr:colOff>
      <xdr:row>240</xdr:row>
      <xdr:rowOff>267276</xdr:rowOff>
    </xdr:to>
    <xdr:sp macro="" textlink="">
      <xdr:nvSpPr>
        <xdr:cNvPr id="17" name="Right Arrow 134">
          <a:extLst>
            <a:ext uri="{FF2B5EF4-FFF2-40B4-BE49-F238E27FC236}">
              <a16:creationId xmlns:a16="http://schemas.microsoft.com/office/drawing/2014/main" id="{0DEC6838-0ADE-44A6-B6F8-F04B2E5C9E51}"/>
            </a:ext>
          </a:extLst>
        </xdr:cNvPr>
        <xdr:cNvSpPr/>
      </xdr:nvSpPr>
      <xdr:spPr>
        <a:xfrm>
          <a:off x="6452018" y="95733116"/>
          <a:ext cx="122207" cy="136585"/>
        </a:xfrm>
        <a:prstGeom prst="rightArrow">
          <a:avLst/>
        </a:prstGeom>
        <a:solidFill>
          <a:srgbClr val="5B9BD5"/>
        </a:solidFill>
        <a:ln w="12700" cap="flat" cmpd="sng" algn="ctr">
          <a:solidFill>
            <a:srgbClr val="5B9BD5">
              <a:shade val="50000"/>
            </a:srgb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1</xdr:col>
      <xdr:colOff>0</xdr:colOff>
      <xdr:row>3</xdr:row>
      <xdr:rowOff>0</xdr:rowOff>
    </xdr:from>
    <xdr:to>
      <xdr:col>2</xdr:col>
      <xdr:colOff>52197</xdr:colOff>
      <xdr:row>5</xdr:row>
      <xdr:rowOff>0</xdr:rowOff>
    </xdr:to>
    <xdr:sp macro="[0]!LiqSectShowHide_Click" textlink="">
      <xdr:nvSpPr>
        <xdr:cNvPr id="18" name="shpLiqSect01">
          <a:extLst>
            <a:ext uri="{FF2B5EF4-FFF2-40B4-BE49-F238E27FC236}">
              <a16:creationId xmlns:a16="http://schemas.microsoft.com/office/drawing/2014/main" id="{B9B6CA78-560B-427B-B559-BD6622405F67}"/>
            </a:ext>
          </a:extLst>
        </xdr:cNvPr>
        <xdr:cNvSpPr/>
      </xdr:nvSpPr>
      <xdr:spPr>
        <a:xfrm>
          <a:off x="209550" y="2514600"/>
          <a:ext cx="347472" cy="342900"/>
        </a:xfrm>
        <a:prstGeom prst="roundRect">
          <a:avLst/>
        </a:prstGeom>
        <a:solidFill>
          <a:srgbClr val="B4C6E7"/>
        </a:solidFill>
        <a:ln>
          <a:solidFill>
            <a:srgbClr val="41719C"/>
          </a:solid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rtlCol="0" anchor="ctr" anchorCtr="1"/>
        <a:lstStyle/>
        <a:p>
          <a:pPr algn="l"/>
          <a:r>
            <a:rPr lang="en-US" sz="1600" b="0">
              <a:solidFill>
                <a:sysClr val="windowText" lastClr="000000"/>
              </a:solidFill>
            </a:rPr>
            <a:t>X</a:t>
          </a:r>
        </a:p>
      </xdr:txBody>
    </xdr:sp>
    <xdr:clientData/>
  </xdr:twoCellAnchor>
  <xdr:twoCellAnchor>
    <xdr:from>
      <xdr:col>1</xdr:col>
      <xdr:colOff>0</xdr:colOff>
      <xdr:row>30</xdr:row>
      <xdr:rowOff>0</xdr:rowOff>
    </xdr:from>
    <xdr:to>
      <xdr:col>2</xdr:col>
      <xdr:colOff>52197</xdr:colOff>
      <xdr:row>31</xdr:row>
      <xdr:rowOff>0</xdr:rowOff>
    </xdr:to>
    <xdr:sp macro="[0]!LiqSectShowHide_Click" textlink="">
      <xdr:nvSpPr>
        <xdr:cNvPr id="19" name="shpLiqSect02">
          <a:extLst>
            <a:ext uri="{FF2B5EF4-FFF2-40B4-BE49-F238E27FC236}">
              <a16:creationId xmlns:a16="http://schemas.microsoft.com/office/drawing/2014/main" id="{5E713C88-C2FC-496C-B5EE-FF2D2C5D180F}"/>
            </a:ext>
          </a:extLst>
        </xdr:cNvPr>
        <xdr:cNvSpPr/>
      </xdr:nvSpPr>
      <xdr:spPr>
        <a:xfrm>
          <a:off x="209550" y="10334625"/>
          <a:ext cx="347472" cy="342900"/>
        </a:xfrm>
        <a:prstGeom prst="roundRect">
          <a:avLst/>
        </a:pr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rtlCol="0" anchor="ctr" anchorCtr="1"/>
        <a:lstStyle/>
        <a:p>
          <a:pPr algn="l"/>
          <a:r>
            <a:rPr lang="en-US" sz="1600" b="0">
              <a:solidFill>
                <a:sysClr val="windowText" lastClr="000000"/>
              </a:solidFill>
            </a:rPr>
            <a:t>O</a:t>
          </a:r>
        </a:p>
      </xdr:txBody>
    </xdr:sp>
    <xdr:clientData/>
  </xdr:twoCellAnchor>
  <xdr:twoCellAnchor>
    <xdr:from>
      <xdr:col>1</xdr:col>
      <xdr:colOff>0</xdr:colOff>
      <xdr:row>56</xdr:row>
      <xdr:rowOff>0</xdr:rowOff>
    </xdr:from>
    <xdr:to>
      <xdr:col>2</xdr:col>
      <xdr:colOff>52197</xdr:colOff>
      <xdr:row>57</xdr:row>
      <xdr:rowOff>0</xdr:rowOff>
    </xdr:to>
    <xdr:sp macro="[0]!LiqSectShowHide_Click" textlink="">
      <xdr:nvSpPr>
        <xdr:cNvPr id="20" name="shpLiqSect03">
          <a:extLst>
            <a:ext uri="{FF2B5EF4-FFF2-40B4-BE49-F238E27FC236}">
              <a16:creationId xmlns:a16="http://schemas.microsoft.com/office/drawing/2014/main" id="{AE12AD59-04EE-4DF8-8E68-6D9DBF688814}"/>
            </a:ext>
          </a:extLst>
        </xdr:cNvPr>
        <xdr:cNvSpPr/>
      </xdr:nvSpPr>
      <xdr:spPr>
        <a:xfrm>
          <a:off x="209550" y="18154650"/>
          <a:ext cx="347472" cy="342900"/>
        </a:xfrm>
        <a:prstGeom prst="roundRect">
          <a:avLst/>
        </a:pr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rtlCol="0" anchor="ctr" anchorCtr="1"/>
        <a:lstStyle/>
        <a:p>
          <a:pPr algn="l"/>
          <a:r>
            <a:rPr lang="en-US" sz="1600" b="0">
              <a:solidFill>
                <a:sysClr val="windowText" lastClr="000000"/>
              </a:solidFill>
            </a:rPr>
            <a:t>O</a:t>
          </a:r>
        </a:p>
      </xdr:txBody>
    </xdr:sp>
    <xdr:clientData/>
  </xdr:twoCellAnchor>
  <xdr:twoCellAnchor>
    <xdr:from>
      <xdr:col>1</xdr:col>
      <xdr:colOff>0</xdr:colOff>
      <xdr:row>82</xdr:row>
      <xdr:rowOff>0</xdr:rowOff>
    </xdr:from>
    <xdr:to>
      <xdr:col>2</xdr:col>
      <xdr:colOff>52197</xdr:colOff>
      <xdr:row>83</xdr:row>
      <xdr:rowOff>0</xdr:rowOff>
    </xdr:to>
    <xdr:sp macro="[0]!LiqSectShowHide_Click" textlink="">
      <xdr:nvSpPr>
        <xdr:cNvPr id="21" name="shpLiqSect04">
          <a:extLst>
            <a:ext uri="{FF2B5EF4-FFF2-40B4-BE49-F238E27FC236}">
              <a16:creationId xmlns:a16="http://schemas.microsoft.com/office/drawing/2014/main" id="{65D43C3F-71EA-44F5-85BD-4A5907B753FD}"/>
            </a:ext>
          </a:extLst>
        </xdr:cNvPr>
        <xdr:cNvSpPr/>
      </xdr:nvSpPr>
      <xdr:spPr>
        <a:xfrm>
          <a:off x="209550" y="25974675"/>
          <a:ext cx="347472" cy="342900"/>
        </a:xfrm>
        <a:prstGeom prst="roundRect">
          <a:avLst/>
        </a:pr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rtlCol="0" anchor="ctr" anchorCtr="1"/>
        <a:lstStyle/>
        <a:p>
          <a:pPr algn="l"/>
          <a:r>
            <a:rPr lang="en-US" sz="1600" b="0">
              <a:solidFill>
                <a:sysClr val="windowText" lastClr="000000"/>
              </a:solidFill>
            </a:rPr>
            <a:t>O</a:t>
          </a:r>
        </a:p>
      </xdr:txBody>
    </xdr:sp>
    <xdr:clientData/>
  </xdr:twoCellAnchor>
  <xdr:twoCellAnchor>
    <xdr:from>
      <xdr:col>1</xdr:col>
      <xdr:colOff>0</xdr:colOff>
      <xdr:row>108</xdr:row>
      <xdr:rowOff>0</xdr:rowOff>
    </xdr:from>
    <xdr:to>
      <xdr:col>2</xdr:col>
      <xdr:colOff>52197</xdr:colOff>
      <xdr:row>109</xdr:row>
      <xdr:rowOff>0</xdr:rowOff>
    </xdr:to>
    <xdr:sp macro="[0]!LiqSectShowHide_Click" textlink="">
      <xdr:nvSpPr>
        <xdr:cNvPr id="34" name="shpLiqSect05">
          <a:extLst>
            <a:ext uri="{FF2B5EF4-FFF2-40B4-BE49-F238E27FC236}">
              <a16:creationId xmlns:a16="http://schemas.microsoft.com/office/drawing/2014/main" id="{B528BA97-5403-47EC-8F52-554F5B659C98}"/>
            </a:ext>
          </a:extLst>
        </xdr:cNvPr>
        <xdr:cNvSpPr/>
      </xdr:nvSpPr>
      <xdr:spPr>
        <a:xfrm>
          <a:off x="209550" y="33794700"/>
          <a:ext cx="347472" cy="342900"/>
        </a:xfrm>
        <a:prstGeom prst="roundRect">
          <a:avLst/>
        </a:pr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rtlCol="0" anchor="ctr" anchorCtr="1"/>
        <a:lstStyle/>
        <a:p>
          <a:pPr algn="l"/>
          <a:r>
            <a:rPr lang="en-US" sz="1600" b="0">
              <a:solidFill>
                <a:sysClr val="windowText" lastClr="000000"/>
              </a:solidFill>
            </a:rPr>
            <a:t>O</a:t>
          </a:r>
        </a:p>
      </xdr:txBody>
    </xdr:sp>
    <xdr:clientData/>
  </xdr:twoCellAnchor>
  <xdr:twoCellAnchor>
    <xdr:from>
      <xdr:col>1</xdr:col>
      <xdr:colOff>0</xdr:colOff>
      <xdr:row>134</xdr:row>
      <xdr:rowOff>0</xdr:rowOff>
    </xdr:from>
    <xdr:to>
      <xdr:col>2</xdr:col>
      <xdr:colOff>52197</xdr:colOff>
      <xdr:row>135</xdr:row>
      <xdr:rowOff>0</xdr:rowOff>
    </xdr:to>
    <xdr:sp macro="[0]!LiqSectShowHide_Click" textlink="">
      <xdr:nvSpPr>
        <xdr:cNvPr id="35" name="shpLiqSect06">
          <a:extLst>
            <a:ext uri="{FF2B5EF4-FFF2-40B4-BE49-F238E27FC236}">
              <a16:creationId xmlns:a16="http://schemas.microsoft.com/office/drawing/2014/main" id="{B5BB5DF8-9BFC-4ECD-BA0C-2BC45FF95B75}"/>
            </a:ext>
          </a:extLst>
        </xdr:cNvPr>
        <xdr:cNvSpPr/>
      </xdr:nvSpPr>
      <xdr:spPr>
        <a:xfrm>
          <a:off x="209550" y="41614725"/>
          <a:ext cx="347472" cy="342900"/>
        </a:xfrm>
        <a:prstGeom prst="roundRect">
          <a:avLst/>
        </a:pr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rtlCol="0" anchor="ctr" anchorCtr="1"/>
        <a:lstStyle/>
        <a:p>
          <a:pPr algn="l"/>
          <a:r>
            <a:rPr lang="en-US" sz="1600" b="0">
              <a:solidFill>
                <a:sysClr val="windowText" lastClr="000000"/>
              </a:solidFill>
            </a:rPr>
            <a:t>O</a:t>
          </a:r>
        </a:p>
      </xdr:txBody>
    </xdr:sp>
    <xdr:clientData/>
  </xdr:twoCellAnchor>
  <xdr:twoCellAnchor>
    <xdr:from>
      <xdr:col>1</xdr:col>
      <xdr:colOff>0</xdr:colOff>
      <xdr:row>160</xdr:row>
      <xdr:rowOff>0</xdr:rowOff>
    </xdr:from>
    <xdr:to>
      <xdr:col>2</xdr:col>
      <xdr:colOff>52197</xdr:colOff>
      <xdr:row>161</xdr:row>
      <xdr:rowOff>0</xdr:rowOff>
    </xdr:to>
    <xdr:sp macro="[0]!LiqSectShowHide_Click" textlink="">
      <xdr:nvSpPr>
        <xdr:cNvPr id="36" name="shpLiqSect07">
          <a:extLst>
            <a:ext uri="{FF2B5EF4-FFF2-40B4-BE49-F238E27FC236}">
              <a16:creationId xmlns:a16="http://schemas.microsoft.com/office/drawing/2014/main" id="{42123D98-669F-4E0F-9EAE-A571F85B149C}"/>
            </a:ext>
          </a:extLst>
        </xdr:cNvPr>
        <xdr:cNvSpPr/>
      </xdr:nvSpPr>
      <xdr:spPr>
        <a:xfrm>
          <a:off x="209550" y="49434750"/>
          <a:ext cx="347472" cy="342900"/>
        </a:xfrm>
        <a:prstGeom prst="roundRect">
          <a:avLst/>
        </a:pr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rtlCol="0" anchor="ctr" anchorCtr="1"/>
        <a:lstStyle/>
        <a:p>
          <a:pPr algn="l"/>
          <a:r>
            <a:rPr lang="en-US" sz="1600" b="0">
              <a:solidFill>
                <a:sysClr val="windowText" lastClr="000000"/>
              </a:solidFill>
            </a:rPr>
            <a:t>O</a:t>
          </a:r>
        </a:p>
      </xdr:txBody>
    </xdr:sp>
    <xdr:clientData/>
  </xdr:twoCellAnchor>
  <xdr:twoCellAnchor>
    <xdr:from>
      <xdr:col>1</xdr:col>
      <xdr:colOff>0</xdr:colOff>
      <xdr:row>186</xdr:row>
      <xdr:rowOff>0</xdr:rowOff>
    </xdr:from>
    <xdr:to>
      <xdr:col>2</xdr:col>
      <xdr:colOff>52197</xdr:colOff>
      <xdr:row>187</xdr:row>
      <xdr:rowOff>0</xdr:rowOff>
    </xdr:to>
    <xdr:sp macro="[0]!LiqSectShowHide_Click" textlink="">
      <xdr:nvSpPr>
        <xdr:cNvPr id="37" name="shpLiqSect08">
          <a:extLst>
            <a:ext uri="{FF2B5EF4-FFF2-40B4-BE49-F238E27FC236}">
              <a16:creationId xmlns:a16="http://schemas.microsoft.com/office/drawing/2014/main" id="{33518E5C-3B2D-47AF-B37D-B1F0141A64D1}"/>
            </a:ext>
          </a:extLst>
        </xdr:cNvPr>
        <xdr:cNvSpPr/>
      </xdr:nvSpPr>
      <xdr:spPr>
        <a:xfrm>
          <a:off x="209550" y="57254775"/>
          <a:ext cx="347472" cy="342900"/>
        </a:xfrm>
        <a:prstGeom prst="roundRect">
          <a:avLst/>
        </a:pr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rtlCol="0" anchor="ctr" anchorCtr="1"/>
        <a:lstStyle/>
        <a:p>
          <a:pPr algn="l"/>
          <a:r>
            <a:rPr lang="en-US" sz="1600" b="0">
              <a:solidFill>
                <a:sysClr val="windowText" lastClr="000000"/>
              </a:solidFill>
            </a:rPr>
            <a:t>O</a:t>
          </a:r>
        </a:p>
      </xdr:txBody>
    </xdr:sp>
    <xdr:clientData/>
  </xdr:twoCellAnchor>
  <xdr:twoCellAnchor>
    <xdr:from>
      <xdr:col>1</xdr:col>
      <xdr:colOff>0</xdr:colOff>
      <xdr:row>212</xdr:row>
      <xdr:rowOff>0</xdr:rowOff>
    </xdr:from>
    <xdr:to>
      <xdr:col>2</xdr:col>
      <xdr:colOff>52197</xdr:colOff>
      <xdr:row>213</xdr:row>
      <xdr:rowOff>0</xdr:rowOff>
    </xdr:to>
    <xdr:sp macro="[0]!LiqSectShowHide_Click" textlink="">
      <xdr:nvSpPr>
        <xdr:cNvPr id="38" name="shpLiqSect09">
          <a:extLst>
            <a:ext uri="{FF2B5EF4-FFF2-40B4-BE49-F238E27FC236}">
              <a16:creationId xmlns:a16="http://schemas.microsoft.com/office/drawing/2014/main" id="{18C983C4-0639-4546-BF20-BEB692A8631E}"/>
            </a:ext>
          </a:extLst>
        </xdr:cNvPr>
        <xdr:cNvSpPr/>
      </xdr:nvSpPr>
      <xdr:spPr>
        <a:xfrm>
          <a:off x="209550" y="65074800"/>
          <a:ext cx="347472" cy="342900"/>
        </a:xfrm>
        <a:prstGeom prst="roundRect">
          <a:avLst/>
        </a:pr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rtlCol="0" anchor="ctr" anchorCtr="1"/>
        <a:lstStyle/>
        <a:p>
          <a:pPr algn="l"/>
          <a:r>
            <a:rPr lang="en-US" sz="1600" b="0">
              <a:solidFill>
                <a:sysClr val="windowText" lastClr="000000"/>
              </a:solidFill>
            </a:rPr>
            <a:t>O</a:t>
          </a:r>
        </a:p>
      </xdr:txBody>
    </xdr:sp>
    <xdr:clientData/>
  </xdr:twoCellAnchor>
  <xdr:twoCellAnchor>
    <xdr:from>
      <xdr:col>1</xdr:col>
      <xdr:colOff>0</xdr:colOff>
      <xdr:row>238</xdr:row>
      <xdr:rowOff>0</xdr:rowOff>
    </xdr:from>
    <xdr:to>
      <xdr:col>2</xdr:col>
      <xdr:colOff>52197</xdr:colOff>
      <xdr:row>239</xdr:row>
      <xdr:rowOff>0</xdr:rowOff>
    </xdr:to>
    <xdr:sp macro="[0]!LiqSectShowHide_Click" textlink="">
      <xdr:nvSpPr>
        <xdr:cNvPr id="39" name="shpLiqSect10">
          <a:extLst>
            <a:ext uri="{FF2B5EF4-FFF2-40B4-BE49-F238E27FC236}">
              <a16:creationId xmlns:a16="http://schemas.microsoft.com/office/drawing/2014/main" id="{DDF58711-391F-4DCC-B553-3CE1437FADAF}"/>
            </a:ext>
          </a:extLst>
        </xdr:cNvPr>
        <xdr:cNvSpPr/>
      </xdr:nvSpPr>
      <xdr:spPr>
        <a:xfrm>
          <a:off x="209550" y="72894825"/>
          <a:ext cx="347472" cy="342900"/>
        </a:xfrm>
        <a:prstGeom prst="roundRect">
          <a:avLst/>
        </a:pr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rtlCol="0" anchor="ctr" anchorCtr="1"/>
        <a:lstStyle/>
        <a:p>
          <a:pPr algn="l"/>
          <a:r>
            <a:rPr lang="en-US" sz="1600" b="0">
              <a:solidFill>
                <a:sysClr val="windowText" lastClr="000000"/>
              </a:solidFill>
            </a:rPr>
            <a:t>O</a:t>
          </a:r>
        </a:p>
      </xdr:txBody>
    </xdr:sp>
    <xdr:clientData/>
  </xdr:twoCellAnchor>
  <xdr:twoCellAnchor>
    <xdr:from>
      <xdr:col>1</xdr:col>
      <xdr:colOff>0</xdr:colOff>
      <xdr:row>264</xdr:row>
      <xdr:rowOff>0</xdr:rowOff>
    </xdr:from>
    <xdr:to>
      <xdr:col>2</xdr:col>
      <xdr:colOff>52197</xdr:colOff>
      <xdr:row>265</xdr:row>
      <xdr:rowOff>0</xdr:rowOff>
    </xdr:to>
    <xdr:sp macro="[0]!LiqSectShowHide_Click" textlink="">
      <xdr:nvSpPr>
        <xdr:cNvPr id="40" name="shpLiqSect11">
          <a:extLst>
            <a:ext uri="{FF2B5EF4-FFF2-40B4-BE49-F238E27FC236}">
              <a16:creationId xmlns:a16="http://schemas.microsoft.com/office/drawing/2014/main" id="{D23C8531-0C28-4AA5-A3FD-B99F01F041A4}"/>
            </a:ext>
          </a:extLst>
        </xdr:cNvPr>
        <xdr:cNvSpPr/>
      </xdr:nvSpPr>
      <xdr:spPr>
        <a:xfrm>
          <a:off x="209550" y="80714850"/>
          <a:ext cx="347472" cy="342900"/>
        </a:xfrm>
        <a:prstGeom prst="roundRect">
          <a:avLst/>
        </a:pr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rtlCol="0" anchor="ctr" anchorCtr="1"/>
        <a:lstStyle/>
        <a:p>
          <a:pPr algn="l"/>
          <a:r>
            <a:rPr lang="en-US" sz="1600" b="0">
              <a:solidFill>
                <a:sysClr val="windowText" lastClr="000000"/>
              </a:solidFill>
            </a:rPr>
            <a:t>O</a:t>
          </a:r>
        </a:p>
      </xdr:txBody>
    </xdr:sp>
    <xdr:clientData/>
  </xdr:twoCellAnchor>
  <xdr:twoCellAnchor>
    <xdr:from>
      <xdr:col>1</xdr:col>
      <xdr:colOff>0</xdr:colOff>
      <xdr:row>290</xdr:row>
      <xdr:rowOff>0</xdr:rowOff>
    </xdr:from>
    <xdr:to>
      <xdr:col>2</xdr:col>
      <xdr:colOff>52197</xdr:colOff>
      <xdr:row>291</xdr:row>
      <xdr:rowOff>0</xdr:rowOff>
    </xdr:to>
    <xdr:sp macro="[0]!LiqSectShowHide_Click" textlink="">
      <xdr:nvSpPr>
        <xdr:cNvPr id="41" name="shpLiqSect12">
          <a:extLst>
            <a:ext uri="{FF2B5EF4-FFF2-40B4-BE49-F238E27FC236}">
              <a16:creationId xmlns:a16="http://schemas.microsoft.com/office/drawing/2014/main" id="{551C1114-C1B6-4EFE-89F7-BC56CB5B2C28}"/>
            </a:ext>
          </a:extLst>
        </xdr:cNvPr>
        <xdr:cNvSpPr/>
      </xdr:nvSpPr>
      <xdr:spPr>
        <a:xfrm>
          <a:off x="209550" y="88534875"/>
          <a:ext cx="347472" cy="342900"/>
        </a:xfrm>
        <a:prstGeom prst="roundRect">
          <a:avLst/>
        </a:pr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rtlCol="0" anchor="ctr" anchorCtr="1"/>
        <a:lstStyle/>
        <a:p>
          <a:pPr algn="l"/>
          <a:r>
            <a:rPr lang="en-US" sz="1600" b="0">
              <a:solidFill>
                <a:sysClr val="windowText" lastClr="000000"/>
              </a:solidFill>
            </a:rPr>
            <a:t>O</a:t>
          </a:r>
        </a:p>
      </xdr:txBody>
    </xdr:sp>
    <xdr:clientData/>
  </xdr:twoCellAnchor>
  <xdr:twoCellAnchor>
    <xdr:from>
      <xdr:col>1</xdr:col>
      <xdr:colOff>0</xdr:colOff>
      <xdr:row>316</xdr:row>
      <xdr:rowOff>0</xdr:rowOff>
    </xdr:from>
    <xdr:to>
      <xdr:col>2</xdr:col>
      <xdr:colOff>52197</xdr:colOff>
      <xdr:row>317</xdr:row>
      <xdr:rowOff>0</xdr:rowOff>
    </xdr:to>
    <xdr:sp macro="[0]!LiqSectShowHide_Click" textlink="">
      <xdr:nvSpPr>
        <xdr:cNvPr id="42" name="shpLiqSect13">
          <a:extLst>
            <a:ext uri="{FF2B5EF4-FFF2-40B4-BE49-F238E27FC236}">
              <a16:creationId xmlns:a16="http://schemas.microsoft.com/office/drawing/2014/main" id="{21A43AF1-9654-463B-A618-161371568583}"/>
            </a:ext>
          </a:extLst>
        </xdr:cNvPr>
        <xdr:cNvSpPr/>
      </xdr:nvSpPr>
      <xdr:spPr>
        <a:xfrm>
          <a:off x="209550" y="96354900"/>
          <a:ext cx="347472" cy="342900"/>
        </a:xfrm>
        <a:prstGeom prst="roundRect">
          <a:avLst/>
        </a:pr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rtlCol="0" anchor="ctr" anchorCtr="1"/>
        <a:lstStyle/>
        <a:p>
          <a:pPr algn="l"/>
          <a:r>
            <a:rPr lang="en-US" sz="1600" b="0">
              <a:solidFill>
                <a:sysClr val="windowText" lastClr="000000"/>
              </a:solidFill>
            </a:rPr>
            <a:t>O</a:t>
          </a:r>
        </a:p>
      </xdr:txBody>
    </xdr:sp>
    <xdr:clientData/>
  </xdr:twoCellAnchor>
  <xdr:twoCellAnchor>
    <xdr:from>
      <xdr:col>1</xdr:col>
      <xdr:colOff>0</xdr:colOff>
      <xdr:row>342</xdr:row>
      <xdr:rowOff>0</xdr:rowOff>
    </xdr:from>
    <xdr:to>
      <xdr:col>2</xdr:col>
      <xdr:colOff>52197</xdr:colOff>
      <xdr:row>343</xdr:row>
      <xdr:rowOff>0</xdr:rowOff>
    </xdr:to>
    <xdr:sp macro="[0]!LiqSectShowHide_Click" textlink="">
      <xdr:nvSpPr>
        <xdr:cNvPr id="43" name="shpLiqSect14">
          <a:extLst>
            <a:ext uri="{FF2B5EF4-FFF2-40B4-BE49-F238E27FC236}">
              <a16:creationId xmlns:a16="http://schemas.microsoft.com/office/drawing/2014/main" id="{362135B4-0879-45F5-BAD8-05667574C3FD}"/>
            </a:ext>
          </a:extLst>
        </xdr:cNvPr>
        <xdr:cNvSpPr/>
      </xdr:nvSpPr>
      <xdr:spPr>
        <a:xfrm>
          <a:off x="209550" y="104174925"/>
          <a:ext cx="347472" cy="342900"/>
        </a:xfrm>
        <a:prstGeom prst="roundRect">
          <a:avLst/>
        </a:pr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rtlCol="0" anchor="ctr" anchorCtr="1"/>
        <a:lstStyle/>
        <a:p>
          <a:pPr algn="l"/>
          <a:r>
            <a:rPr lang="en-US" sz="1600" b="0">
              <a:solidFill>
                <a:sysClr val="windowText" lastClr="000000"/>
              </a:solidFill>
            </a:rPr>
            <a:t>O</a:t>
          </a:r>
        </a:p>
      </xdr:txBody>
    </xdr:sp>
    <xdr:clientData/>
  </xdr:twoCellAnchor>
  <xdr:twoCellAnchor>
    <xdr:from>
      <xdr:col>1</xdr:col>
      <xdr:colOff>0</xdr:colOff>
      <xdr:row>368</xdr:row>
      <xdr:rowOff>0</xdr:rowOff>
    </xdr:from>
    <xdr:to>
      <xdr:col>2</xdr:col>
      <xdr:colOff>52197</xdr:colOff>
      <xdr:row>369</xdr:row>
      <xdr:rowOff>0</xdr:rowOff>
    </xdr:to>
    <xdr:sp macro="[0]!LiqSectShowHide_Click" textlink="">
      <xdr:nvSpPr>
        <xdr:cNvPr id="44" name="shpLiqSect15">
          <a:extLst>
            <a:ext uri="{FF2B5EF4-FFF2-40B4-BE49-F238E27FC236}">
              <a16:creationId xmlns:a16="http://schemas.microsoft.com/office/drawing/2014/main" id="{A22F3EC0-01D6-4B72-AE83-6573D90EE66D}"/>
            </a:ext>
          </a:extLst>
        </xdr:cNvPr>
        <xdr:cNvSpPr/>
      </xdr:nvSpPr>
      <xdr:spPr>
        <a:xfrm>
          <a:off x="209550" y="111994950"/>
          <a:ext cx="347472" cy="342900"/>
        </a:xfrm>
        <a:prstGeom prst="roundRect">
          <a:avLst/>
        </a:pr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rtlCol="0" anchor="ctr" anchorCtr="1"/>
        <a:lstStyle/>
        <a:p>
          <a:pPr algn="l"/>
          <a:r>
            <a:rPr lang="en-US" sz="1600" b="0">
              <a:solidFill>
                <a:sysClr val="windowText" lastClr="000000"/>
              </a:solidFill>
            </a:rPr>
            <a:t>O</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194086</xdr:colOff>
      <xdr:row>0</xdr:row>
      <xdr:rowOff>108585</xdr:rowOff>
    </xdr:from>
    <xdr:to>
      <xdr:col>15</xdr:col>
      <xdr:colOff>613304</xdr:colOff>
      <xdr:row>0</xdr:row>
      <xdr:rowOff>432435</xdr:rowOff>
    </xdr:to>
    <xdr:pic>
      <xdr:nvPicPr>
        <xdr:cNvPr id="2" name="Picture 1">
          <a:extLst>
            <a:ext uri="{FF2B5EF4-FFF2-40B4-BE49-F238E27FC236}">
              <a16:creationId xmlns:a16="http://schemas.microsoft.com/office/drawing/2014/main" id="{F1D21355-4460-468C-97E5-10E93513652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385711" y="108585"/>
          <a:ext cx="1066918" cy="323850"/>
        </a:xfrm>
        <a:prstGeom prst="rect">
          <a:avLst/>
        </a:prstGeom>
      </xdr:spPr>
    </xdr:pic>
    <xdr:clientData/>
  </xdr:twoCellAnchor>
  <xdr:twoCellAnchor>
    <xdr:from>
      <xdr:col>7</xdr:col>
      <xdr:colOff>50321</xdr:colOff>
      <xdr:row>6</xdr:row>
      <xdr:rowOff>100641</xdr:rowOff>
    </xdr:from>
    <xdr:to>
      <xdr:col>7</xdr:col>
      <xdr:colOff>172528</xdr:colOff>
      <xdr:row>6</xdr:row>
      <xdr:rowOff>237226</xdr:rowOff>
    </xdr:to>
    <xdr:sp macro="" textlink="">
      <xdr:nvSpPr>
        <xdr:cNvPr id="3" name="Right Arrow 2">
          <a:extLst>
            <a:ext uri="{FF2B5EF4-FFF2-40B4-BE49-F238E27FC236}">
              <a16:creationId xmlns:a16="http://schemas.microsoft.com/office/drawing/2014/main" id="{14C38255-CBB3-4DC9-B171-BCB8A28583AB}"/>
            </a:ext>
          </a:extLst>
        </xdr:cNvPr>
        <xdr:cNvSpPr/>
      </xdr:nvSpPr>
      <xdr:spPr>
        <a:xfrm>
          <a:off x="6060596" y="2891466"/>
          <a:ext cx="122207" cy="136585"/>
        </a:xfrm>
        <a:prstGeom prst="rightArrow">
          <a:avLst/>
        </a:prstGeom>
        <a:solidFill>
          <a:srgbClr val="B3C3FB"/>
        </a:solidFill>
        <a:ln>
          <a:solidFill>
            <a:srgbClr val="B16FF4"/>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50321</xdr:colOff>
      <xdr:row>38</xdr:row>
      <xdr:rowOff>100641</xdr:rowOff>
    </xdr:from>
    <xdr:to>
      <xdr:col>7</xdr:col>
      <xdr:colOff>172528</xdr:colOff>
      <xdr:row>38</xdr:row>
      <xdr:rowOff>237226</xdr:rowOff>
    </xdr:to>
    <xdr:sp macro="" textlink="">
      <xdr:nvSpPr>
        <xdr:cNvPr id="4" name="Right Arrow 2">
          <a:extLst>
            <a:ext uri="{FF2B5EF4-FFF2-40B4-BE49-F238E27FC236}">
              <a16:creationId xmlns:a16="http://schemas.microsoft.com/office/drawing/2014/main" id="{B079BC6B-878C-46A8-A0C7-E03E61347158}"/>
            </a:ext>
          </a:extLst>
        </xdr:cNvPr>
        <xdr:cNvSpPr/>
      </xdr:nvSpPr>
      <xdr:spPr>
        <a:xfrm>
          <a:off x="6060596" y="2891466"/>
          <a:ext cx="122207" cy="136585"/>
        </a:xfrm>
        <a:prstGeom prst="rightArrow">
          <a:avLst/>
        </a:prstGeom>
        <a:solidFill>
          <a:srgbClr val="B3C3FB"/>
        </a:solidFill>
        <a:ln>
          <a:solidFill>
            <a:srgbClr val="B16FF4"/>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4</xdr:row>
      <xdr:rowOff>0</xdr:rowOff>
    </xdr:from>
    <xdr:to>
      <xdr:col>2</xdr:col>
      <xdr:colOff>67056</xdr:colOff>
      <xdr:row>5</xdr:row>
      <xdr:rowOff>0</xdr:rowOff>
    </xdr:to>
    <xdr:sp macro="[0]!CompSectShowHide_Click" textlink="">
      <xdr:nvSpPr>
        <xdr:cNvPr id="5" name="shpCompSect01">
          <a:extLst>
            <a:ext uri="{FF2B5EF4-FFF2-40B4-BE49-F238E27FC236}">
              <a16:creationId xmlns:a16="http://schemas.microsoft.com/office/drawing/2014/main" id="{3F1166B1-ACA6-4D11-8D9C-2648A21A1D82}"/>
            </a:ext>
          </a:extLst>
        </xdr:cNvPr>
        <xdr:cNvSpPr/>
      </xdr:nvSpPr>
      <xdr:spPr>
        <a:xfrm>
          <a:off x="152400" y="2257425"/>
          <a:ext cx="219456" cy="266700"/>
        </a:xfrm>
        <a:prstGeom prst="roundRect">
          <a:avLst/>
        </a:prstGeom>
        <a:solidFill>
          <a:srgbClr val="B4C6E7"/>
        </a:solidFill>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rtlCol="0" anchor="ctr" anchorCtr="1"/>
        <a:lstStyle/>
        <a:p>
          <a:pPr algn="l"/>
          <a:r>
            <a:rPr lang="en-US" sz="1600" b="0">
              <a:solidFill>
                <a:sysClr val="windowText" lastClr="000000"/>
              </a:solidFill>
            </a:rPr>
            <a:t>X</a:t>
          </a:r>
        </a:p>
      </xdr:txBody>
    </xdr:sp>
    <xdr:clientData/>
  </xdr:twoCellAnchor>
  <xdr:twoCellAnchor>
    <xdr:from>
      <xdr:col>1</xdr:col>
      <xdr:colOff>0</xdr:colOff>
      <xdr:row>36</xdr:row>
      <xdr:rowOff>0</xdr:rowOff>
    </xdr:from>
    <xdr:to>
      <xdr:col>2</xdr:col>
      <xdr:colOff>67056</xdr:colOff>
      <xdr:row>37</xdr:row>
      <xdr:rowOff>0</xdr:rowOff>
    </xdr:to>
    <xdr:sp macro="[0]!CompSectShowHide_Click" textlink="">
      <xdr:nvSpPr>
        <xdr:cNvPr id="6" name="shpCompSect02">
          <a:extLst>
            <a:ext uri="{FF2B5EF4-FFF2-40B4-BE49-F238E27FC236}">
              <a16:creationId xmlns:a16="http://schemas.microsoft.com/office/drawing/2014/main" id="{34E42F95-32A1-4C12-896E-51559454FC6A}"/>
            </a:ext>
          </a:extLst>
        </xdr:cNvPr>
        <xdr:cNvSpPr/>
      </xdr:nvSpPr>
      <xdr:spPr>
        <a:xfrm>
          <a:off x="152400" y="12963525"/>
          <a:ext cx="219456" cy="266700"/>
        </a:xfrm>
        <a:prstGeom prst="roundRect">
          <a:avLst/>
        </a:pr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rtlCol="0" anchor="ctr" anchorCtr="1"/>
        <a:lstStyle/>
        <a:p>
          <a:pPr algn="l"/>
          <a:r>
            <a:rPr lang="en-US" sz="1600" b="0">
              <a:solidFill>
                <a:sysClr val="windowText" lastClr="000000"/>
              </a:solidFill>
            </a:rPr>
            <a:t>O</a:t>
          </a:r>
        </a:p>
      </xdr:txBody>
    </xdr:sp>
    <xdr:clientData/>
  </xdr:twoCellAnchor>
  <xdr:twoCellAnchor>
    <xdr:from>
      <xdr:col>7</xdr:col>
      <xdr:colOff>50321</xdr:colOff>
      <xdr:row>70</xdr:row>
      <xdr:rowOff>100641</xdr:rowOff>
    </xdr:from>
    <xdr:to>
      <xdr:col>7</xdr:col>
      <xdr:colOff>172528</xdr:colOff>
      <xdr:row>70</xdr:row>
      <xdr:rowOff>237226</xdr:rowOff>
    </xdr:to>
    <xdr:sp macro="" textlink="">
      <xdr:nvSpPr>
        <xdr:cNvPr id="7" name="Right Arrow 2">
          <a:extLst>
            <a:ext uri="{FF2B5EF4-FFF2-40B4-BE49-F238E27FC236}">
              <a16:creationId xmlns:a16="http://schemas.microsoft.com/office/drawing/2014/main" id="{5A33C6EA-08CA-4D44-8007-F736CA219229}"/>
            </a:ext>
          </a:extLst>
        </xdr:cNvPr>
        <xdr:cNvSpPr/>
      </xdr:nvSpPr>
      <xdr:spPr>
        <a:xfrm>
          <a:off x="6060596" y="2891466"/>
          <a:ext cx="122207" cy="136585"/>
        </a:xfrm>
        <a:prstGeom prst="rightArrow">
          <a:avLst/>
        </a:prstGeom>
        <a:solidFill>
          <a:srgbClr val="B3C3FB"/>
        </a:solidFill>
        <a:ln>
          <a:solidFill>
            <a:srgbClr val="B16FF4"/>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50321</xdr:colOff>
      <xdr:row>102</xdr:row>
      <xdr:rowOff>100641</xdr:rowOff>
    </xdr:from>
    <xdr:to>
      <xdr:col>7</xdr:col>
      <xdr:colOff>172528</xdr:colOff>
      <xdr:row>102</xdr:row>
      <xdr:rowOff>237226</xdr:rowOff>
    </xdr:to>
    <xdr:sp macro="" textlink="">
      <xdr:nvSpPr>
        <xdr:cNvPr id="8" name="Right Arrow 2">
          <a:extLst>
            <a:ext uri="{FF2B5EF4-FFF2-40B4-BE49-F238E27FC236}">
              <a16:creationId xmlns:a16="http://schemas.microsoft.com/office/drawing/2014/main" id="{F7111416-2072-4EE5-9D38-75D206669582}"/>
            </a:ext>
          </a:extLst>
        </xdr:cNvPr>
        <xdr:cNvSpPr/>
      </xdr:nvSpPr>
      <xdr:spPr>
        <a:xfrm>
          <a:off x="6060596" y="13597566"/>
          <a:ext cx="122207" cy="136585"/>
        </a:xfrm>
        <a:prstGeom prst="rightArrow">
          <a:avLst/>
        </a:prstGeom>
        <a:solidFill>
          <a:srgbClr val="B3C3FB"/>
        </a:solidFill>
        <a:ln>
          <a:solidFill>
            <a:srgbClr val="B16FF4"/>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68</xdr:row>
      <xdr:rowOff>0</xdr:rowOff>
    </xdr:from>
    <xdr:to>
      <xdr:col>2</xdr:col>
      <xdr:colOff>67056</xdr:colOff>
      <xdr:row>69</xdr:row>
      <xdr:rowOff>0</xdr:rowOff>
    </xdr:to>
    <xdr:sp macro="[0]!CompSectShowHide_Click" textlink="">
      <xdr:nvSpPr>
        <xdr:cNvPr id="9" name="shpCompSect03">
          <a:extLst>
            <a:ext uri="{FF2B5EF4-FFF2-40B4-BE49-F238E27FC236}">
              <a16:creationId xmlns:a16="http://schemas.microsoft.com/office/drawing/2014/main" id="{3DC8DD98-E7CE-494D-BDE7-DDC9FB50E41A}"/>
            </a:ext>
          </a:extLst>
        </xdr:cNvPr>
        <xdr:cNvSpPr/>
      </xdr:nvSpPr>
      <xdr:spPr>
        <a:xfrm>
          <a:off x="152400" y="2257425"/>
          <a:ext cx="219456" cy="266700"/>
        </a:xfrm>
        <a:prstGeom prst="roundRect">
          <a:avLst/>
        </a:pr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rtlCol="0" anchor="ctr" anchorCtr="1"/>
        <a:lstStyle/>
        <a:p>
          <a:pPr algn="l"/>
          <a:r>
            <a:rPr lang="en-US" sz="1600" b="0">
              <a:solidFill>
                <a:sysClr val="windowText" lastClr="000000"/>
              </a:solidFill>
            </a:rPr>
            <a:t>O</a:t>
          </a:r>
        </a:p>
      </xdr:txBody>
    </xdr:sp>
    <xdr:clientData/>
  </xdr:twoCellAnchor>
  <xdr:twoCellAnchor>
    <xdr:from>
      <xdr:col>1</xdr:col>
      <xdr:colOff>0</xdr:colOff>
      <xdr:row>100</xdr:row>
      <xdr:rowOff>0</xdr:rowOff>
    </xdr:from>
    <xdr:to>
      <xdr:col>2</xdr:col>
      <xdr:colOff>67056</xdr:colOff>
      <xdr:row>101</xdr:row>
      <xdr:rowOff>0</xdr:rowOff>
    </xdr:to>
    <xdr:sp macro="[0]!CompSectShowHide_Click" textlink="">
      <xdr:nvSpPr>
        <xdr:cNvPr id="10" name="shpCompSect04">
          <a:extLst>
            <a:ext uri="{FF2B5EF4-FFF2-40B4-BE49-F238E27FC236}">
              <a16:creationId xmlns:a16="http://schemas.microsoft.com/office/drawing/2014/main" id="{DBACCAC1-20BF-4331-AFA3-885FAAAEF23E}"/>
            </a:ext>
          </a:extLst>
        </xdr:cNvPr>
        <xdr:cNvSpPr/>
      </xdr:nvSpPr>
      <xdr:spPr>
        <a:xfrm>
          <a:off x="152400" y="12963525"/>
          <a:ext cx="219456" cy="266700"/>
        </a:xfrm>
        <a:prstGeom prst="roundRect">
          <a:avLst/>
        </a:pr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rtlCol="0" anchor="ctr" anchorCtr="1"/>
        <a:lstStyle/>
        <a:p>
          <a:pPr algn="l"/>
          <a:r>
            <a:rPr lang="en-US" sz="1600" b="0">
              <a:solidFill>
                <a:sysClr val="windowText" lastClr="000000"/>
              </a:solidFill>
            </a:rPr>
            <a:t>O</a:t>
          </a:r>
        </a:p>
      </xdr:txBody>
    </xdr:sp>
    <xdr:clientData/>
  </xdr:twoCellAnchor>
  <xdr:twoCellAnchor>
    <xdr:from>
      <xdr:col>7</xdr:col>
      <xdr:colOff>50321</xdr:colOff>
      <xdr:row>134</xdr:row>
      <xdr:rowOff>100641</xdr:rowOff>
    </xdr:from>
    <xdr:to>
      <xdr:col>7</xdr:col>
      <xdr:colOff>172528</xdr:colOff>
      <xdr:row>134</xdr:row>
      <xdr:rowOff>237226</xdr:rowOff>
    </xdr:to>
    <xdr:sp macro="" textlink="">
      <xdr:nvSpPr>
        <xdr:cNvPr id="11" name="Right Arrow 2">
          <a:extLst>
            <a:ext uri="{FF2B5EF4-FFF2-40B4-BE49-F238E27FC236}">
              <a16:creationId xmlns:a16="http://schemas.microsoft.com/office/drawing/2014/main" id="{4CDFA105-6D86-45C9-A33E-844CC6F02145}"/>
            </a:ext>
          </a:extLst>
        </xdr:cNvPr>
        <xdr:cNvSpPr/>
      </xdr:nvSpPr>
      <xdr:spPr>
        <a:xfrm>
          <a:off x="6060596" y="2891466"/>
          <a:ext cx="122207" cy="136585"/>
        </a:xfrm>
        <a:prstGeom prst="rightArrow">
          <a:avLst/>
        </a:prstGeom>
        <a:solidFill>
          <a:srgbClr val="B3C3FB"/>
        </a:solidFill>
        <a:ln>
          <a:solidFill>
            <a:srgbClr val="B16FF4"/>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50321</xdr:colOff>
      <xdr:row>166</xdr:row>
      <xdr:rowOff>100641</xdr:rowOff>
    </xdr:from>
    <xdr:to>
      <xdr:col>7</xdr:col>
      <xdr:colOff>172528</xdr:colOff>
      <xdr:row>166</xdr:row>
      <xdr:rowOff>237226</xdr:rowOff>
    </xdr:to>
    <xdr:sp macro="" textlink="">
      <xdr:nvSpPr>
        <xdr:cNvPr id="12" name="Right Arrow 2">
          <a:extLst>
            <a:ext uri="{FF2B5EF4-FFF2-40B4-BE49-F238E27FC236}">
              <a16:creationId xmlns:a16="http://schemas.microsoft.com/office/drawing/2014/main" id="{E8DC1014-FBDB-406D-9F83-5BBC83E66AF6}"/>
            </a:ext>
          </a:extLst>
        </xdr:cNvPr>
        <xdr:cNvSpPr/>
      </xdr:nvSpPr>
      <xdr:spPr>
        <a:xfrm>
          <a:off x="6060596" y="13597566"/>
          <a:ext cx="122207" cy="136585"/>
        </a:xfrm>
        <a:prstGeom prst="rightArrow">
          <a:avLst/>
        </a:prstGeom>
        <a:solidFill>
          <a:srgbClr val="B3C3FB"/>
        </a:solidFill>
        <a:ln>
          <a:solidFill>
            <a:srgbClr val="B16FF4"/>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132</xdr:row>
      <xdr:rowOff>0</xdr:rowOff>
    </xdr:from>
    <xdr:to>
      <xdr:col>2</xdr:col>
      <xdr:colOff>67056</xdr:colOff>
      <xdr:row>133</xdr:row>
      <xdr:rowOff>0</xdr:rowOff>
    </xdr:to>
    <xdr:sp macro="[0]!CompSectShowHide_Click" textlink="">
      <xdr:nvSpPr>
        <xdr:cNvPr id="13" name="shpCompSect05">
          <a:extLst>
            <a:ext uri="{FF2B5EF4-FFF2-40B4-BE49-F238E27FC236}">
              <a16:creationId xmlns:a16="http://schemas.microsoft.com/office/drawing/2014/main" id="{3A764583-2E26-487B-B2F8-58621CA5B0F1}"/>
            </a:ext>
          </a:extLst>
        </xdr:cNvPr>
        <xdr:cNvSpPr/>
      </xdr:nvSpPr>
      <xdr:spPr>
        <a:xfrm>
          <a:off x="152400" y="2257425"/>
          <a:ext cx="219456" cy="266700"/>
        </a:xfrm>
        <a:prstGeom prst="roundRect">
          <a:avLst/>
        </a:pr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rtlCol="0" anchor="ctr" anchorCtr="1"/>
        <a:lstStyle/>
        <a:p>
          <a:pPr algn="l"/>
          <a:r>
            <a:rPr lang="en-US" sz="1600" b="0">
              <a:solidFill>
                <a:sysClr val="windowText" lastClr="000000"/>
              </a:solidFill>
            </a:rPr>
            <a:t>O</a:t>
          </a:r>
        </a:p>
      </xdr:txBody>
    </xdr:sp>
    <xdr:clientData/>
  </xdr:twoCellAnchor>
  <xdr:twoCellAnchor>
    <xdr:from>
      <xdr:col>1</xdr:col>
      <xdr:colOff>0</xdr:colOff>
      <xdr:row>164</xdr:row>
      <xdr:rowOff>0</xdr:rowOff>
    </xdr:from>
    <xdr:to>
      <xdr:col>2</xdr:col>
      <xdr:colOff>67056</xdr:colOff>
      <xdr:row>165</xdr:row>
      <xdr:rowOff>0</xdr:rowOff>
    </xdr:to>
    <xdr:sp macro="[0]!CompSectShowHide_Click" textlink="">
      <xdr:nvSpPr>
        <xdr:cNvPr id="14" name="shpCompSect06">
          <a:extLst>
            <a:ext uri="{FF2B5EF4-FFF2-40B4-BE49-F238E27FC236}">
              <a16:creationId xmlns:a16="http://schemas.microsoft.com/office/drawing/2014/main" id="{5F45394C-3D1B-4F57-847D-3411A8E460E1}"/>
            </a:ext>
          </a:extLst>
        </xdr:cNvPr>
        <xdr:cNvSpPr/>
      </xdr:nvSpPr>
      <xdr:spPr>
        <a:xfrm>
          <a:off x="152400" y="12963525"/>
          <a:ext cx="219456" cy="266700"/>
        </a:xfrm>
        <a:prstGeom prst="roundRect">
          <a:avLst/>
        </a:pr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rtlCol="0" anchor="ctr" anchorCtr="1"/>
        <a:lstStyle/>
        <a:p>
          <a:pPr algn="l"/>
          <a:r>
            <a:rPr lang="en-US" sz="1600" b="0">
              <a:solidFill>
                <a:sysClr val="windowText" lastClr="000000"/>
              </a:solidFill>
            </a:rPr>
            <a:t>O</a:t>
          </a:r>
        </a:p>
      </xdr:txBody>
    </xdr:sp>
    <xdr:clientData/>
  </xdr:twoCellAnchor>
  <xdr:twoCellAnchor>
    <xdr:from>
      <xdr:col>7</xdr:col>
      <xdr:colOff>50321</xdr:colOff>
      <xdr:row>198</xdr:row>
      <xdr:rowOff>100641</xdr:rowOff>
    </xdr:from>
    <xdr:to>
      <xdr:col>7</xdr:col>
      <xdr:colOff>172528</xdr:colOff>
      <xdr:row>198</xdr:row>
      <xdr:rowOff>237226</xdr:rowOff>
    </xdr:to>
    <xdr:sp macro="" textlink="">
      <xdr:nvSpPr>
        <xdr:cNvPr id="15" name="Right Arrow 2">
          <a:extLst>
            <a:ext uri="{FF2B5EF4-FFF2-40B4-BE49-F238E27FC236}">
              <a16:creationId xmlns:a16="http://schemas.microsoft.com/office/drawing/2014/main" id="{FA781BD8-F85C-4902-B2ED-4B1ED1C4B6A7}"/>
            </a:ext>
          </a:extLst>
        </xdr:cNvPr>
        <xdr:cNvSpPr/>
      </xdr:nvSpPr>
      <xdr:spPr>
        <a:xfrm>
          <a:off x="6060596" y="24303666"/>
          <a:ext cx="122207" cy="136585"/>
        </a:xfrm>
        <a:prstGeom prst="rightArrow">
          <a:avLst/>
        </a:prstGeom>
        <a:solidFill>
          <a:srgbClr val="B3C3FB"/>
        </a:solidFill>
        <a:ln>
          <a:solidFill>
            <a:srgbClr val="B16FF4"/>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50321</xdr:colOff>
      <xdr:row>230</xdr:row>
      <xdr:rowOff>100641</xdr:rowOff>
    </xdr:from>
    <xdr:to>
      <xdr:col>7</xdr:col>
      <xdr:colOff>172528</xdr:colOff>
      <xdr:row>230</xdr:row>
      <xdr:rowOff>237226</xdr:rowOff>
    </xdr:to>
    <xdr:sp macro="" textlink="">
      <xdr:nvSpPr>
        <xdr:cNvPr id="16" name="Right Arrow 2">
          <a:extLst>
            <a:ext uri="{FF2B5EF4-FFF2-40B4-BE49-F238E27FC236}">
              <a16:creationId xmlns:a16="http://schemas.microsoft.com/office/drawing/2014/main" id="{11853C65-A26E-4511-874C-6A1890497CCF}"/>
            </a:ext>
          </a:extLst>
        </xdr:cNvPr>
        <xdr:cNvSpPr/>
      </xdr:nvSpPr>
      <xdr:spPr>
        <a:xfrm>
          <a:off x="6060596" y="35009766"/>
          <a:ext cx="122207" cy="136585"/>
        </a:xfrm>
        <a:prstGeom prst="rightArrow">
          <a:avLst/>
        </a:prstGeom>
        <a:solidFill>
          <a:srgbClr val="B3C3FB"/>
        </a:solidFill>
        <a:ln>
          <a:solidFill>
            <a:srgbClr val="B16FF4"/>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196</xdr:row>
      <xdr:rowOff>0</xdr:rowOff>
    </xdr:from>
    <xdr:to>
      <xdr:col>2</xdr:col>
      <xdr:colOff>67056</xdr:colOff>
      <xdr:row>197</xdr:row>
      <xdr:rowOff>0</xdr:rowOff>
    </xdr:to>
    <xdr:sp macro="[0]!CompSectShowHide_Click" textlink="">
      <xdr:nvSpPr>
        <xdr:cNvPr id="17" name="shpCompSect07">
          <a:extLst>
            <a:ext uri="{FF2B5EF4-FFF2-40B4-BE49-F238E27FC236}">
              <a16:creationId xmlns:a16="http://schemas.microsoft.com/office/drawing/2014/main" id="{1A5A2984-8253-431A-86A3-2F994880866C}"/>
            </a:ext>
          </a:extLst>
        </xdr:cNvPr>
        <xdr:cNvSpPr/>
      </xdr:nvSpPr>
      <xdr:spPr>
        <a:xfrm>
          <a:off x="152400" y="23669625"/>
          <a:ext cx="219456" cy="266700"/>
        </a:xfrm>
        <a:prstGeom prst="roundRect">
          <a:avLst/>
        </a:pr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rtlCol="0" anchor="ctr" anchorCtr="1"/>
        <a:lstStyle/>
        <a:p>
          <a:pPr algn="l"/>
          <a:r>
            <a:rPr lang="en-US" sz="1600" b="0">
              <a:solidFill>
                <a:sysClr val="windowText" lastClr="000000"/>
              </a:solidFill>
            </a:rPr>
            <a:t>O</a:t>
          </a:r>
        </a:p>
      </xdr:txBody>
    </xdr:sp>
    <xdr:clientData/>
  </xdr:twoCellAnchor>
  <xdr:twoCellAnchor>
    <xdr:from>
      <xdr:col>1</xdr:col>
      <xdr:colOff>0</xdr:colOff>
      <xdr:row>228</xdr:row>
      <xdr:rowOff>0</xdr:rowOff>
    </xdr:from>
    <xdr:to>
      <xdr:col>2</xdr:col>
      <xdr:colOff>67056</xdr:colOff>
      <xdr:row>229</xdr:row>
      <xdr:rowOff>0</xdr:rowOff>
    </xdr:to>
    <xdr:sp macro="[0]!CompSectShowHide_Click" textlink="">
      <xdr:nvSpPr>
        <xdr:cNvPr id="18" name="shpCompSect08">
          <a:extLst>
            <a:ext uri="{FF2B5EF4-FFF2-40B4-BE49-F238E27FC236}">
              <a16:creationId xmlns:a16="http://schemas.microsoft.com/office/drawing/2014/main" id="{08258A4C-4AB1-485E-91E0-C7595F7ECC6F}"/>
            </a:ext>
          </a:extLst>
        </xdr:cNvPr>
        <xdr:cNvSpPr/>
      </xdr:nvSpPr>
      <xdr:spPr>
        <a:xfrm>
          <a:off x="152400" y="34375725"/>
          <a:ext cx="219456" cy="266700"/>
        </a:xfrm>
        <a:prstGeom prst="roundRect">
          <a:avLst/>
        </a:pr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rtlCol="0" anchor="ctr" anchorCtr="1"/>
        <a:lstStyle/>
        <a:p>
          <a:pPr algn="l"/>
          <a:r>
            <a:rPr lang="en-US" sz="1600" b="0">
              <a:solidFill>
                <a:sysClr val="windowText" lastClr="000000"/>
              </a:solidFill>
            </a:rPr>
            <a:t>O</a:t>
          </a:r>
        </a:p>
      </xdr:txBody>
    </xdr:sp>
    <xdr:clientData/>
  </xdr:twoCellAnchor>
  <xdr:twoCellAnchor>
    <xdr:from>
      <xdr:col>7</xdr:col>
      <xdr:colOff>50321</xdr:colOff>
      <xdr:row>454</xdr:row>
      <xdr:rowOff>100641</xdr:rowOff>
    </xdr:from>
    <xdr:to>
      <xdr:col>7</xdr:col>
      <xdr:colOff>172528</xdr:colOff>
      <xdr:row>454</xdr:row>
      <xdr:rowOff>237226</xdr:rowOff>
    </xdr:to>
    <xdr:sp macro="" textlink="">
      <xdr:nvSpPr>
        <xdr:cNvPr id="19" name="Right Arrow 2">
          <a:extLst>
            <a:ext uri="{FF2B5EF4-FFF2-40B4-BE49-F238E27FC236}">
              <a16:creationId xmlns:a16="http://schemas.microsoft.com/office/drawing/2014/main" id="{C2CCBAC6-ACEC-4A6D-BC76-9BF5084C65AA}"/>
            </a:ext>
          </a:extLst>
        </xdr:cNvPr>
        <xdr:cNvSpPr/>
      </xdr:nvSpPr>
      <xdr:spPr>
        <a:xfrm>
          <a:off x="6060596" y="45715866"/>
          <a:ext cx="122207" cy="136585"/>
        </a:xfrm>
        <a:prstGeom prst="rightArrow">
          <a:avLst/>
        </a:prstGeom>
        <a:solidFill>
          <a:srgbClr val="B3C3FB"/>
        </a:solidFill>
        <a:ln>
          <a:solidFill>
            <a:srgbClr val="B16FF4"/>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50321</xdr:colOff>
      <xdr:row>486</xdr:row>
      <xdr:rowOff>100641</xdr:rowOff>
    </xdr:from>
    <xdr:to>
      <xdr:col>7</xdr:col>
      <xdr:colOff>172528</xdr:colOff>
      <xdr:row>486</xdr:row>
      <xdr:rowOff>237226</xdr:rowOff>
    </xdr:to>
    <xdr:sp macro="" textlink="">
      <xdr:nvSpPr>
        <xdr:cNvPr id="20" name="Right Arrow 2">
          <a:extLst>
            <a:ext uri="{FF2B5EF4-FFF2-40B4-BE49-F238E27FC236}">
              <a16:creationId xmlns:a16="http://schemas.microsoft.com/office/drawing/2014/main" id="{C73610D3-3FB6-4827-AF93-51EA027EA675}"/>
            </a:ext>
          </a:extLst>
        </xdr:cNvPr>
        <xdr:cNvSpPr/>
      </xdr:nvSpPr>
      <xdr:spPr>
        <a:xfrm>
          <a:off x="6060596" y="56421966"/>
          <a:ext cx="122207" cy="136585"/>
        </a:xfrm>
        <a:prstGeom prst="rightArrow">
          <a:avLst/>
        </a:prstGeom>
        <a:solidFill>
          <a:srgbClr val="B3C3FB"/>
        </a:solidFill>
        <a:ln>
          <a:solidFill>
            <a:srgbClr val="B16FF4"/>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452</xdr:row>
      <xdr:rowOff>0</xdr:rowOff>
    </xdr:from>
    <xdr:to>
      <xdr:col>2</xdr:col>
      <xdr:colOff>67056</xdr:colOff>
      <xdr:row>453</xdr:row>
      <xdr:rowOff>0</xdr:rowOff>
    </xdr:to>
    <xdr:sp macro="[0]!CompSectShowHide_Click" textlink="">
      <xdr:nvSpPr>
        <xdr:cNvPr id="21" name="shpCompSect15">
          <a:extLst>
            <a:ext uri="{FF2B5EF4-FFF2-40B4-BE49-F238E27FC236}">
              <a16:creationId xmlns:a16="http://schemas.microsoft.com/office/drawing/2014/main" id="{3577E162-3005-437C-B0E5-BC0968835250}"/>
            </a:ext>
          </a:extLst>
        </xdr:cNvPr>
        <xdr:cNvSpPr/>
      </xdr:nvSpPr>
      <xdr:spPr>
        <a:xfrm>
          <a:off x="152400" y="45081825"/>
          <a:ext cx="219456" cy="266700"/>
        </a:xfrm>
        <a:prstGeom prst="roundRect">
          <a:avLst/>
        </a:pr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rtlCol="0" anchor="ctr" anchorCtr="1"/>
        <a:lstStyle/>
        <a:p>
          <a:pPr algn="l"/>
          <a:r>
            <a:rPr lang="en-US" sz="1600" b="0">
              <a:solidFill>
                <a:sysClr val="windowText" lastClr="000000"/>
              </a:solidFill>
            </a:rPr>
            <a:t>O</a:t>
          </a:r>
        </a:p>
      </xdr:txBody>
    </xdr:sp>
    <xdr:clientData/>
  </xdr:twoCellAnchor>
  <xdr:twoCellAnchor>
    <xdr:from>
      <xdr:col>1</xdr:col>
      <xdr:colOff>0</xdr:colOff>
      <xdr:row>484</xdr:row>
      <xdr:rowOff>0</xdr:rowOff>
    </xdr:from>
    <xdr:to>
      <xdr:col>2</xdr:col>
      <xdr:colOff>67056</xdr:colOff>
      <xdr:row>485</xdr:row>
      <xdr:rowOff>0</xdr:rowOff>
    </xdr:to>
    <xdr:sp macro="[0]!CompSectShowHide_Click" textlink="">
      <xdr:nvSpPr>
        <xdr:cNvPr id="22" name="shpCompSect16">
          <a:extLst>
            <a:ext uri="{FF2B5EF4-FFF2-40B4-BE49-F238E27FC236}">
              <a16:creationId xmlns:a16="http://schemas.microsoft.com/office/drawing/2014/main" id="{F8825C9E-F9F7-431A-B75B-85E3680B1614}"/>
            </a:ext>
          </a:extLst>
        </xdr:cNvPr>
        <xdr:cNvSpPr/>
      </xdr:nvSpPr>
      <xdr:spPr>
        <a:xfrm>
          <a:off x="152400" y="55787925"/>
          <a:ext cx="219456" cy="266700"/>
        </a:xfrm>
        <a:prstGeom prst="roundRect">
          <a:avLst/>
        </a:pr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rtlCol="0" anchor="ctr" anchorCtr="1"/>
        <a:lstStyle/>
        <a:p>
          <a:pPr algn="l"/>
          <a:r>
            <a:rPr lang="en-US" sz="1600" b="0">
              <a:solidFill>
                <a:sysClr val="windowText" lastClr="000000"/>
              </a:solidFill>
            </a:rPr>
            <a:t>O</a:t>
          </a:r>
        </a:p>
      </xdr:txBody>
    </xdr:sp>
    <xdr:clientData/>
  </xdr:twoCellAnchor>
  <xdr:twoCellAnchor>
    <xdr:from>
      <xdr:col>7</xdr:col>
      <xdr:colOff>50321</xdr:colOff>
      <xdr:row>518</xdr:row>
      <xdr:rowOff>100641</xdr:rowOff>
    </xdr:from>
    <xdr:to>
      <xdr:col>7</xdr:col>
      <xdr:colOff>172528</xdr:colOff>
      <xdr:row>518</xdr:row>
      <xdr:rowOff>237226</xdr:rowOff>
    </xdr:to>
    <xdr:sp macro="" textlink="">
      <xdr:nvSpPr>
        <xdr:cNvPr id="23" name="Right Arrow 2">
          <a:extLst>
            <a:ext uri="{FF2B5EF4-FFF2-40B4-BE49-F238E27FC236}">
              <a16:creationId xmlns:a16="http://schemas.microsoft.com/office/drawing/2014/main" id="{1958302A-14DF-4C4D-A13B-0CAFE09D0CF2}"/>
            </a:ext>
          </a:extLst>
        </xdr:cNvPr>
        <xdr:cNvSpPr/>
      </xdr:nvSpPr>
      <xdr:spPr>
        <a:xfrm>
          <a:off x="6060596" y="67128066"/>
          <a:ext cx="122207" cy="136585"/>
        </a:xfrm>
        <a:prstGeom prst="rightArrow">
          <a:avLst/>
        </a:prstGeom>
        <a:solidFill>
          <a:srgbClr val="B3C3FB"/>
        </a:solidFill>
        <a:ln>
          <a:solidFill>
            <a:srgbClr val="B16FF4"/>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50321</xdr:colOff>
      <xdr:row>550</xdr:row>
      <xdr:rowOff>100641</xdr:rowOff>
    </xdr:from>
    <xdr:to>
      <xdr:col>7</xdr:col>
      <xdr:colOff>172528</xdr:colOff>
      <xdr:row>550</xdr:row>
      <xdr:rowOff>237226</xdr:rowOff>
    </xdr:to>
    <xdr:sp macro="" textlink="">
      <xdr:nvSpPr>
        <xdr:cNvPr id="24" name="Right Arrow 2">
          <a:extLst>
            <a:ext uri="{FF2B5EF4-FFF2-40B4-BE49-F238E27FC236}">
              <a16:creationId xmlns:a16="http://schemas.microsoft.com/office/drawing/2014/main" id="{B5A521EA-E747-49E9-BBA2-8215AEFE2965}"/>
            </a:ext>
          </a:extLst>
        </xdr:cNvPr>
        <xdr:cNvSpPr/>
      </xdr:nvSpPr>
      <xdr:spPr>
        <a:xfrm>
          <a:off x="6060596" y="77834166"/>
          <a:ext cx="122207" cy="136585"/>
        </a:xfrm>
        <a:prstGeom prst="rightArrow">
          <a:avLst/>
        </a:prstGeom>
        <a:solidFill>
          <a:srgbClr val="B3C3FB"/>
        </a:solidFill>
        <a:ln>
          <a:solidFill>
            <a:srgbClr val="B16FF4"/>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516</xdr:row>
      <xdr:rowOff>0</xdr:rowOff>
    </xdr:from>
    <xdr:to>
      <xdr:col>2</xdr:col>
      <xdr:colOff>67056</xdr:colOff>
      <xdr:row>517</xdr:row>
      <xdr:rowOff>0</xdr:rowOff>
    </xdr:to>
    <xdr:sp macro="[0]!CompSectShowHide_Click" textlink="">
      <xdr:nvSpPr>
        <xdr:cNvPr id="25" name="shpCompSect17">
          <a:extLst>
            <a:ext uri="{FF2B5EF4-FFF2-40B4-BE49-F238E27FC236}">
              <a16:creationId xmlns:a16="http://schemas.microsoft.com/office/drawing/2014/main" id="{D7EA73BF-60DD-4703-9163-EBFFB696DBCC}"/>
            </a:ext>
          </a:extLst>
        </xdr:cNvPr>
        <xdr:cNvSpPr/>
      </xdr:nvSpPr>
      <xdr:spPr>
        <a:xfrm>
          <a:off x="152400" y="66494025"/>
          <a:ext cx="219456" cy="266700"/>
        </a:xfrm>
        <a:prstGeom prst="roundRect">
          <a:avLst/>
        </a:pr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rtlCol="0" anchor="ctr" anchorCtr="1"/>
        <a:lstStyle/>
        <a:p>
          <a:pPr algn="l"/>
          <a:r>
            <a:rPr lang="en-US" sz="1600" b="0">
              <a:solidFill>
                <a:sysClr val="windowText" lastClr="000000"/>
              </a:solidFill>
            </a:rPr>
            <a:t>O</a:t>
          </a:r>
        </a:p>
      </xdr:txBody>
    </xdr:sp>
    <xdr:clientData/>
  </xdr:twoCellAnchor>
  <xdr:twoCellAnchor>
    <xdr:from>
      <xdr:col>1</xdr:col>
      <xdr:colOff>0</xdr:colOff>
      <xdr:row>548</xdr:row>
      <xdr:rowOff>0</xdr:rowOff>
    </xdr:from>
    <xdr:to>
      <xdr:col>2</xdr:col>
      <xdr:colOff>67056</xdr:colOff>
      <xdr:row>549</xdr:row>
      <xdr:rowOff>0</xdr:rowOff>
    </xdr:to>
    <xdr:sp macro="[0]!CompSectShowHide_Click" textlink="">
      <xdr:nvSpPr>
        <xdr:cNvPr id="26" name="shpCompSect18">
          <a:extLst>
            <a:ext uri="{FF2B5EF4-FFF2-40B4-BE49-F238E27FC236}">
              <a16:creationId xmlns:a16="http://schemas.microsoft.com/office/drawing/2014/main" id="{067613AE-25EF-401F-ADAF-9ACED7AF35F8}"/>
            </a:ext>
          </a:extLst>
        </xdr:cNvPr>
        <xdr:cNvSpPr/>
      </xdr:nvSpPr>
      <xdr:spPr>
        <a:xfrm>
          <a:off x="152400" y="77200125"/>
          <a:ext cx="219456" cy="266700"/>
        </a:xfrm>
        <a:prstGeom prst="roundRect">
          <a:avLst/>
        </a:pr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rtlCol="0" anchor="ctr" anchorCtr="1"/>
        <a:lstStyle/>
        <a:p>
          <a:pPr algn="l"/>
          <a:r>
            <a:rPr lang="en-US" sz="1600" b="0">
              <a:solidFill>
                <a:sysClr val="windowText" lastClr="000000"/>
              </a:solidFill>
            </a:rPr>
            <a:t>O</a:t>
          </a:r>
        </a:p>
      </xdr:txBody>
    </xdr:sp>
    <xdr:clientData/>
  </xdr:twoCellAnchor>
  <xdr:twoCellAnchor>
    <xdr:from>
      <xdr:col>7</xdr:col>
      <xdr:colOff>50321</xdr:colOff>
      <xdr:row>262</xdr:row>
      <xdr:rowOff>100641</xdr:rowOff>
    </xdr:from>
    <xdr:to>
      <xdr:col>7</xdr:col>
      <xdr:colOff>172528</xdr:colOff>
      <xdr:row>262</xdr:row>
      <xdr:rowOff>237226</xdr:rowOff>
    </xdr:to>
    <xdr:sp macro="" textlink="">
      <xdr:nvSpPr>
        <xdr:cNvPr id="27" name="Right Arrow 2">
          <a:extLst>
            <a:ext uri="{FF2B5EF4-FFF2-40B4-BE49-F238E27FC236}">
              <a16:creationId xmlns:a16="http://schemas.microsoft.com/office/drawing/2014/main" id="{45D6DF39-6D84-4F47-A685-AC2026F6A9A7}"/>
            </a:ext>
          </a:extLst>
        </xdr:cNvPr>
        <xdr:cNvSpPr/>
      </xdr:nvSpPr>
      <xdr:spPr>
        <a:xfrm>
          <a:off x="6060596" y="110485866"/>
          <a:ext cx="122207" cy="136585"/>
        </a:xfrm>
        <a:prstGeom prst="rightArrow">
          <a:avLst/>
        </a:prstGeom>
        <a:solidFill>
          <a:srgbClr val="B3C3FB"/>
        </a:solidFill>
        <a:ln>
          <a:solidFill>
            <a:srgbClr val="B16FF4"/>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50321</xdr:colOff>
      <xdr:row>294</xdr:row>
      <xdr:rowOff>100641</xdr:rowOff>
    </xdr:from>
    <xdr:to>
      <xdr:col>7</xdr:col>
      <xdr:colOff>172528</xdr:colOff>
      <xdr:row>294</xdr:row>
      <xdr:rowOff>237226</xdr:rowOff>
    </xdr:to>
    <xdr:sp macro="" textlink="">
      <xdr:nvSpPr>
        <xdr:cNvPr id="28" name="Right Arrow 2">
          <a:extLst>
            <a:ext uri="{FF2B5EF4-FFF2-40B4-BE49-F238E27FC236}">
              <a16:creationId xmlns:a16="http://schemas.microsoft.com/office/drawing/2014/main" id="{7A61D910-6879-4FA9-8358-B223A444A6B5}"/>
            </a:ext>
          </a:extLst>
        </xdr:cNvPr>
        <xdr:cNvSpPr/>
      </xdr:nvSpPr>
      <xdr:spPr>
        <a:xfrm>
          <a:off x="6060596" y="121191966"/>
          <a:ext cx="122207" cy="136585"/>
        </a:xfrm>
        <a:prstGeom prst="rightArrow">
          <a:avLst/>
        </a:prstGeom>
        <a:solidFill>
          <a:srgbClr val="B3C3FB"/>
        </a:solidFill>
        <a:ln>
          <a:solidFill>
            <a:srgbClr val="B16FF4"/>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260</xdr:row>
      <xdr:rowOff>0</xdr:rowOff>
    </xdr:from>
    <xdr:to>
      <xdr:col>2</xdr:col>
      <xdr:colOff>67056</xdr:colOff>
      <xdr:row>261</xdr:row>
      <xdr:rowOff>0</xdr:rowOff>
    </xdr:to>
    <xdr:sp macro="[0]!CompSectShowHide_Click" textlink="">
      <xdr:nvSpPr>
        <xdr:cNvPr id="29" name="shpCompSect09">
          <a:extLst>
            <a:ext uri="{FF2B5EF4-FFF2-40B4-BE49-F238E27FC236}">
              <a16:creationId xmlns:a16="http://schemas.microsoft.com/office/drawing/2014/main" id="{690CEE3E-34A0-4573-8342-475189715DCD}"/>
            </a:ext>
          </a:extLst>
        </xdr:cNvPr>
        <xdr:cNvSpPr/>
      </xdr:nvSpPr>
      <xdr:spPr>
        <a:xfrm>
          <a:off x="152400" y="109851825"/>
          <a:ext cx="219456" cy="266700"/>
        </a:xfrm>
        <a:prstGeom prst="roundRect">
          <a:avLst/>
        </a:pr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rtlCol="0" anchor="ctr" anchorCtr="1"/>
        <a:lstStyle/>
        <a:p>
          <a:pPr algn="l"/>
          <a:r>
            <a:rPr lang="en-US" sz="1600" b="0">
              <a:solidFill>
                <a:sysClr val="windowText" lastClr="000000"/>
              </a:solidFill>
            </a:rPr>
            <a:t>O</a:t>
          </a:r>
        </a:p>
      </xdr:txBody>
    </xdr:sp>
    <xdr:clientData/>
  </xdr:twoCellAnchor>
  <xdr:twoCellAnchor>
    <xdr:from>
      <xdr:col>1</xdr:col>
      <xdr:colOff>0</xdr:colOff>
      <xdr:row>292</xdr:row>
      <xdr:rowOff>0</xdr:rowOff>
    </xdr:from>
    <xdr:to>
      <xdr:col>2</xdr:col>
      <xdr:colOff>67056</xdr:colOff>
      <xdr:row>293</xdr:row>
      <xdr:rowOff>0</xdr:rowOff>
    </xdr:to>
    <xdr:sp macro="[0]!CompSectShowHide_Click" textlink="">
      <xdr:nvSpPr>
        <xdr:cNvPr id="30" name="shpCompSect10">
          <a:extLst>
            <a:ext uri="{FF2B5EF4-FFF2-40B4-BE49-F238E27FC236}">
              <a16:creationId xmlns:a16="http://schemas.microsoft.com/office/drawing/2014/main" id="{5C5BF50E-CA0F-4E2A-9C47-C30509E613A5}"/>
            </a:ext>
          </a:extLst>
        </xdr:cNvPr>
        <xdr:cNvSpPr/>
      </xdr:nvSpPr>
      <xdr:spPr>
        <a:xfrm>
          <a:off x="152400" y="120557925"/>
          <a:ext cx="219456" cy="266700"/>
        </a:xfrm>
        <a:prstGeom prst="roundRect">
          <a:avLst/>
        </a:pr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rtlCol="0" anchor="ctr" anchorCtr="1"/>
        <a:lstStyle/>
        <a:p>
          <a:pPr algn="l"/>
          <a:r>
            <a:rPr lang="en-US" sz="1600" b="0">
              <a:solidFill>
                <a:sysClr val="windowText" lastClr="000000"/>
              </a:solidFill>
            </a:rPr>
            <a:t>O</a:t>
          </a:r>
        </a:p>
      </xdr:txBody>
    </xdr:sp>
    <xdr:clientData/>
  </xdr:twoCellAnchor>
  <xdr:twoCellAnchor>
    <xdr:from>
      <xdr:col>7</xdr:col>
      <xdr:colOff>50321</xdr:colOff>
      <xdr:row>390</xdr:row>
      <xdr:rowOff>100641</xdr:rowOff>
    </xdr:from>
    <xdr:to>
      <xdr:col>7</xdr:col>
      <xdr:colOff>172528</xdr:colOff>
      <xdr:row>390</xdr:row>
      <xdr:rowOff>237226</xdr:rowOff>
    </xdr:to>
    <xdr:sp macro="" textlink="">
      <xdr:nvSpPr>
        <xdr:cNvPr id="31" name="Right Arrow 2">
          <a:extLst>
            <a:ext uri="{FF2B5EF4-FFF2-40B4-BE49-F238E27FC236}">
              <a16:creationId xmlns:a16="http://schemas.microsoft.com/office/drawing/2014/main" id="{371C795C-E8D0-4AD0-9919-DB9D2A4A3E44}"/>
            </a:ext>
          </a:extLst>
        </xdr:cNvPr>
        <xdr:cNvSpPr/>
      </xdr:nvSpPr>
      <xdr:spPr>
        <a:xfrm>
          <a:off x="6060596" y="131898066"/>
          <a:ext cx="122207" cy="136585"/>
        </a:xfrm>
        <a:prstGeom prst="rightArrow">
          <a:avLst/>
        </a:prstGeom>
        <a:solidFill>
          <a:srgbClr val="B3C3FB"/>
        </a:solidFill>
        <a:ln>
          <a:solidFill>
            <a:srgbClr val="B16FF4"/>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50321</xdr:colOff>
      <xdr:row>422</xdr:row>
      <xdr:rowOff>100641</xdr:rowOff>
    </xdr:from>
    <xdr:to>
      <xdr:col>7</xdr:col>
      <xdr:colOff>172528</xdr:colOff>
      <xdr:row>422</xdr:row>
      <xdr:rowOff>237226</xdr:rowOff>
    </xdr:to>
    <xdr:sp macro="" textlink="">
      <xdr:nvSpPr>
        <xdr:cNvPr id="32" name="Right Arrow 2">
          <a:extLst>
            <a:ext uri="{FF2B5EF4-FFF2-40B4-BE49-F238E27FC236}">
              <a16:creationId xmlns:a16="http://schemas.microsoft.com/office/drawing/2014/main" id="{A7A2BA80-0B85-406F-B159-1A5FCB22795D}"/>
            </a:ext>
          </a:extLst>
        </xdr:cNvPr>
        <xdr:cNvSpPr/>
      </xdr:nvSpPr>
      <xdr:spPr>
        <a:xfrm>
          <a:off x="6060596" y="142604166"/>
          <a:ext cx="122207" cy="136585"/>
        </a:xfrm>
        <a:prstGeom prst="rightArrow">
          <a:avLst/>
        </a:prstGeom>
        <a:solidFill>
          <a:srgbClr val="B3C3FB"/>
        </a:solidFill>
        <a:ln>
          <a:solidFill>
            <a:srgbClr val="B16FF4"/>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388</xdr:row>
      <xdr:rowOff>0</xdr:rowOff>
    </xdr:from>
    <xdr:to>
      <xdr:col>2</xdr:col>
      <xdr:colOff>67056</xdr:colOff>
      <xdr:row>389</xdr:row>
      <xdr:rowOff>0</xdr:rowOff>
    </xdr:to>
    <xdr:sp macro="[0]!CompSectShowHide_Click" textlink="">
      <xdr:nvSpPr>
        <xdr:cNvPr id="33" name="shpCompSect13">
          <a:extLst>
            <a:ext uri="{FF2B5EF4-FFF2-40B4-BE49-F238E27FC236}">
              <a16:creationId xmlns:a16="http://schemas.microsoft.com/office/drawing/2014/main" id="{22141E34-AA20-4D6D-A3BC-14E9246C5F1E}"/>
            </a:ext>
          </a:extLst>
        </xdr:cNvPr>
        <xdr:cNvSpPr/>
      </xdr:nvSpPr>
      <xdr:spPr>
        <a:xfrm>
          <a:off x="152400" y="131264025"/>
          <a:ext cx="219456" cy="266700"/>
        </a:xfrm>
        <a:prstGeom prst="roundRect">
          <a:avLst/>
        </a:pr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rtlCol="0" anchor="ctr" anchorCtr="1"/>
        <a:lstStyle/>
        <a:p>
          <a:pPr algn="l"/>
          <a:r>
            <a:rPr lang="en-US" sz="1600" b="0">
              <a:solidFill>
                <a:sysClr val="windowText" lastClr="000000"/>
              </a:solidFill>
            </a:rPr>
            <a:t>O</a:t>
          </a:r>
        </a:p>
      </xdr:txBody>
    </xdr:sp>
    <xdr:clientData/>
  </xdr:twoCellAnchor>
  <xdr:twoCellAnchor>
    <xdr:from>
      <xdr:col>1</xdr:col>
      <xdr:colOff>0</xdr:colOff>
      <xdr:row>420</xdr:row>
      <xdr:rowOff>0</xdr:rowOff>
    </xdr:from>
    <xdr:to>
      <xdr:col>2</xdr:col>
      <xdr:colOff>67056</xdr:colOff>
      <xdr:row>421</xdr:row>
      <xdr:rowOff>0</xdr:rowOff>
    </xdr:to>
    <xdr:sp macro="[0]!CompSectShowHide_Click" textlink="">
      <xdr:nvSpPr>
        <xdr:cNvPr id="34" name="shpCompSect14">
          <a:extLst>
            <a:ext uri="{FF2B5EF4-FFF2-40B4-BE49-F238E27FC236}">
              <a16:creationId xmlns:a16="http://schemas.microsoft.com/office/drawing/2014/main" id="{D9A344D5-F63D-4E7A-91ED-8AAB254D1A40}"/>
            </a:ext>
          </a:extLst>
        </xdr:cNvPr>
        <xdr:cNvSpPr/>
      </xdr:nvSpPr>
      <xdr:spPr>
        <a:xfrm>
          <a:off x="152400" y="141970125"/>
          <a:ext cx="219456" cy="266700"/>
        </a:xfrm>
        <a:prstGeom prst="roundRect">
          <a:avLst/>
        </a:pr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rtlCol="0" anchor="ctr" anchorCtr="1"/>
        <a:lstStyle/>
        <a:p>
          <a:pPr algn="l"/>
          <a:r>
            <a:rPr lang="en-US" sz="1600" b="0">
              <a:solidFill>
                <a:sysClr val="windowText" lastClr="000000"/>
              </a:solidFill>
            </a:rPr>
            <a:t>O</a:t>
          </a:r>
        </a:p>
      </xdr:txBody>
    </xdr:sp>
    <xdr:clientData/>
  </xdr:twoCellAnchor>
  <xdr:twoCellAnchor>
    <xdr:from>
      <xdr:col>7</xdr:col>
      <xdr:colOff>50321</xdr:colOff>
      <xdr:row>326</xdr:row>
      <xdr:rowOff>100641</xdr:rowOff>
    </xdr:from>
    <xdr:to>
      <xdr:col>7</xdr:col>
      <xdr:colOff>172528</xdr:colOff>
      <xdr:row>326</xdr:row>
      <xdr:rowOff>237226</xdr:rowOff>
    </xdr:to>
    <xdr:sp macro="" textlink="">
      <xdr:nvSpPr>
        <xdr:cNvPr id="35" name="Right Arrow 2">
          <a:extLst>
            <a:ext uri="{FF2B5EF4-FFF2-40B4-BE49-F238E27FC236}">
              <a16:creationId xmlns:a16="http://schemas.microsoft.com/office/drawing/2014/main" id="{5A619A19-2160-4177-87E4-6CF2FF64A793}"/>
            </a:ext>
          </a:extLst>
        </xdr:cNvPr>
        <xdr:cNvSpPr/>
      </xdr:nvSpPr>
      <xdr:spPr>
        <a:xfrm>
          <a:off x="6060596" y="88540266"/>
          <a:ext cx="122207" cy="136585"/>
        </a:xfrm>
        <a:prstGeom prst="rightArrow">
          <a:avLst/>
        </a:prstGeom>
        <a:solidFill>
          <a:srgbClr val="B3C3FB"/>
        </a:solidFill>
        <a:ln>
          <a:solidFill>
            <a:srgbClr val="B16FF4"/>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50321</xdr:colOff>
      <xdr:row>358</xdr:row>
      <xdr:rowOff>100641</xdr:rowOff>
    </xdr:from>
    <xdr:to>
      <xdr:col>7</xdr:col>
      <xdr:colOff>172528</xdr:colOff>
      <xdr:row>358</xdr:row>
      <xdr:rowOff>237226</xdr:rowOff>
    </xdr:to>
    <xdr:sp macro="" textlink="">
      <xdr:nvSpPr>
        <xdr:cNvPr id="36" name="Right Arrow 2">
          <a:extLst>
            <a:ext uri="{FF2B5EF4-FFF2-40B4-BE49-F238E27FC236}">
              <a16:creationId xmlns:a16="http://schemas.microsoft.com/office/drawing/2014/main" id="{75FA59E9-0A63-42A6-A0B6-947A0A2A8689}"/>
            </a:ext>
          </a:extLst>
        </xdr:cNvPr>
        <xdr:cNvSpPr/>
      </xdr:nvSpPr>
      <xdr:spPr>
        <a:xfrm>
          <a:off x="6060596" y="99246366"/>
          <a:ext cx="122207" cy="136585"/>
        </a:xfrm>
        <a:prstGeom prst="rightArrow">
          <a:avLst/>
        </a:prstGeom>
        <a:solidFill>
          <a:srgbClr val="B3C3FB"/>
        </a:solidFill>
        <a:ln>
          <a:solidFill>
            <a:srgbClr val="B16FF4"/>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324</xdr:row>
      <xdr:rowOff>0</xdr:rowOff>
    </xdr:from>
    <xdr:to>
      <xdr:col>2</xdr:col>
      <xdr:colOff>67056</xdr:colOff>
      <xdr:row>325</xdr:row>
      <xdr:rowOff>0</xdr:rowOff>
    </xdr:to>
    <xdr:sp macro="[0]!CompSectShowHide_Click" textlink="">
      <xdr:nvSpPr>
        <xdr:cNvPr id="37" name="shpCompSect11">
          <a:extLst>
            <a:ext uri="{FF2B5EF4-FFF2-40B4-BE49-F238E27FC236}">
              <a16:creationId xmlns:a16="http://schemas.microsoft.com/office/drawing/2014/main" id="{BF5AB284-AC34-4D8C-BB72-BC9CD133777B}"/>
            </a:ext>
          </a:extLst>
        </xdr:cNvPr>
        <xdr:cNvSpPr/>
      </xdr:nvSpPr>
      <xdr:spPr>
        <a:xfrm>
          <a:off x="152400" y="87906225"/>
          <a:ext cx="219456" cy="266700"/>
        </a:xfrm>
        <a:prstGeom prst="roundRect">
          <a:avLst/>
        </a:pr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rtlCol="0" anchor="ctr" anchorCtr="1"/>
        <a:lstStyle/>
        <a:p>
          <a:pPr algn="l"/>
          <a:r>
            <a:rPr lang="en-US" sz="1600" b="0">
              <a:solidFill>
                <a:sysClr val="windowText" lastClr="000000"/>
              </a:solidFill>
            </a:rPr>
            <a:t>O</a:t>
          </a:r>
        </a:p>
      </xdr:txBody>
    </xdr:sp>
    <xdr:clientData/>
  </xdr:twoCellAnchor>
  <xdr:twoCellAnchor>
    <xdr:from>
      <xdr:col>1</xdr:col>
      <xdr:colOff>0</xdr:colOff>
      <xdr:row>356</xdr:row>
      <xdr:rowOff>0</xdr:rowOff>
    </xdr:from>
    <xdr:to>
      <xdr:col>2</xdr:col>
      <xdr:colOff>67056</xdr:colOff>
      <xdr:row>357</xdr:row>
      <xdr:rowOff>0</xdr:rowOff>
    </xdr:to>
    <xdr:sp macro="[0]!CompSectShowHide_Click" textlink="">
      <xdr:nvSpPr>
        <xdr:cNvPr id="38" name="shpCompSect12">
          <a:extLst>
            <a:ext uri="{FF2B5EF4-FFF2-40B4-BE49-F238E27FC236}">
              <a16:creationId xmlns:a16="http://schemas.microsoft.com/office/drawing/2014/main" id="{69A487F3-6DD9-457B-BEEE-A0F105BED88A}"/>
            </a:ext>
          </a:extLst>
        </xdr:cNvPr>
        <xdr:cNvSpPr/>
      </xdr:nvSpPr>
      <xdr:spPr>
        <a:xfrm>
          <a:off x="152400" y="98612325"/>
          <a:ext cx="219456" cy="266700"/>
        </a:xfrm>
        <a:prstGeom prst="roundRect">
          <a:avLst/>
        </a:pr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rtlCol="0" anchor="ctr" anchorCtr="1"/>
        <a:lstStyle/>
        <a:p>
          <a:pPr algn="l"/>
          <a:r>
            <a:rPr lang="en-US" sz="1600" b="0">
              <a:solidFill>
                <a:sysClr val="windowText" lastClr="000000"/>
              </a:solidFill>
            </a:rPr>
            <a:t>O</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6</xdr:row>
      <xdr:rowOff>2103</xdr:rowOff>
    </xdr:from>
    <xdr:to>
      <xdr:col>1</xdr:col>
      <xdr:colOff>283464</xdr:colOff>
      <xdr:row>6</xdr:row>
      <xdr:rowOff>257175</xdr:rowOff>
    </xdr:to>
    <xdr:sp macro="[0]!ShowHideYTDSoleProp" textlink="">
      <xdr:nvSpPr>
        <xdr:cNvPr id="4" name="Rounded Rectangle 3">
          <a:extLst>
            <a:ext uri="{FF2B5EF4-FFF2-40B4-BE49-F238E27FC236}">
              <a16:creationId xmlns:a16="http://schemas.microsoft.com/office/drawing/2014/main" id="{00000000-0008-0000-0100-000004000000}"/>
            </a:ext>
          </a:extLst>
        </xdr:cNvPr>
        <xdr:cNvSpPr/>
      </xdr:nvSpPr>
      <xdr:spPr>
        <a:xfrm>
          <a:off x="160020" y="1968063"/>
          <a:ext cx="283464" cy="255072"/>
        </a:xfrm>
        <a:prstGeom prst="roundRect">
          <a:avLst/>
        </a:pr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rtlCol="0" anchor="ctr" anchorCtr="1"/>
        <a:lstStyle/>
        <a:p>
          <a:pPr algn="l"/>
          <a:r>
            <a:rPr lang="en-US" sz="1600" b="0">
              <a:solidFill>
                <a:sysClr val="windowText" lastClr="000000"/>
              </a:solidFill>
            </a:rPr>
            <a:t>O</a:t>
          </a:r>
        </a:p>
      </xdr:txBody>
    </xdr:sp>
    <xdr:clientData/>
  </xdr:twoCellAnchor>
  <xdr:twoCellAnchor>
    <xdr:from>
      <xdr:col>24</xdr:col>
      <xdr:colOff>0</xdr:colOff>
      <xdr:row>8</xdr:row>
      <xdr:rowOff>15240</xdr:rowOff>
    </xdr:from>
    <xdr:to>
      <xdr:col>25</xdr:col>
      <xdr:colOff>0</xdr:colOff>
      <xdr:row>9</xdr:row>
      <xdr:rowOff>0</xdr:rowOff>
    </xdr:to>
    <xdr:sp macro="[0]!btnPlusYTDCols_Click" textlink="">
      <xdr:nvSpPr>
        <xdr:cNvPr id="97" name="Rounded Rectangle 96">
          <a:extLst>
            <a:ext uri="{FF2B5EF4-FFF2-40B4-BE49-F238E27FC236}">
              <a16:creationId xmlns:a16="http://schemas.microsoft.com/office/drawing/2014/main" id="{00000000-0008-0000-0100-000061000000}"/>
            </a:ext>
          </a:extLst>
        </xdr:cNvPr>
        <xdr:cNvSpPr/>
      </xdr:nvSpPr>
      <xdr:spPr>
        <a:xfrm>
          <a:off x="13784580" y="1775460"/>
          <a:ext cx="335280" cy="251460"/>
        </a:xfrm>
        <a:prstGeom prst="roundRect">
          <a:avLst/>
        </a:prstGeom>
        <a:solidFill>
          <a:schemeClr val="bg1"/>
        </a:solidFill>
        <a:ln>
          <a:solidFill>
            <a:schemeClr val="tx1"/>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ctr"/>
        <a:lstStyle/>
        <a:p>
          <a:pPr marL="0" indent="0" algn="ctr"/>
          <a:r>
            <a:rPr lang="en-US" sz="1600" b="1">
              <a:solidFill>
                <a:schemeClr val="dk1"/>
              </a:solidFill>
              <a:latin typeface="+mn-lt"/>
              <a:ea typeface="+mn-ea"/>
              <a:cs typeface="+mn-cs"/>
            </a:rPr>
            <a:t>+</a:t>
          </a:r>
        </a:p>
      </xdr:txBody>
    </xdr:sp>
    <xdr:clientData/>
  </xdr:twoCellAnchor>
  <xdr:twoCellAnchor>
    <xdr:from>
      <xdr:col>24</xdr:col>
      <xdr:colOff>0</xdr:colOff>
      <xdr:row>9</xdr:row>
      <xdr:rowOff>0</xdr:rowOff>
    </xdr:from>
    <xdr:to>
      <xdr:col>25</xdr:col>
      <xdr:colOff>0</xdr:colOff>
      <xdr:row>10</xdr:row>
      <xdr:rowOff>172212</xdr:rowOff>
    </xdr:to>
    <xdr:sp macro="[0]!btnMinusYTDCols_Click" textlink="">
      <xdr:nvSpPr>
        <xdr:cNvPr id="99" name="Rounded Rectangle 98">
          <a:extLst>
            <a:ext uri="{FF2B5EF4-FFF2-40B4-BE49-F238E27FC236}">
              <a16:creationId xmlns:a16="http://schemas.microsoft.com/office/drawing/2014/main" id="{00000000-0008-0000-0100-000063000000}"/>
            </a:ext>
          </a:extLst>
        </xdr:cNvPr>
        <xdr:cNvSpPr/>
      </xdr:nvSpPr>
      <xdr:spPr>
        <a:xfrm>
          <a:off x="12352020" y="2255520"/>
          <a:ext cx="335280" cy="256032"/>
        </a:xfrm>
        <a:prstGeom prst="roundRect">
          <a:avLst/>
        </a:prstGeom>
        <a:solidFill>
          <a:schemeClr val="bg1"/>
        </a:solidFill>
        <a:ln>
          <a:solidFill>
            <a:schemeClr val="tx1"/>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ctr"/>
        <a:lstStyle/>
        <a:p>
          <a:pPr marL="0" indent="0" algn="ctr"/>
          <a:r>
            <a:rPr lang="en-US" sz="1600" b="1">
              <a:solidFill>
                <a:schemeClr val="dk1"/>
              </a:solidFill>
              <a:latin typeface="+mn-lt"/>
              <a:ea typeface="+mn-ea"/>
              <a:cs typeface="+mn-cs"/>
            </a:rPr>
            <a:t>-</a:t>
          </a:r>
        </a:p>
      </xdr:txBody>
    </xdr:sp>
    <xdr:clientData/>
  </xdr:twoCellAnchor>
  <xdr:twoCellAnchor>
    <xdr:from>
      <xdr:col>1</xdr:col>
      <xdr:colOff>0</xdr:colOff>
      <xdr:row>25</xdr:row>
      <xdr:rowOff>2103</xdr:rowOff>
    </xdr:from>
    <xdr:to>
      <xdr:col>1</xdr:col>
      <xdr:colOff>283464</xdr:colOff>
      <xdr:row>25</xdr:row>
      <xdr:rowOff>257175</xdr:rowOff>
    </xdr:to>
    <xdr:sp macro="[0]!ShowHideYTDSoleProp" textlink="">
      <xdr:nvSpPr>
        <xdr:cNvPr id="117" name="Rounded Rectangle 116">
          <a:extLst>
            <a:ext uri="{FF2B5EF4-FFF2-40B4-BE49-F238E27FC236}">
              <a16:creationId xmlns:a16="http://schemas.microsoft.com/office/drawing/2014/main" id="{00000000-0008-0000-0100-000075000000}"/>
            </a:ext>
          </a:extLst>
        </xdr:cNvPr>
        <xdr:cNvSpPr/>
      </xdr:nvSpPr>
      <xdr:spPr>
        <a:xfrm>
          <a:off x="160020" y="1411803"/>
          <a:ext cx="283464" cy="255072"/>
        </a:xfrm>
        <a:prstGeom prst="roundRect">
          <a:avLst/>
        </a:pr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rtlCol="0" anchor="ctr" anchorCtr="1"/>
        <a:lstStyle/>
        <a:p>
          <a:pPr algn="l"/>
          <a:r>
            <a:rPr lang="en-US" sz="1600" b="0">
              <a:solidFill>
                <a:sysClr val="windowText" lastClr="000000"/>
              </a:solidFill>
            </a:rPr>
            <a:t>O</a:t>
          </a:r>
        </a:p>
      </xdr:txBody>
    </xdr:sp>
    <xdr:clientData/>
  </xdr:twoCellAnchor>
  <xdr:twoCellAnchor>
    <xdr:from>
      <xdr:col>1</xdr:col>
      <xdr:colOff>0</xdr:colOff>
      <xdr:row>44</xdr:row>
      <xdr:rowOff>2103</xdr:rowOff>
    </xdr:from>
    <xdr:to>
      <xdr:col>1</xdr:col>
      <xdr:colOff>283464</xdr:colOff>
      <xdr:row>44</xdr:row>
      <xdr:rowOff>257175</xdr:rowOff>
    </xdr:to>
    <xdr:sp macro="[0]!ShowHideYTDSoleProp" textlink="">
      <xdr:nvSpPr>
        <xdr:cNvPr id="123" name="Rounded Rectangle 122">
          <a:extLst>
            <a:ext uri="{FF2B5EF4-FFF2-40B4-BE49-F238E27FC236}">
              <a16:creationId xmlns:a16="http://schemas.microsoft.com/office/drawing/2014/main" id="{00000000-0008-0000-0100-00007B000000}"/>
            </a:ext>
          </a:extLst>
        </xdr:cNvPr>
        <xdr:cNvSpPr/>
      </xdr:nvSpPr>
      <xdr:spPr>
        <a:xfrm>
          <a:off x="160020" y="5602803"/>
          <a:ext cx="283464" cy="255072"/>
        </a:xfrm>
        <a:prstGeom prst="roundRect">
          <a:avLst/>
        </a:pr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rtlCol="0" anchor="ctr" anchorCtr="1"/>
        <a:lstStyle/>
        <a:p>
          <a:pPr algn="l"/>
          <a:r>
            <a:rPr lang="en-US" sz="1600" b="0">
              <a:solidFill>
                <a:sysClr val="windowText" lastClr="000000"/>
              </a:solidFill>
            </a:rPr>
            <a:t>O</a:t>
          </a:r>
        </a:p>
      </xdr:txBody>
    </xdr:sp>
    <xdr:clientData/>
  </xdr:twoCellAnchor>
  <xdr:twoCellAnchor>
    <xdr:from>
      <xdr:col>1</xdr:col>
      <xdr:colOff>0</xdr:colOff>
      <xdr:row>65</xdr:row>
      <xdr:rowOff>2103</xdr:rowOff>
    </xdr:from>
    <xdr:to>
      <xdr:col>1</xdr:col>
      <xdr:colOff>283464</xdr:colOff>
      <xdr:row>65</xdr:row>
      <xdr:rowOff>257175</xdr:rowOff>
    </xdr:to>
    <xdr:sp macro="[0]!ShowHideYTDSoleProp" textlink="">
      <xdr:nvSpPr>
        <xdr:cNvPr id="129" name="Rounded Rectangle 128">
          <a:extLst>
            <a:ext uri="{FF2B5EF4-FFF2-40B4-BE49-F238E27FC236}">
              <a16:creationId xmlns:a16="http://schemas.microsoft.com/office/drawing/2014/main" id="{00000000-0008-0000-0100-000081000000}"/>
            </a:ext>
          </a:extLst>
        </xdr:cNvPr>
        <xdr:cNvSpPr/>
      </xdr:nvSpPr>
      <xdr:spPr>
        <a:xfrm>
          <a:off x="160020" y="9793803"/>
          <a:ext cx="283464" cy="255072"/>
        </a:xfrm>
        <a:prstGeom prst="roundRect">
          <a:avLst/>
        </a:pr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rtlCol="0" anchor="ctr" anchorCtr="1"/>
        <a:lstStyle/>
        <a:p>
          <a:pPr algn="l"/>
          <a:r>
            <a:rPr lang="en-US" sz="1600" b="0">
              <a:solidFill>
                <a:sysClr val="windowText" lastClr="000000"/>
              </a:solidFill>
            </a:rPr>
            <a:t>O</a:t>
          </a:r>
        </a:p>
      </xdr:txBody>
    </xdr:sp>
    <xdr:clientData/>
  </xdr:twoCellAnchor>
  <xdr:twoCellAnchor>
    <xdr:from>
      <xdr:col>1</xdr:col>
      <xdr:colOff>0</xdr:colOff>
      <xdr:row>86</xdr:row>
      <xdr:rowOff>2103</xdr:rowOff>
    </xdr:from>
    <xdr:to>
      <xdr:col>1</xdr:col>
      <xdr:colOff>283464</xdr:colOff>
      <xdr:row>86</xdr:row>
      <xdr:rowOff>257175</xdr:rowOff>
    </xdr:to>
    <xdr:sp macro="[0]!ShowHideYTDPartnership" textlink="">
      <xdr:nvSpPr>
        <xdr:cNvPr id="135" name="Rounded Rectangle 134">
          <a:extLst>
            <a:ext uri="{FF2B5EF4-FFF2-40B4-BE49-F238E27FC236}">
              <a16:creationId xmlns:a16="http://schemas.microsoft.com/office/drawing/2014/main" id="{00000000-0008-0000-0100-000087000000}"/>
            </a:ext>
          </a:extLst>
        </xdr:cNvPr>
        <xdr:cNvSpPr/>
      </xdr:nvSpPr>
      <xdr:spPr>
        <a:xfrm>
          <a:off x="160020" y="14213403"/>
          <a:ext cx="283464" cy="255072"/>
        </a:xfrm>
        <a:prstGeom prst="roundRect">
          <a:avLst/>
        </a:pr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rtlCol="0" anchor="ctr" anchorCtr="1"/>
        <a:lstStyle/>
        <a:p>
          <a:pPr algn="l"/>
          <a:r>
            <a:rPr lang="en-US" sz="1600" b="0">
              <a:solidFill>
                <a:sysClr val="windowText" lastClr="000000"/>
              </a:solidFill>
            </a:rPr>
            <a:t>O</a:t>
          </a:r>
        </a:p>
      </xdr:txBody>
    </xdr:sp>
    <xdr:clientData/>
  </xdr:twoCellAnchor>
  <xdr:twoCellAnchor>
    <xdr:from>
      <xdr:col>1</xdr:col>
      <xdr:colOff>0</xdr:colOff>
      <xdr:row>112</xdr:row>
      <xdr:rowOff>2103</xdr:rowOff>
    </xdr:from>
    <xdr:to>
      <xdr:col>1</xdr:col>
      <xdr:colOff>283464</xdr:colOff>
      <xdr:row>112</xdr:row>
      <xdr:rowOff>257175</xdr:rowOff>
    </xdr:to>
    <xdr:sp macro="[0]!ShowHideYTDPartnership" textlink="">
      <xdr:nvSpPr>
        <xdr:cNvPr id="142" name="Rounded Rectangle 141">
          <a:extLst>
            <a:ext uri="{FF2B5EF4-FFF2-40B4-BE49-F238E27FC236}">
              <a16:creationId xmlns:a16="http://schemas.microsoft.com/office/drawing/2014/main" id="{00000000-0008-0000-0100-00008E000000}"/>
            </a:ext>
          </a:extLst>
        </xdr:cNvPr>
        <xdr:cNvSpPr/>
      </xdr:nvSpPr>
      <xdr:spPr>
        <a:xfrm>
          <a:off x="205740" y="19074963"/>
          <a:ext cx="283464" cy="255072"/>
        </a:xfrm>
        <a:prstGeom prst="roundRect">
          <a:avLst/>
        </a:pr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rtlCol="0" anchor="ctr" anchorCtr="1"/>
        <a:lstStyle/>
        <a:p>
          <a:pPr algn="l"/>
          <a:r>
            <a:rPr lang="en-US" sz="1600" b="0">
              <a:solidFill>
                <a:sysClr val="windowText" lastClr="000000"/>
              </a:solidFill>
            </a:rPr>
            <a:t>O</a:t>
          </a:r>
        </a:p>
      </xdr:txBody>
    </xdr:sp>
    <xdr:clientData/>
  </xdr:twoCellAnchor>
  <xdr:twoCellAnchor>
    <xdr:from>
      <xdr:col>1</xdr:col>
      <xdr:colOff>0</xdr:colOff>
      <xdr:row>138</xdr:row>
      <xdr:rowOff>2103</xdr:rowOff>
    </xdr:from>
    <xdr:to>
      <xdr:col>1</xdr:col>
      <xdr:colOff>283464</xdr:colOff>
      <xdr:row>138</xdr:row>
      <xdr:rowOff>257175</xdr:rowOff>
    </xdr:to>
    <xdr:sp macro="[0]!ShowHideYTDPartnership" textlink="">
      <xdr:nvSpPr>
        <xdr:cNvPr id="145" name="Rounded Rectangle 144">
          <a:extLst>
            <a:ext uri="{FF2B5EF4-FFF2-40B4-BE49-F238E27FC236}">
              <a16:creationId xmlns:a16="http://schemas.microsoft.com/office/drawing/2014/main" id="{00000000-0008-0000-0100-000091000000}"/>
            </a:ext>
          </a:extLst>
        </xdr:cNvPr>
        <xdr:cNvSpPr/>
      </xdr:nvSpPr>
      <xdr:spPr>
        <a:xfrm>
          <a:off x="205740" y="24805203"/>
          <a:ext cx="283464" cy="255072"/>
        </a:xfrm>
        <a:prstGeom prst="roundRect">
          <a:avLst/>
        </a:pr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rtlCol="0" anchor="ctr" anchorCtr="1"/>
        <a:lstStyle/>
        <a:p>
          <a:pPr algn="l"/>
          <a:r>
            <a:rPr lang="en-US" sz="1600" b="0">
              <a:solidFill>
                <a:sysClr val="windowText" lastClr="000000"/>
              </a:solidFill>
            </a:rPr>
            <a:t>O</a:t>
          </a:r>
        </a:p>
      </xdr:txBody>
    </xdr:sp>
    <xdr:clientData/>
  </xdr:twoCellAnchor>
  <xdr:twoCellAnchor>
    <xdr:from>
      <xdr:col>1</xdr:col>
      <xdr:colOff>0</xdr:colOff>
      <xdr:row>164</xdr:row>
      <xdr:rowOff>2103</xdr:rowOff>
    </xdr:from>
    <xdr:to>
      <xdr:col>1</xdr:col>
      <xdr:colOff>283464</xdr:colOff>
      <xdr:row>164</xdr:row>
      <xdr:rowOff>257175</xdr:rowOff>
    </xdr:to>
    <xdr:sp macro="[0]!ShowHideYTDPartnership" textlink="">
      <xdr:nvSpPr>
        <xdr:cNvPr id="151" name="Rounded Rectangle 150">
          <a:extLst>
            <a:ext uri="{FF2B5EF4-FFF2-40B4-BE49-F238E27FC236}">
              <a16:creationId xmlns:a16="http://schemas.microsoft.com/office/drawing/2014/main" id="{00000000-0008-0000-0100-000097000000}"/>
            </a:ext>
          </a:extLst>
        </xdr:cNvPr>
        <xdr:cNvSpPr/>
      </xdr:nvSpPr>
      <xdr:spPr>
        <a:xfrm>
          <a:off x="205740" y="30535443"/>
          <a:ext cx="283464" cy="255072"/>
        </a:xfrm>
        <a:prstGeom prst="roundRect">
          <a:avLst/>
        </a:pr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rtlCol="0" anchor="ctr" anchorCtr="1"/>
        <a:lstStyle/>
        <a:p>
          <a:pPr algn="l"/>
          <a:r>
            <a:rPr lang="en-US" sz="1600" b="0">
              <a:solidFill>
                <a:sysClr val="windowText" lastClr="000000"/>
              </a:solidFill>
            </a:rPr>
            <a:t>O</a:t>
          </a:r>
        </a:p>
      </xdr:txBody>
    </xdr:sp>
    <xdr:clientData/>
  </xdr:twoCellAnchor>
  <xdr:twoCellAnchor>
    <xdr:from>
      <xdr:col>1</xdr:col>
      <xdr:colOff>0</xdr:colOff>
      <xdr:row>190</xdr:row>
      <xdr:rowOff>2103</xdr:rowOff>
    </xdr:from>
    <xdr:to>
      <xdr:col>1</xdr:col>
      <xdr:colOff>283464</xdr:colOff>
      <xdr:row>190</xdr:row>
      <xdr:rowOff>257175</xdr:rowOff>
    </xdr:to>
    <xdr:sp macro="[0]!ShowHideYTDPartnership" textlink="">
      <xdr:nvSpPr>
        <xdr:cNvPr id="154" name="Rounded Rectangle 153">
          <a:extLst>
            <a:ext uri="{FF2B5EF4-FFF2-40B4-BE49-F238E27FC236}">
              <a16:creationId xmlns:a16="http://schemas.microsoft.com/office/drawing/2014/main" id="{00000000-0008-0000-0100-00009A000000}"/>
            </a:ext>
          </a:extLst>
        </xdr:cNvPr>
        <xdr:cNvSpPr/>
      </xdr:nvSpPr>
      <xdr:spPr>
        <a:xfrm>
          <a:off x="205740" y="36265683"/>
          <a:ext cx="283464" cy="255072"/>
        </a:xfrm>
        <a:prstGeom prst="roundRect">
          <a:avLst/>
        </a:pr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rtlCol="0" anchor="ctr" anchorCtr="1"/>
        <a:lstStyle/>
        <a:p>
          <a:pPr algn="l"/>
          <a:r>
            <a:rPr lang="en-US" sz="1600" b="0">
              <a:solidFill>
                <a:sysClr val="windowText" lastClr="000000"/>
              </a:solidFill>
            </a:rPr>
            <a:t>O</a:t>
          </a:r>
        </a:p>
      </xdr:txBody>
    </xdr:sp>
    <xdr:clientData/>
  </xdr:twoCellAnchor>
  <xdr:twoCellAnchor>
    <xdr:from>
      <xdr:col>1</xdr:col>
      <xdr:colOff>0</xdr:colOff>
      <xdr:row>216</xdr:row>
      <xdr:rowOff>2103</xdr:rowOff>
    </xdr:from>
    <xdr:to>
      <xdr:col>1</xdr:col>
      <xdr:colOff>283464</xdr:colOff>
      <xdr:row>216</xdr:row>
      <xdr:rowOff>257175</xdr:rowOff>
    </xdr:to>
    <xdr:sp macro="[0]!ShowHideYTDPartnership" textlink="">
      <xdr:nvSpPr>
        <xdr:cNvPr id="157" name="Rounded Rectangle 156">
          <a:extLst>
            <a:ext uri="{FF2B5EF4-FFF2-40B4-BE49-F238E27FC236}">
              <a16:creationId xmlns:a16="http://schemas.microsoft.com/office/drawing/2014/main" id="{00000000-0008-0000-0100-00009D000000}"/>
            </a:ext>
          </a:extLst>
        </xdr:cNvPr>
        <xdr:cNvSpPr/>
      </xdr:nvSpPr>
      <xdr:spPr>
        <a:xfrm>
          <a:off x="205740" y="41995923"/>
          <a:ext cx="283464" cy="255072"/>
        </a:xfrm>
        <a:prstGeom prst="roundRect">
          <a:avLst/>
        </a:pr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rtlCol="0" anchor="ctr" anchorCtr="1"/>
        <a:lstStyle/>
        <a:p>
          <a:pPr algn="l"/>
          <a:r>
            <a:rPr lang="en-US" sz="1600" b="0">
              <a:solidFill>
                <a:sysClr val="windowText" lastClr="000000"/>
              </a:solidFill>
            </a:rPr>
            <a:t>O</a:t>
          </a:r>
        </a:p>
      </xdr:txBody>
    </xdr:sp>
    <xdr:clientData/>
  </xdr:twoCellAnchor>
  <xdr:twoCellAnchor editAs="oneCell">
    <xdr:from>
      <xdr:col>22</xdr:col>
      <xdr:colOff>741680</xdr:colOff>
      <xdr:row>0</xdr:row>
      <xdr:rowOff>119634</xdr:rowOff>
    </xdr:from>
    <xdr:to>
      <xdr:col>24</xdr:col>
      <xdr:colOff>265043</xdr:colOff>
      <xdr:row>0</xdr:row>
      <xdr:rowOff>424432</xdr:rowOff>
    </xdr:to>
    <xdr:grpSp>
      <xdr:nvGrpSpPr>
        <xdr:cNvPr id="43" name="MGICLogoGrp">
          <a:extLst>
            <a:ext uri="{FF2B5EF4-FFF2-40B4-BE49-F238E27FC236}">
              <a16:creationId xmlns:a16="http://schemas.microsoft.com/office/drawing/2014/main" id="{00000000-0008-0000-0100-00002B000000}"/>
            </a:ext>
          </a:extLst>
        </xdr:cNvPr>
        <xdr:cNvGrpSpPr>
          <a:grpSpLocks noChangeAspect="1"/>
        </xdr:cNvGrpSpPr>
      </xdr:nvGrpSpPr>
      <xdr:grpSpPr bwMode="auto">
        <a:xfrm>
          <a:off x="7929880" y="119634"/>
          <a:ext cx="1136263" cy="304798"/>
          <a:chOff x="512" y="641"/>
          <a:chExt cx="2549" cy="800"/>
        </a:xfrm>
        <a:solidFill>
          <a:schemeClr val="tx1"/>
        </a:solidFill>
      </xdr:grpSpPr>
      <xdr:sp macro="" textlink="">
        <xdr:nvSpPr>
          <xdr:cNvPr id="44" name="Freeform 43">
            <a:extLst>
              <a:ext uri="{FF2B5EF4-FFF2-40B4-BE49-F238E27FC236}">
                <a16:creationId xmlns:a16="http://schemas.microsoft.com/office/drawing/2014/main" id="{00000000-0008-0000-0100-00002C000000}"/>
              </a:ext>
            </a:extLst>
          </xdr:cNvPr>
          <xdr:cNvSpPr>
            <a:spLocks/>
          </xdr:cNvSpPr>
        </xdr:nvSpPr>
        <xdr:spPr bwMode="auto">
          <a:xfrm>
            <a:off x="512" y="654"/>
            <a:ext cx="915" cy="774"/>
          </a:xfrm>
          <a:custGeom>
            <a:avLst/>
            <a:gdLst>
              <a:gd name="T0" fmla="*/ 114 w 704"/>
              <a:gd name="T1" fmla="*/ 204 h 595"/>
              <a:gd name="T2" fmla="*/ 80 w 704"/>
              <a:gd name="T3" fmla="*/ 595 h 595"/>
              <a:gd name="T4" fmla="*/ 40 w 704"/>
              <a:gd name="T5" fmla="*/ 590 h 595"/>
              <a:gd name="T6" fmla="*/ 0 w 704"/>
              <a:gd name="T7" fmla="*/ 595 h 595"/>
              <a:gd name="T8" fmla="*/ 88 w 704"/>
              <a:gd name="T9" fmla="*/ 0 h 595"/>
              <a:gd name="T10" fmla="*/ 122 w 704"/>
              <a:gd name="T11" fmla="*/ 5 h 595"/>
              <a:gd name="T12" fmla="*/ 158 w 704"/>
              <a:gd name="T13" fmla="*/ 0 h 595"/>
              <a:gd name="T14" fmla="*/ 356 w 704"/>
              <a:gd name="T15" fmla="*/ 413 h 595"/>
              <a:gd name="T16" fmla="*/ 556 w 704"/>
              <a:gd name="T17" fmla="*/ 0 h 595"/>
              <a:gd name="T18" fmla="*/ 594 w 704"/>
              <a:gd name="T19" fmla="*/ 5 h 595"/>
              <a:gd name="T20" fmla="*/ 630 w 704"/>
              <a:gd name="T21" fmla="*/ 0 h 595"/>
              <a:gd name="T22" fmla="*/ 704 w 704"/>
              <a:gd name="T23" fmla="*/ 595 h 595"/>
              <a:gd name="T24" fmla="*/ 634 w 704"/>
              <a:gd name="T25" fmla="*/ 590 h 595"/>
              <a:gd name="T26" fmla="*/ 562 w 704"/>
              <a:gd name="T27" fmla="*/ 595 h 595"/>
              <a:gd name="T28" fmla="*/ 528 w 704"/>
              <a:gd name="T29" fmla="*/ 195 h 595"/>
              <a:gd name="T30" fmla="*/ 526 w 704"/>
              <a:gd name="T31" fmla="*/ 195 h 595"/>
              <a:gd name="T32" fmla="*/ 336 w 704"/>
              <a:gd name="T33" fmla="*/ 595 h 595"/>
              <a:gd name="T34" fmla="*/ 320 w 704"/>
              <a:gd name="T35" fmla="*/ 594 h 595"/>
              <a:gd name="T36" fmla="*/ 304 w 704"/>
              <a:gd name="T37" fmla="*/ 595 h 595"/>
              <a:gd name="T38" fmla="*/ 116 w 704"/>
              <a:gd name="T39" fmla="*/ 204 h 595"/>
              <a:gd name="T40" fmla="*/ 114 w 704"/>
              <a:gd name="T41" fmla="*/ 204 h 59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Lst>
            <a:rect l="0" t="0" r="r" b="b"/>
            <a:pathLst>
              <a:path w="704" h="595">
                <a:moveTo>
                  <a:pt x="114" y="204"/>
                </a:moveTo>
                <a:cubicBezTo>
                  <a:pt x="96" y="334"/>
                  <a:pt x="89" y="465"/>
                  <a:pt x="80" y="595"/>
                </a:cubicBezTo>
                <a:cubicBezTo>
                  <a:pt x="66" y="592"/>
                  <a:pt x="53" y="590"/>
                  <a:pt x="40" y="590"/>
                </a:cubicBezTo>
                <a:cubicBezTo>
                  <a:pt x="26" y="590"/>
                  <a:pt x="14" y="593"/>
                  <a:pt x="0" y="595"/>
                </a:cubicBezTo>
                <a:cubicBezTo>
                  <a:pt x="35" y="396"/>
                  <a:pt x="64" y="199"/>
                  <a:pt x="88" y="0"/>
                </a:cubicBezTo>
                <a:cubicBezTo>
                  <a:pt x="100" y="3"/>
                  <a:pt x="111" y="5"/>
                  <a:pt x="122" y="5"/>
                </a:cubicBezTo>
                <a:cubicBezTo>
                  <a:pt x="134" y="5"/>
                  <a:pt x="146" y="3"/>
                  <a:pt x="158" y="0"/>
                </a:cubicBezTo>
                <a:cubicBezTo>
                  <a:pt x="220" y="138"/>
                  <a:pt x="294" y="290"/>
                  <a:pt x="356" y="413"/>
                </a:cubicBezTo>
                <a:cubicBezTo>
                  <a:pt x="424" y="284"/>
                  <a:pt x="495" y="138"/>
                  <a:pt x="556" y="0"/>
                </a:cubicBezTo>
                <a:cubicBezTo>
                  <a:pt x="569" y="3"/>
                  <a:pt x="581" y="5"/>
                  <a:pt x="594" y="5"/>
                </a:cubicBezTo>
                <a:cubicBezTo>
                  <a:pt x="606" y="5"/>
                  <a:pt x="618" y="3"/>
                  <a:pt x="630" y="0"/>
                </a:cubicBezTo>
                <a:cubicBezTo>
                  <a:pt x="653" y="199"/>
                  <a:pt x="683" y="474"/>
                  <a:pt x="704" y="595"/>
                </a:cubicBezTo>
                <a:cubicBezTo>
                  <a:pt x="680" y="593"/>
                  <a:pt x="658" y="590"/>
                  <a:pt x="634" y="590"/>
                </a:cubicBezTo>
                <a:cubicBezTo>
                  <a:pt x="610" y="590"/>
                  <a:pt x="586" y="593"/>
                  <a:pt x="562" y="595"/>
                </a:cubicBezTo>
                <a:cubicBezTo>
                  <a:pt x="556" y="475"/>
                  <a:pt x="541" y="329"/>
                  <a:pt x="528" y="195"/>
                </a:cubicBezTo>
                <a:lnTo>
                  <a:pt x="526" y="195"/>
                </a:lnTo>
                <a:cubicBezTo>
                  <a:pt x="461" y="329"/>
                  <a:pt x="397" y="461"/>
                  <a:pt x="336" y="595"/>
                </a:cubicBezTo>
                <a:cubicBezTo>
                  <a:pt x="331" y="594"/>
                  <a:pt x="325" y="594"/>
                  <a:pt x="320" y="594"/>
                </a:cubicBezTo>
                <a:cubicBezTo>
                  <a:pt x="315" y="594"/>
                  <a:pt x="309" y="595"/>
                  <a:pt x="304" y="595"/>
                </a:cubicBezTo>
                <a:cubicBezTo>
                  <a:pt x="243" y="465"/>
                  <a:pt x="180" y="334"/>
                  <a:pt x="116" y="204"/>
                </a:cubicBezTo>
                <a:lnTo>
                  <a:pt x="114" y="204"/>
                </a:lnTo>
                <a:close/>
              </a:path>
            </a:pathLst>
          </a:custGeom>
          <a:grpFill/>
          <a:ln w="0">
            <a:noFill/>
            <a:prstDash val="solid"/>
            <a:round/>
            <a:headEnd/>
            <a:tailEnd/>
          </a:ln>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a:p>
        </xdr:txBody>
      </xdr:sp>
      <xdr:sp macro="" textlink="">
        <xdr:nvSpPr>
          <xdr:cNvPr id="45" name="Freeform 44">
            <a:extLst>
              <a:ext uri="{FF2B5EF4-FFF2-40B4-BE49-F238E27FC236}">
                <a16:creationId xmlns:a16="http://schemas.microsoft.com/office/drawing/2014/main" id="{00000000-0008-0000-0100-00002D000000}"/>
              </a:ext>
            </a:extLst>
          </xdr:cNvPr>
          <xdr:cNvSpPr>
            <a:spLocks/>
          </xdr:cNvSpPr>
        </xdr:nvSpPr>
        <xdr:spPr bwMode="auto">
          <a:xfrm>
            <a:off x="1413" y="641"/>
            <a:ext cx="747" cy="800"/>
          </a:xfrm>
          <a:custGeom>
            <a:avLst/>
            <a:gdLst>
              <a:gd name="T0" fmla="*/ 527 w 575"/>
              <a:gd name="T1" fmla="*/ 139 h 615"/>
              <a:gd name="T2" fmla="*/ 358 w 575"/>
              <a:gd name="T3" fmla="*/ 52 h 615"/>
              <a:gd name="T4" fmla="*/ 141 w 575"/>
              <a:gd name="T5" fmla="*/ 321 h 615"/>
              <a:gd name="T6" fmla="*/ 351 w 575"/>
              <a:gd name="T7" fmla="*/ 561 h 615"/>
              <a:gd name="T8" fmla="*/ 445 w 575"/>
              <a:gd name="T9" fmla="*/ 546 h 615"/>
              <a:gd name="T10" fmla="*/ 447 w 575"/>
              <a:gd name="T11" fmla="*/ 486 h 615"/>
              <a:gd name="T12" fmla="*/ 441 w 575"/>
              <a:gd name="T13" fmla="*/ 339 h 615"/>
              <a:gd name="T14" fmla="*/ 505 w 575"/>
              <a:gd name="T15" fmla="*/ 344 h 615"/>
              <a:gd name="T16" fmla="*/ 575 w 575"/>
              <a:gd name="T17" fmla="*/ 339 h 615"/>
              <a:gd name="T18" fmla="*/ 567 w 575"/>
              <a:gd name="T19" fmla="*/ 483 h 615"/>
              <a:gd name="T20" fmla="*/ 570 w 575"/>
              <a:gd name="T21" fmla="*/ 578 h 615"/>
              <a:gd name="T22" fmla="*/ 340 w 575"/>
              <a:gd name="T23" fmla="*/ 615 h 615"/>
              <a:gd name="T24" fmla="*/ 0 w 575"/>
              <a:gd name="T25" fmla="*/ 328 h 615"/>
              <a:gd name="T26" fmla="*/ 356 w 575"/>
              <a:gd name="T27" fmla="*/ 0 h 615"/>
              <a:gd name="T28" fmla="*/ 563 w 575"/>
              <a:gd name="T29" fmla="*/ 51 h 615"/>
              <a:gd name="T30" fmla="*/ 539 w 575"/>
              <a:gd name="T31" fmla="*/ 139 h 615"/>
              <a:gd name="T32" fmla="*/ 527 w 575"/>
              <a:gd name="T33" fmla="*/ 139 h 61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Lst>
            <a:rect l="0" t="0" r="r" b="b"/>
            <a:pathLst>
              <a:path w="575" h="615">
                <a:moveTo>
                  <a:pt x="527" y="139"/>
                </a:moveTo>
                <a:cubicBezTo>
                  <a:pt x="491" y="88"/>
                  <a:pt x="436" y="52"/>
                  <a:pt x="358" y="52"/>
                </a:cubicBezTo>
                <a:cubicBezTo>
                  <a:pt x="251" y="52"/>
                  <a:pt x="141" y="141"/>
                  <a:pt x="141" y="321"/>
                </a:cubicBezTo>
                <a:cubicBezTo>
                  <a:pt x="141" y="458"/>
                  <a:pt x="218" y="561"/>
                  <a:pt x="351" y="561"/>
                </a:cubicBezTo>
                <a:cubicBezTo>
                  <a:pt x="380" y="561"/>
                  <a:pt x="431" y="555"/>
                  <a:pt x="445" y="546"/>
                </a:cubicBezTo>
                <a:cubicBezTo>
                  <a:pt x="447" y="532"/>
                  <a:pt x="447" y="511"/>
                  <a:pt x="447" y="486"/>
                </a:cubicBezTo>
                <a:cubicBezTo>
                  <a:pt x="447" y="394"/>
                  <a:pt x="442" y="355"/>
                  <a:pt x="441" y="339"/>
                </a:cubicBezTo>
                <a:cubicBezTo>
                  <a:pt x="452" y="340"/>
                  <a:pt x="470" y="344"/>
                  <a:pt x="505" y="344"/>
                </a:cubicBezTo>
                <a:cubicBezTo>
                  <a:pt x="546" y="344"/>
                  <a:pt x="563" y="341"/>
                  <a:pt x="575" y="339"/>
                </a:cubicBezTo>
                <a:cubicBezTo>
                  <a:pt x="571" y="356"/>
                  <a:pt x="567" y="427"/>
                  <a:pt x="567" y="483"/>
                </a:cubicBezTo>
                <a:cubicBezTo>
                  <a:pt x="567" y="519"/>
                  <a:pt x="568" y="564"/>
                  <a:pt x="570" y="578"/>
                </a:cubicBezTo>
                <a:cubicBezTo>
                  <a:pt x="495" y="599"/>
                  <a:pt x="416" y="615"/>
                  <a:pt x="340" y="615"/>
                </a:cubicBezTo>
                <a:cubicBezTo>
                  <a:pt x="142" y="615"/>
                  <a:pt x="0" y="503"/>
                  <a:pt x="0" y="328"/>
                </a:cubicBezTo>
                <a:cubicBezTo>
                  <a:pt x="0" y="109"/>
                  <a:pt x="153" y="0"/>
                  <a:pt x="356" y="0"/>
                </a:cubicBezTo>
                <a:cubicBezTo>
                  <a:pt x="443" y="0"/>
                  <a:pt x="501" y="19"/>
                  <a:pt x="563" y="51"/>
                </a:cubicBezTo>
                <a:cubicBezTo>
                  <a:pt x="553" y="80"/>
                  <a:pt x="545" y="110"/>
                  <a:pt x="539" y="139"/>
                </a:cubicBezTo>
                <a:lnTo>
                  <a:pt x="527" y="139"/>
                </a:lnTo>
                <a:close/>
              </a:path>
            </a:pathLst>
          </a:custGeom>
          <a:grpFill/>
          <a:ln w="0">
            <a:noFill/>
            <a:prstDash val="solid"/>
            <a:round/>
            <a:headEnd/>
            <a:tailEnd/>
          </a:ln>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a:p>
        </xdr:txBody>
      </xdr:sp>
      <xdr:sp macro="" textlink="">
        <xdr:nvSpPr>
          <xdr:cNvPr id="46" name="Freeform 45">
            <a:extLst>
              <a:ext uri="{FF2B5EF4-FFF2-40B4-BE49-F238E27FC236}">
                <a16:creationId xmlns:a16="http://schemas.microsoft.com/office/drawing/2014/main" id="{00000000-0008-0000-0100-00002E000000}"/>
              </a:ext>
            </a:extLst>
          </xdr:cNvPr>
          <xdr:cNvSpPr>
            <a:spLocks/>
          </xdr:cNvSpPr>
        </xdr:nvSpPr>
        <xdr:spPr bwMode="auto">
          <a:xfrm>
            <a:off x="2181" y="654"/>
            <a:ext cx="182" cy="774"/>
          </a:xfrm>
          <a:custGeom>
            <a:avLst/>
            <a:gdLst>
              <a:gd name="T0" fmla="*/ 7 w 140"/>
              <a:gd name="T1" fmla="*/ 239 h 595"/>
              <a:gd name="T2" fmla="*/ 0 w 140"/>
              <a:gd name="T3" fmla="*/ 0 h 595"/>
              <a:gd name="T4" fmla="*/ 70 w 140"/>
              <a:gd name="T5" fmla="*/ 5 h 595"/>
              <a:gd name="T6" fmla="*/ 140 w 140"/>
              <a:gd name="T7" fmla="*/ 0 h 595"/>
              <a:gd name="T8" fmla="*/ 132 w 140"/>
              <a:gd name="T9" fmla="*/ 239 h 595"/>
              <a:gd name="T10" fmla="*/ 132 w 140"/>
              <a:gd name="T11" fmla="*/ 356 h 595"/>
              <a:gd name="T12" fmla="*/ 140 w 140"/>
              <a:gd name="T13" fmla="*/ 595 h 595"/>
              <a:gd name="T14" fmla="*/ 70 w 140"/>
              <a:gd name="T15" fmla="*/ 590 h 595"/>
              <a:gd name="T16" fmla="*/ 0 w 140"/>
              <a:gd name="T17" fmla="*/ 595 h 595"/>
              <a:gd name="T18" fmla="*/ 7 w 140"/>
              <a:gd name="T19" fmla="*/ 356 h 595"/>
              <a:gd name="T20" fmla="*/ 7 w 140"/>
              <a:gd name="T21" fmla="*/ 239 h 59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Lst>
            <a:rect l="0" t="0" r="r" b="b"/>
            <a:pathLst>
              <a:path w="140" h="595">
                <a:moveTo>
                  <a:pt x="7" y="239"/>
                </a:moveTo>
                <a:cubicBezTo>
                  <a:pt x="7" y="143"/>
                  <a:pt x="6" y="76"/>
                  <a:pt x="0" y="0"/>
                </a:cubicBezTo>
                <a:cubicBezTo>
                  <a:pt x="19" y="1"/>
                  <a:pt x="42" y="5"/>
                  <a:pt x="70" y="5"/>
                </a:cubicBezTo>
                <a:cubicBezTo>
                  <a:pt x="99" y="5"/>
                  <a:pt x="121" y="1"/>
                  <a:pt x="140" y="0"/>
                </a:cubicBezTo>
                <a:cubicBezTo>
                  <a:pt x="135" y="76"/>
                  <a:pt x="132" y="143"/>
                  <a:pt x="132" y="239"/>
                </a:cubicBezTo>
                <a:lnTo>
                  <a:pt x="132" y="356"/>
                </a:lnTo>
                <a:cubicBezTo>
                  <a:pt x="132" y="453"/>
                  <a:pt x="134" y="519"/>
                  <a:pt x="140" y="595"/>
                </a:cubicBezTo>
                <a:cubicBezTo>
                  <a:pt x="121" y="594"/>
                  <a:pt x="97" y="590"/>
                  <a:pt x="70" y="590"/>
                </a:cubicBezTo>
                <a:cubicBezTo>
                  <a:pt x="41" y="590"/>
                  <a:pt x="19" y="594"/>
                  <a:pt x="0" y="595"/>
                </a:cubicBezTo>
                <a:cubicBezTo>
                  <a:pt x="5" y="519"/>
                  <a:pt x="7" y="453"/>
                  <a:pt x="7" y="356"/>
                </a:cubicBezTo>
                <a:lnTo>
                  <a:pt x="7" y="239"/>
                </a:lnTo>
                <a:close/>
              </a:path>
            </a:pathLst>
          </a:custGeom>
          <a:grpFill/>
          <a:ln w="0">
            <a:noFill/>
            <a:prstDash val="solid"/>
            <a:round/>
            <a:headEnd/>
            <a:tailEnd/>
          </a:ln>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a:p>
        </xdr:txBody>
      </xdr:sp>
      <xdr:sp macro="" textlink="">
        <xdr:nvSpPr>
          <xdr:cNvPr id="47" name="Freeform 46">
            <a:extLst>
              <a:ext uri="{FF2B5EF4-FFF2-40B4-BE49-F238E27FC236}">
                <a16:creationId xmlns:a16="http://schemas.microsoft.com/office/drawing/2014/main" id="{00000000-0008-0000-0100-00002F000000}"/>
              </a:ext>
            </a:extLst>
          </xdr:cNvPr>
          <xdr:cNvSpPr>
            <a:spLocks/>
          </xdr:cNvSpPr>
        </xdr:nvSpPr>
        <xdr:spPr bwMode="auto">
          <a:xfrm>
            <a:off x="2389" y="641"/>
            <a:ext cx="672" cy="798"/>
          </a:xfrm>
          <a:custGeom>
            <a:avLst/>
            <a:gdLst>
              <a:gd name="T0" fmla="*/ 512 w 517"/>
              <a:gd name="T1" fmla="*/ 504 h 614"/>
              <a:gd name="T2" fmla="*/ 494 w 517"/>
              <a:gd name="T3" fmla="*/ 576 h 614"/>
              <a:gd name="T4" fmla="*/ 317 w 517"/>
              <a:gd name="T5" fmla="*/ 614 h 614"/>
              <a:gd name="T6" fmla="*/ 0 w 517"/>
              <a:gd name="T7" fmla="*/ 328 h 614"/>
              <a:gd name="T8" fmla="*/ 342 w 517"/>
              <a:gd name="T9" fmla="*/ 0 h 614"/>
              <a:gd name="T10" fmla="*/ 517 w 517"/>
              <a:gd name="T11" fmla="*/ 43 h 614"/>
              <a:gd name="T12" fmla="*/ 497 w 517"/>
              <a:gd name="T13" fmla="*/ 130 h 614"/>
              <a:gd name="T14" fmla="*/ 486 w 517"/>
              <a:gd name="T15" fmla="*/ 130 h 614"/>
              <a:gd name="T16" fmla="*/ 337 w 517"/>
              <a:gd name="T17" fmla="*/ 54 h 614"/>
              <a:gd name="T18" fmla="*/ 141 w 517"/>
              <a:gd name="T19" fmla="*/ 315 h 614"/>
              <a:gd name="T20" fmla="*/ 346 w 517"/>
              <a:gd name="T21" fmla="*/ 561 h 614"/>
              <a:gd name="T22" fmla="*/ 502 w 517"/>
              <a:gd name="T23" fmla="*/ 497 h 614"/>
              <a:gd name="T24" fmla="*/ 512 w 517"/>
              <a:gd name="T25" fmla="*/ 504 h 61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Lst>
            <a:rect l="0" t="0" r="r" b="b"/>
            <a:pathLst>
              <a:path w="517" h="614">
                <a:moveTo>
                  <a:pt x="512" y="504"/>
                </a:moveTo>
                <a:cubicBezTo>
                  <a:pt x="502" y="528"/>
                  <a:pt x="496" y="553"/>
                  <a:pt x="494" y="576"/>
                </a:cubicBezTo>
                <a:cubicBezTo>
                  <a:pt x="449" y="600"/>
                  <a:pt x="388" y="614"/>
                  <a:pt x="317" y="614"/>
                </a:cubicBezTo>
                <a:cubicBezTo>
                  <a:pt x="117" y="614"/>
                  <a:pt x="0" y="489"/>
                  <a:pt x="0" y="328"/>
                </a:cubicBezTo>
                <a:cubicBezTo>
                  <a:pt x="0" y="91"/>
                  <a:pt x="161" y="0"/>
                  <a:pt x="342" y="0"/>
                </a:cubicBezTo>
                <a:cubicBezTo>
                  <a:pt x="402" y="0"/>
                  <a:pt x="479" y="18"/>
                  <a:pt x="517" y="43"/>
                </a:cubicBezTo>
                <a:cubicBezTo>
                  <a:pt x="506" y="71"/>
                  <a:pt x="500" y="101"/>
                  <a:pt x="497" y="130"/>
                </a:cubicBezTo>
                <a:lnTo>
                  <a:pt x="486" y="130"/>
                </a:lnTo>
                <a:cubicBezTo>
                  <a:pt x="444" y="76"/>
                  <a:pt x="399" y="54"/>
                  <a:pt x="337" y="54"/>
                </a:cubicBezTo>
                <a:cubicBezTo>
                  <a:pt x="245" y="54"/>
                  <a:pt x="141" y="134"/>
                  <a:pt x="141" y="315"/>
                </a:cubicBezTo>
                <a:cubicBezTo>
                  <a:pt x="141" y="491"/>
                  <a:pt x="246" y="561"/>
                  <a:pt x="346" y="561"/>
                </a:cubicBezTo>
                <a:cubicBezTo>
                  <a:pt x="401" y="561"/>
                  <a:pt x="465" y="535"/>
                  <a:pt x="502" y="497"/>
                </a:cubicBezTo>
                <a:lnTo>
                  <a:pt x="512" y="504"/>
                </a:lnTo>
                <a:close/>
              </a:path>
            </a:pathLst>
          </a:custGeom>
          <a:grpFill/>
          <a:ln w="0">
            <a:noFill/>
            <a:prstDash val="solid"/>
            <a:round/>
            <a:headEnd/>
            <a:tailEnd/>
          </a:ln>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a:p>
        </xdr:txBody>
      </xdr:sp>
    </xdr:grpSp>
    <xdr:clientData/>
  </xdr:twoCellAnchor>
  <xdr:twoCellAnchor>
    <xdr:from>
      <xdr:col>24</xdr:col>
      <xdr:colOff>0</xdr:colOff>
      <xdr:row>88</xdr:row>
      <xdr:rowOff>15240</xdr:rowOff>
    </xdr:from>
    <xdr:to>
      <xdr:col>25</xdr:col>
      <xdr:colOff>0</xdr:colOff>
      <xdr:row>89</xdr:row>
      <xdr:rowOff>0</xdr:rowOff>
    </xdr:to>
    <xdr:sp macro="[0]!btnPlusYTDCols_Click" textlink="">
      <xdr:nvSpPr>
        <xdr:cNvPr id="55" name="Rounded Rectangle 54">
          <a:extLst>
            <a:ext uri="{FF2B5EF4-FFF2-40B4-BE49-F238E27FC236}">
              <a16:creationId xmlns:a16="http://schemas.microsoft.com/office/drawing/2014/main" id="{00000000-0008-0000-0100-000037000000}"/>
            </a:ext>
          </a:extLst>
        </xdr:cNvPr>
        <xdr:cNvSpPr/>
      </xdr:nvSpPr>
      <xdr:spPr>
        <a:xfrm>
          <a:off x="12352020" y="3329940"/>
          <a:ext cx="335280" cy="251460"/>
        </a:xfrm>
        <a:prstGeom prst="roundRect">
          <a:avLst/>
        </a:prstGeom>
        <a:solidFill>
          <a:schemeClr val="bg1"/>
        </a:solidFill>
        <a:ln>
          <a:solidFill>
            <a:schemeClr val="tx1"/>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ctr"/>
        <a:lstStyle/>
        <a:p>
          <a:pPr marL="0" indent="0" algn="ctr"/>
          <a:r>
            <a:rPr lang="en-US" sz="1600" b="1">
              <a:solidFill>
                <a:schemeClr val="dk1"/>
              </a:solidFill>
              <a:latin typeface="+mn-lt"/>
              <a:ea typeface="+mn-ea"/>
              <a:cs typeface="+mn-cs"/>
            </a:rPr>
            <a:t>+</a:t>
          </a:r>
        </a:p>
      </xdr:txBody>
    </xdr:sp>
    <xdr:clientData/>
  </xdr:twoCellAnchor>
  <xdr:twoCellAnchor>
    <xdr:from>
      <xdr:col>24</xdr:col>
      <xdr:colOff>0</xdr:colOff>
      <xdr:row>89</xdr:row>
      <xdr:rowOff>0</xdr:rowOff>
    </xdr:from>
    <xdr:to>
      <xdr:col>25</xdr:col>
      <xdr:colOff>0</xdr:colOff>
      <xdr:row>90</xdr:row>
      <xdr:rowOff>172212</xdr:rowOff>
    </xdr:to>
    <xdr:sp macro="[0]!btnMinusYTDCols_Click" textlink="">
      <xdr:nvSpPr>
        <xdr:cNvPr id="56" name="Rounded Rectangle 55">
          <a:extLst>
            <a:ext uri="{FF2B5EF4-FFF2-40B4-BE49-F238E27FC236}">
              <a16:creationId xmlns:a16="http://schemas.microsoft.com/office/drawing/2014/main" id="{00000000-0008-0000-0100-000038000000}"/>
            </a:ext>
          </a:extLst>
        </xdr:cNvPr>
        <xdr:cNvSpPr/>
      </xdr:nvSpPr>
      <xdr:spPr>
        <a:xfrm>
          <a:off x="12352020" y="3581400"/>
          <a:ext cx="335280" cy="256032"/>
        </a:xfrm>
        <a:prstGeom prst="roundRect">
          <a:avLst/>
        </a:prstGeom>
        <a:solidFill>
          <a:schemeClr val="bg1"/>
        </a:solidFill>
        <a:ln>
          <a:solidFill>
            <a:schemeClr val="tx1"/>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ctr"/>
        <a:lstStyle/>
        <a:p>
          <a:pPr marL="0" indent="0" algn="ctr"/>
          <a:r>
            <a:rPr lang="en-US" sz="1600" b="1">
              <a:solidFill>
                <a:schemeClr val="dk1"/>
              </a:solidFill>
              <a:latin typeface="+mn-lt"/>
              <a:ea typeface="+mn-ea"/>
              <a:cs typeface="+mn-cs"/>
            </a:rPr>
            <a:t>-</a:t>
          </a:r>
        </a:p>
      </xdr:txBody>
    </xdr:sp>
    <xdr:clientData/>
  </xdr:twoCellAnchor>
  <xdr:twoCellAnchor>
    <xdr:from>
      <xdr:col>1</xdr:col>
      <xdr:colOff>0</xdr:colOff>
      <xdr:row>244</xdr:row>
      <xdr:rowOff>2103</xdr:rowOff>
    </xdr:from>
    <xdr:to>
      <xdr:col>1</xdr:col>
      <xdr:colOff>283464</xdr:colOff>
      <xdr:row>244</xdr:row>
      <xdr:rowOff>257175</xdr:rowOff>
    </xdr:to>
    <xdr:sp macro="[0]!ShowHideYTDSCorp" textlink="">
      <xdr:nvSpPr>
        <xdr:cNvPr id="67" name="Rounded Rectangle 66">
          <a:extLst>
            <a:ext uri="{FF2B5EF4-FFF2-40B4-BE49-F238E27FC236}">
              <a16:creationId xmlns:a16="http://schemas.microsoft.com/office/drawing/2014/main" id="{00000000-0008-0000-0100-000043000000}"/>
            </a:ext>
          </a:extLst>
        </xdr:cNvPr>
        <xdr:cNvSpPr/>
      </xdr:nvSpPr>
      <xdr:spPr>
        <a:xfrm>
          <a:off x="205740" y="2966283"/>
          <a:ext cx="283464" cy="255072"/>
        </a:xfrm>
        <a:prstGeom prst="roundRect">
          <a:avLst/>
        </a:pr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rtlCol="0" anchor="ctr" anchorCtr="1"/>
        <a:lstStyle/>
        <a:p>
          <a:pPr algn="l"/>
          <a:r>
            <a:rPr lang="en-US" sz="1600" b="0">
              <a:solidFill>
                <a:sysClr val="windowText" lastClr="000000"/>
              </a:solidFill>
            </a:rPr>
            <a:t>O</a:t>
          </a:r>
        </a:p>
      </xdr:txBody>
    </xdr:sp>
    <xdr:clientData/>
  </xdr:twoCellAnchor>
  <xdr:twoCellAnchor>
    <xdr:from>
      <xdr:col>24</xdr:col>
      <xdr:colOff>0</xdr:colOff>
      <xdr:row>246</xdr:row>
      <xdr:rowOff>15240</xdr:rowOff>
    </xdr:from>
    <xdr:to>
      <xdr:col>25</xdr:col>
      <xdr:colOff>0</xdr:colOff>
      <xdr:row>247</xdr:row>
      <xdr:rowOff>0</xdr:rowOff>
    </xdr:to>
    <xdr:sp macro="[0]!btnPlusYTDCols_Click" textlink="">
      <xdr:nvSpPr>
        <xdr:cNvPr id="68" name="Rounded Rectangle 67">
          <a:extLst>
            <a:ext uri="{FF2B5EF4-FFF2-40B4-BE49-F238E27FC236}">
              <a16:creationId xmlns:a16="http://schemas.microsoft.com/office/drawing/2014/main" id="{00000000-0008-0000-0100-000044000000}"/>
            </a:ext>
          </a:extLst>
        </xdr:cNvPr>
        <xdr:cNvSpPr/>
      </xdr:nvSpPr>
      <xdr:spPr>
        <a:xfrm>
          <a:off x="12352020" y="3329940"/>
          <a:ext cx="335280" cy="251460"/>
        </a:xfrm>
        <a:prstGeom prst="roundRect">
          <a:avLst/>
        </a:prstGeom>
        <a:solidFill>
          <a:schemeClr val="bg1"/>
        </a:solidFill>
        <a:ln>
          <a:solidFill>
            <a:schemeClr val="tx1"/>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ctr"/>
        <a:lstStyle/>
        <a:p>
          <a:pPr marL="0" indent="0" algn="ctr"/>
          <a:r>
            <a:rPr lang="en-US" sz="1600" b="1">
              <a:solidFill>
                <a:schemeClr val="dk1"/>
              </a:solidFill>
              <a:latin typeface="+mn-lt"/>
              <a:ea typeface="+mn-ea"/>
              <a:cs typeface="+mn-cs"/>
            </a:rPr>
            <a:t>+</a:t>
          </a:r>
        </a:p>
      </xdr:txBody>
    </xdr:sp>
    <xdr:clientData/>
  </xdr:twoCellAnchor>
  <xdr:twoCellAnchor>
    <xdr:from>
      <xdr:col>24</xdr:col>
      <xdr:colOff>0</xdr:colOff>
      <xdr:row>247</xdr:row>
      <xdr:rowOff>0</xdr:rowOff>
    </xdr:from>
    <xdr:to>
      <xdr:col>25</xdr:col>
      <xdr:colOff>0</xdr:colOff>
      <xdr:row>248</xdr:row>
      <xdr:rowOff>172212</xdr:rowOff>
    </xdr:to>
    <xdr:sp macro="[0]!btnMinusYTDCols_Click" textlink="">
      <xdr:nvSpPr>
        <xdr:cNvPr id="69" name="Rounded Rectangle 68">
          <a:extLst>
            <a:ext uri="{FF2B5EF4-FFF2-40B4-BE49-F238E27FC236}">
              <a16:creationId xmlns:a16="http://schemas.microsoft.com/office/drawing/2014/main" id="{00000000-0008-0000-0100-000045000000}"/>
            </a:ext>
          </a:extLst>
        </xdr:cNvPr>
        <xdr:cNvSpPr/>
      </xdr:nvSpPr>
      <xdr:spPr>
        <a:xfrm>
          <a:off x="12352020" y="3581400"/>
          <a:ext cx="335280" cy="256032"/>
        </a:xfrm>
        <a:prstGeom prst="roundRect">
          <a:avLst/>
        </a:prstGeom>
        <a:solidFill>
          <a:schemeClr val="bg1"/>
        </a:solidFill>
        <a:ln>
          <a:solidFill>
            <a:schemeClr val="tx1"/>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ctr"/>
        <a:lstStyle/>
        <a:p>
          <a:pPr marL="0" indent="0" algn="ctr"/>
          <a:r>
            <a:rPr lang="en-US" sz="1600" b="1">
              <a:solidFill>
                <a:schemeClr val="dk1"/>
              </a:solidFill>
              <a:latin typeface="+mn-lt"/>
              <a:ea typeface="+mn-ea"/>
              <a:cs typeface="+mn-cs"/>
            </a:rPr>
            <a:t>-</a:t>
          </a:r>
        </a:p>
      </xdr:txBody>
    </xdr:sp>
    <xdr:clientData/>
  </xdr:twoCellAnchor>
  <xdr:twoCellAnchor>
    <xdr:from>
      <xdr:col>1</xdr:col>
      <xdr:colOff>0</xdr:colOff>
      <xdr:row>269</xdr:row>
      <xdr:rowOff>2103</xdr:rowOff>
    </xdr:from>
    <xdr:to>
      <xdr:col>1</xdr:col>
      <xdr:colOff>283464</xdr:colOff>
      <xdr:row>269</xdr:row>
      <xdr:rowOff>257175</xdr:rowOff>
    </xdr:to>
    <xdr:sp macro="[0]!ShowHideYTDSCorp" textlink="">
      <xdr:nvSpPr>
        <xdr:cNvPr id="70" name="Rounded Rectangle 69">
          <a:extLst>
            <a:ext uri="{FF2B5EF4-FFF2-40B4-BE49-F238E27FC236}">
              <a16:creationId xmlns:a16="http://schemas.microsoft.com/office/drawing/2014/main" id="{00000000-0008-0000-0100-000046000000}"/>
            </a:ext>
          </a:extLst>
        </xdr:cNvPr>
        <xdr:cNvSpPr/>
      </xdr:nvSpPr>
      <xdr:spPr>
        <a:xfrm>
          <a:off x="205740" y="16613703"/>
          <a:ext cx="283464" cy="255072"/>
        </a:xfrm>
        <a:prstGeom prst="roundRect">
          <a:avLst/>
        </a:pr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rtlCol="0" anchor="ctr" anchorCtr="1"/>
        <a:lstStyle/>
        <a:p>
          <a:pPr algn="l"/>
          <a:r>
            <a:rPr lang="en-US" sz="1600" b="0">
              <a:solidFill>
                <a:sysClr val="windowText" lastClr="000000"/>
              </a:solidFill>
            </a:rPr>
            <a:t>O</a:t>
          </a:r>
        </a:p>
      </xdr:txBody>
    </xdr:sp>
    <xdr:clientData/>
  </xdr:twoCellAnchor>
  <xdr:twoCellAnchor>
    <xdr:from>
      <xdr:col>1</xdr:col>
      <xdr:colOff>0</xdr:colOff>
      <xdr:row>294</xdr:row>
      <xdr:rowOff>2103</xdr:rowOff>
    </xdr:from>
    <xdr:to>
      <xdr:col>1</xdr:col>
      <xdr:colOff>283464</xdr:colOff>
      <xdr:row>294</xdr:row>
      <xdr:rowOff>257175</xdr:rowOff>
    </xdr:to>
    <xdr:sp macro="[0]!ShowHideYTDSCorp" textlink="">
      <xdr:nvSpPr>
        <xdr:cNvPr id="73" name="Rounded Rectangle 72">
          <a:extLst>
            <a:ext uri="{FF2B5EF4-FFF2-40B4-BE49-F238E27FC236}">
              <a16:creationId xmlns:a16="http://schemas.microsoft.com/office/drawing/2014/main" id="{00000000-0008-0000-0100-000049000000}"/>
            </a:ext>
          </a:extLst>
        </xdr:cNvPr>
        <xdr:cNvSpPr/>
      </xdr:nvSpPr>
      <xdr:spPr>
        <a:xfrm>
          <a:off x="205740" y="22161063"/>
          <a:ext cx="283464" cy="255072"/>
        </a:xfrm>
        <a:prstGeom prst="roundRect">
          <a:avLst/>
        </a:pr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rtlCol="0" anchor="ctr" anchorCtr="1"/>
        <a:lstStyle/>
        <a:p>
          <a:pPr algn="l"/>
          <a:r>
            <a:rPr lang="en-US" sz="1600" b="0">
              <a:solidFill>
                <a:sysClr val="windowText" lastClr="000000"/>
              </a:solidFill>
            </a:rPr>
            <a:t>O</a:t>
          </a:r>
        </a:p>
      </xdr:txBody>
    </xdr:sp>
    <xdr:clientData/>
  </xdr:twoCellAnchor>
  <xdr:twoCellAnchor>
    <xdr:from>
      <xdr:col>1</xdr:col>
      <xdr:colOff>0</xdr:colOff>
      <xdr:row>319</xdr:row>
      <xdr:rowOff>2103</xdr:rowOff>
    </xdr:from>
    <xdr:to>
      <xdr:col>1</xdr:col>
      <xdr:colOff>283464</xdr:colOff>
      <xdr:row>319</xdr:row>
      <xdr:rowOff>257175</xdr:rowOff>
    </xdr:to>
    <xdr:sp macro="[0]!ShowHideYTDSCorp" textlink="">
      <xdr:nvSpPr>
        <xdr:cNvPr id="76" name="Rounded Rectangle 75">
          <a:extLst>
            <a:ext uri="{FF2B5EF4-FFF2-40B4-BE49-F238E27FC236}">
              <a16:creationId xmlns:a16="http://schemas.microsoft.com/office/drawing/2014/main" id="{00000000-0008-0000-0100-00004C000000}"/>
            </a:ext>
          </a:extLst>
        </xdr:cNvPr>
        <xdr:cNvSpPr/>
      </xdr:nvSpPr>
      <xdr:spPr>
        <a:xfrm>
          <a:off x="205740" y="27708423"/>
          <a:ext cx="283464" cy="255072"/>
        </a:xfrm>
        <a:prstGeom prst="roundRect">
          <a:avLst/>
        </a:pr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rtlCol="0" anchor="ctr" anchorCtr="1"/>
        <a:lstStyle/>
        <a:p>
          <a:pPr algn="l"/>
          <a:r>
            <a:rPr lang="en-US" sz="1600" b="0">
              <a:solidFill>
                <a:sysClr val="windowText" lastClr="000000"/>
              </a:solidFill>
            </a:rPr>
            <a:t>O</a:t>
          </a:r>
        </a:p>
      </xdr:txBody>
    </xdr:sp>
    <xdr:clientData/>
  </xdr:twoCellAnchor>
  <xdr:twoCellAnchor>
    <xdr:from>
      <xdr:col>1</xdr:col>
      <xdr:colOff>0</xdr:colOff>
      <xdr:row>344</xdr:row>
      <xdr:rowOff>2103</xdr:rowOff>
    </xdr:from>
    <xdr:to>
      <xdr:col>1</xdr:col>
      <xdr:colOff>283464</xdr:colOff>
      <xdr:row>344</xdr:row>
      <xdr:rowOff>257175</xdr:rowOff>
    </xdr:to>
    <xdr:sp macro="[0]!ShowHideYTDSCorp" textlink="">
      <xdr:nvSpPr>
        <xdr:cNvPr id="79" name="Rounded Rectangle 78">
          <a:extLst>
            <a:ext uri="{FF2B5EF4-FFF2-40B4-BE49-F238E27FC236}">
              <a16:creationId xmlns:a16="http://schemas.microsoft.com/office/drawing/2014/main" id="{00000000-0008-0000-0100-00004F000000}"/>
            </a:ext>
          </a:extLst>
        </xdr:cNvPr>
        <xdr:cNvSpPr/>
      </xdr:nvSpPr>
      <xdr:spPr>
        <a:xfrm>
          <a:off x="205740" y="33255783"/>
          <a:ext cx="283464" cy="255072"/>
        </a:xfrm>
        <a:prstGeom prst="roundRect">
          <a:avLst/>
        </a:pr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rtlCol="0" anchor="ctr" anchorCtr="1"/>
        <a:lstStyle/>
        <a:p>
          <a:pPr algn="l"/>
          <a:r>
            <a:rPr lang="en-US" sz="1600" b="0">
              <a:solidFill>
                <a:sysClr val="windowText" lastClr="000000"/>
              </a:solidFill>
            </a:rPr>
            <a:t>O</a:t>
          </a:r>
        </a:p>
      </xdr:txBody>
    </xdr:sp>
    <xdr:clientData/>
  </xdr:twoCellAnchor>
  <xdr:twoCellAnchor>
    <xdr:from>
      <xdr:col>1</xdr:col>
      <xdr:colOff>0</xdr:colOff>
      <xdr:row>369</xdr:row>
      <xdr:rowOff>2103</xdr:rowOff>
    </xdr:from>
    <xdr:to>
      <xdr:col>1</xdr:col>
      <xdr:colOff>283464</xdr:colOff>
      <xdr:row>369</xdr:row>
      <xdr:rowOff>257175</xdr:rowOff>
    </xdr:to>
    <xdr:sp macro="[0]!ShowHideYTDSCorp" textlink="">
      <xdr:nvSpPr>
        <xdr:cNvPr id="82" name="Rounded Rectangle 81">
          <a:extLst>
            <a:ext uri="{FF2B5EF4-FFF2-40B4-BE49-F238E27FC236}">
              <a16:creationId xmlns:a16="http://schemas.microsoft.com/office/drawing/2014/main" id="{00000000-0008-0000-0100-000052000000}"/>
            </a:ext>
          </a:extLst>
        </xdr:cNvPr>
        <xdr:cNvSpPr/>
      </xdr:nvSpPr>
      <xdr:spPr>
        <a:xfrm>
          <a:off x="205740" y="38803143"/>
          <a:ext cx="283464" cy="255072"/>
        </a:xfrm>
        <a:prstGeom prst="roundRect">
          <a:avLst/>
        </a:pr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rtlCol="0" anchor="ctr" anchorCtr="1"/>
        <a:lstStyle/>
        <a:p>
          <a:pPr algn="l"/>
          <a:r>
            <a:rPr lang="en-US" sz="1600" b="0">
              <a:solidFill>
                <a:sysClr val="windowText" lastClr="000000"/>
              </a:solidFill>
            </a:rPr>
            <a:t>O</a:t>
          </a:r>
        </a:p>
      </xdr:txBody>
    </xdr:sp>
    <xdr:clientData/>
  </xdr:twoCellAnchor>
  <xdr:twoCellAnchor>
    <xdr:from>
      <xdr:col>1</xdr:col>
      <xdr:colOff>0</xdr:colOff>
      <xdr:row>396</xdr:row>
      <xdr:rowOff>2103</xdr:rowOff>
    </xdr:from>
    <xdr:to>
      <xdr:col>1</xdr:col>
      <xdr:colOff>283464</xdr:colOff>
      <xdr:row>396</xdr:row>
      <xdr:rowOff>257175</xdr:rowOff>
    </xdr:to>
    <xdr:sp macro="[0]!ShowHideYTDCorp" textlink="">
      <xdr:nvSpPr>
        <xdr:cNvPr id="85" name="Rounded Rectangle 84">
          <a:extLst>
            <a:ext uri="{FF2B5EF4-FFF2-40B4-BE49-F238E27FC236}">
              <a16:creationId xmlns:a16="http://schemas.microsoft.com/office/drawing/2014/main" id="{00000000-0008-0000-0100-000055000000}"/>
            </a:ext>
          </a:extLst>
        </xdr:cNvPr>
        <xdr:cNvSpPr/>
      </xdr:nvSpPr>
      <xdr:spPr>
        <a:xfrm>
          <a:off x="205740" y="16613703"/>
          <a:ext cx="283464" cy="255072"/>
        </a:xfrm>
        <a:prstGeom prst="roundRect">
          <a:avLst/>
        </a:pr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rtlCol="0" anchor="ctr" anchorCtr="1"/>
        <a:lstStyle/>
        <a:p>
          <a:pPr algn="l"/>
          <a:r>
            <a:rPr lang="en-US" sz="1600" b="0">
              <a:solidFill>
                <a:sysClr val="windowText" lastClr="000000"/>
              </a:solidFill>
            </a:rPr>
            <a:t>O</a:t>
          </a:r>
        </a:p>
      </xdr:txBody>
    </xdr:sp>
    <xdr:clientData/>
  </xdr:twoCellAnchor>
  <xdr:twoCellAnchor>
    <xdr:from>
      <xdr:col>24</xdr:col>
      <xdr:colOff>0</xdr:colOff>
      <xdr:row>398</xdr:row>
      <xdr:rowOff>15240</xdr:rowOff>
    </xdr:from>
    <xdr:to>
      <xdr:col>25</xdr:col>
      <xdr:colOff>0</xdr:colOff>
      <xdr:row>399</xdr:row>
      <xdr:rowOff>0</xdr:rowOff>
    </xdr:to>
    <xdr:sp macro="[0]!btnPlusYTDCols_Click" textlink="">
      <xdr:nvSpPr>
        <xdr:cNvPr id="86" name="Rounded Rectangle 85">
          <a:extLst>
            <a:ext uri="{FF2B5EF4-FFF2-40B4-BE49-F238E27FC236}">
              <a16:creationId xmlns:a16="http://schemas.microsoft.com/office/drawing/2014/main" id="{00000000-0008-0000-0100-000056000000}"/>
            </a:ext>
          </a:extLst>
        </xdr:cNvPr>
        <xdr:cNvSpPr/>
      </xdr:nvSpPr>
      <xdr:spPr>
        <a:xfrm>
          <a:off x="12352020" y="16878300"/>
          <a:ext cx="335280" cy="0"/>
        </a:xfrm>
        <a:prstGeom prst="roundRect">
          <a:avLst/>
        </a:prstGeom>
        <a:solidFill>
          <a:schemeClr val="bg1"/>
        </a:solidFill>
        <a:ln>
          <a:solidFill>
            <a:schemeClr val="tx1"/>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ctr"/>
        <a:lstStyle/>
        <a:p>
          <a:pPr marL="0" indent="0" algn="ctr"/>
          <a:r>
            <a:rPr lang="en-US" sz="1600" b="1">
              <a:solidFill>
                <a:schemeClr val="dk1"/>
              </a:solidFill>
              <a:latin typeface="+mn-lt"/>
              <a:ea typeface="+mn-ea"/>
              <a:cs typeface="+mn-cs"/>
            </a:rPr>
            <a:t>+</a:t>
          </a:r>
        </a:p>
      </xdr:txBody>
    </xdr:sp>
    <xdr:clientData/>
  </xdr:twoCellAnchor>
  <xdr:twoCellAnchor>
    <xdr:from>
      <xdr:col>24</xdr:col>
      <xdr:colOff>0</xdr:colOff>
      <xdr:row>399</xdr:row>
      <xdr:rowOff>0</xdr:rowOff>
    </xdr:from>
    <xdr:to>
      <xdr:col>25</xdr:col>
      <xdr:colOff>0</xdr:colOff>
      <xdr:row>400</xdr:row>
      <xdr:rowOff>172212</xdr:rowOff>
    </xdr:to>
    <xdr:sp macro="[0]!btnMinusYTDCols_Click" textlink="">
      <xdr:nvSpPr>
        <xdr:cNvPr id="87" name="Rounded Rectangle 86">
          <a:extLst>
            <a:ext uri="{FF2B5EF4-FFF2-40B4-BE49-F238E27FC236}">
              <a16:creationId xmlns:a16="http://schemas.microsoft.com/office/drawing/2014/main" id="{00000000-0008-0000-0100-000057000000}"/>
            </a:ext>
          </a:extLst>
        </xdr:cNvPr>
        <xdr:cNvSpPr/>
      </xdr:nvSpPr>
      <xdr:spPr>
        <a:xfrm>
          <a:off x="12352020" y="16878300"/>
          <a:ext cx="335280" cy="0"/>
        </a:xfrm>
        <a:prstGeom prst="roundRect">
          <a:avLst/>
        </a:prstGeom>
        <a:solidFill>
          <a:schemeClr val="bg1"/>
        </a:solidFill>
        <a:ln>
          <a:solidFill>
            <a:schemeClr val="tx1"/>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ctr"/>
        <a:lstStyle/>
        <a:p>
          <a:pPr marL="0" indent="0" algn="ctr"/>
          <a:r>
            <a:rPr lang="en-US" sz="1600" b="1">
              <a:solidFill>
                <a:schemeClr val="dk1"/>
              </a:solidFill>
              <a:latin typeface="+mn-lt"/>
              <a:ea typeface="+mn-ea"/>
              <a:cs typeface="+mn-cs"/>
            </a:rPr>
            <a:t>-</a:t>
          </a:r>
        </a:p>
      </xdr:txBody>
    </xdr:sp>
    <xdr:clientData/>
  </xdr:twoCellAnchor>
  <xdr:twoCellAnchor>
    <xdr:from>
      <xdr:col>1</xdr:col>
      <xdr:colOff>0</xdr:colOff>
      <xdr:row>422</xdr:row>
      <xdr:rowOff>2103</xdr:rowOff>
    </xdr:from>
    <xdr:to>
      <xdr:col>1</xdr:col>
      <xdr:colOff>283464</xdr:colOff>
      <xdr:row>422</xdr:row>
      <xdr:rowOff>257175</xdr:rowOff>
    </xdr:to>
    <xdr:sp macro="[0]!ShowHideYTDCorp" textlink="">
      <xdr:nvSpPr>
        <xdr:cNvPr id="89" name="Rounded Rectangle 88">
          <a:extLst>
            <a:ext uri="{FF2B5EF4-FFF2-40B4-BE49-F238E27FC236}">
              <a16:creationId xmlns:a16="http://schemas.microsoft.com/office/drawing/2014/main" id="{00000000-0008-0000-0100-000059000000}"/>
            </a:ext>
          </a:extLst>
        </xdr:cNvPr>
        <xdr:cNvSpPr/>
      </xdr:nvSpPr>
      <xdr:spPr>
        <a:xfrm>
          <a:off x="205740" y="20050323"/>
          <a:ext cx="283464" cy="255072"/>
        </a:xfrm>
        <a:prstGeom prst="roundRect">
          <a:avLst/>
        </a:pr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rtlCol="0" anchor="ctr" anchorCtr="1"/>
        <a:lstStyle/>
        <a:p>
          <a:pPr algn="l"/>
          <a:r>
            <a:rPr lang="en-US" sz="1600" b="0">
              <a:solidFill>
                <a:sysClr val="windowText" lastClr="000000"/>
              </a:solidFill>
            </a:rPr>
            <a:t>O</a:t>
          </a:r>
        </a:p>
      </xdr:txBody>
    </xdr:sp>
    <xdr:clientData/>
  </xdr:twoCellAnchor>
  <xdr:twoCellAnchor>
    <xdr:from>
      <xdr:col>1</xdr:col>
      <xdr:colOff>0</xdr:colOff>
      <xdr:row>448</xdr:row>
      <xdr:rowOff>2103</xdr:rowOff>
    </xdr:from>
    <xdr:to>
      <xdr:col>1</xdr:col>
      <xdr:colOff>283464</xdr:colOff>
      <xdr:row>448</xdr:row>
      <xdr:rowOff>257175</xdr:rowOff>
    </xdr:to>
    <xdr:sp macro="[0]!ShowHideYTDCorp" textlink="">
      <xdr:nvSpPr>
        <xdr:cNvPr id="92" name="Rounded Rectangle 91">
          <a:extLst>
            <a:ext uri="{FF2B5EF4-FFF2-40B4-BE49-F238E27FC236}">
              <a16:creationId xmlns:a16="http://schemas.microsoft.com/office/drawing/2014/main" id="{00000000-0008-0000-0100-00005C000000}"/>
            </a:ext>
          </a:extLst>
        </xdr:cNvPr>
        <xdr:cNvSpPr/>
      </xdr:nvSpPr>
      <xdr:spPr>
        <a:xfrm>
          <a:off x="205740" y="25757703"/>
          <a:ext cx="283464" cy="255072"/>
        </a:xfrm>
        <a:prstGeom prst="roundRect">
          <a:avLst/>
        </a:pr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rtlCol="0" anchor="ctr" anchorCtr="1"/>
        <a:lstStyle/>
        <a:p>
          <a:pPr algn="l"/>
          <a:r>
            <a:rPr lang="en-US" sz="1600" b="0">
              <a:solidFill>
                <a:sysClr val="windowText" lastClr="000000"/>
              </a:solidFill>
            </a:rPr>
            <a:t>O</a:t>
          </a:r>
        </a:p>
      </xdr:txBody>
    </xdr:sp>
    <xdr:clientData/>
  </xdr:twoCellAnchor>
  <xdr:twoCellAnchor>
    <xdr:from>
      <xdr:col>24</xdr:col>
      <xdr:colOff>0</xdr:colOff>
      <xdr:row>27</xdr:row>
      <xdr:rowOff>15240</xdr:rowOff>
    </xdr:from>
    <xdr:to>
      <xdr:col>25</xdr:col>
      <xdr:colOff>0</xdr:colOff>
      <xdr:row>28</xdr:row>
      <xdr:rowOff>0</xdr:rowOff>
    </xdr:to>
    <xdr:sp macro="[0]!btnPlusYTDCols_Click" textlink="">
      <xdr:nvSpPr>
        <xdr:cNvPr id="88" name="Rounded Rectangle 87">
          <a:extLst>
            <a:ext uri="{FF2B5EF4-FFF2-40B4-BE49-F238E27FC236}">
              <a16:creationId xmlns:a16="http://schemas.microsoft.com/office/drawing/2014/main" id="{00000000-0008-0000-0100-000058000000}"/>
            </a:ext>
          </a:extLst>
        </xdr:cNvPr>
        <xdr:cNvSpPr/>
      </xdr:nvSpPr>
      <xdr:spPr>
        <a:xfrm>
          <a:off x="16017240" y="2004060"/>
          <a:ext cx="335280" cy="251460"/>
        </a:xfrm>
        <a:prstGeom prst="roundRect">
          <a:avLst/>
        </a:prstGeom>
        <a:solidFill>
          <a:schemeClr val="bg1"/>
        </a:solidFill>
        <a:ln>
          <a:solidFill>
            <a:schemeClr val="tx1"/>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ctr"/>
        <a:lstStyle/>
        <a:p>
          <a:pPr marL="0" indent="0" algn="ctr"/>
          <a:r>
            <a:rPr lang="en-US" sz="1600" b="1">
              <a:solidFill>
                <a:schemeClr val="dk1"/>
              </a:solidFill>
              <a:latin typeface="+mn-lt"/>
              <a:ea typeface="+mn-ea"/>
              <a:cs typeface="+mn-cs"/>
            </a:rPr>
            <a:t>+</a:t>
          </a:r>
        </a:p>
      </xdr:txBody>
    </xdr:sp>
    <xdr:clientData/>
  </xdr:twoCellAnchor>
  <xdr:twoCellAnchor>
    <xdr:from>
      <xdr:col>24</xdr:col>
      <xdr:colOff>0</xdr:colOff>
      <xdr:row>28</xdr:row>
      <xdr:rowOff>0</xdr:rowOff>
    </xdr:from>
    <xdr:to>
      <xdr:col>25</xdr:col>
      <xdr:colOff>0</xdr:colOff>
      <xdr:row>29</xdr:row>
      <xdr:rowOff>172212</xdr:rowOff>
    </xdr:to>
    <xdr:sp macro="[0]!btnMinusYTDCols_Click" textlink="">
      <xdr:nvSpPr>
        <xdr:cNvPr id="95" name="Rounded Rectangle 94">
          <a:extLst>
            <a:ext uri="{FF2B5EF4-FFF2-40B4-BE49-F238E27FC236}">
              <a16:creationId xmlns:a16="http://schemas.microsoft.com/office/drawing/2014/main" id="{00000000-0008-0000-0100-00005F000000}"/>
            </a:ext>
          </a:extLst>
        </xdr:cNvPr>
        <xdr:cNvSpPr/>
      </xdr:nvSpPr>
      <xdr:spPr>
        <a:xfrm>
          <a:off x="16017240" y="2255520"/>
          <a:ext cx="335280" cy="256032"/>
        </a:xfrm>
        <a:prstGeom prst="roundRect">
          <a:avLst/>
        </a:prstGeom>
        <a:solidFill>
          <a:schemeClr val="bg1"/>
        </a:solidFill>
        <a:ln>
          <a:solidFill>
            <a:schemeClr val="tx1"/>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ctr"/>
        <a:lstStyle/>
        <a:p>
          <a:pPr marL="0" indent="0" algn="ctr"/>
          <a:r>
            <a:rPr lang="en-US" sz="1600" b="1">
              <a:solidFill>
                <a:schemeClr val="dk1"/>
              </a:solidFill>
              <a:latin typeface="+mn-lt"/>
              <a:ea typeface="+mn-ea"/>
              <a:cs typeface="+mn-cs"/>
            </a:rPr>
            <a:t>-</a:t>
          </a:r>
        </a:p>
      </xdr:txBody>
    </xdr:sp>
    <xdr:clientData/>
  </xdr:twoCellAnchor>
  <xdr:twoCellAnchor>
    <xdr:from>
      <xdr:col>24</xdr:col>
      <xdr:colOff>0</xdr:colOff>
      <xdr:row>46</xdr:row>
      <xdr:rowOff>15240</xdr:rowOff>
    </xdr:from>
    <xdr:to>
      <xdr:col>25</xdr:col>
      <xdr:colOff>0</xdr:colOff>
      <xdr:row>47</xdr:row>
      <xdr:rowOff>0</xdr:rowOff>
    </xdr:to>
    <xdr:sp macro="[0]!btnPlusYTDCols_Click" textlink="">
      <xdr:nvSpPr>
        <xdr:cNvPr id="96" name="Rounded Rectangle 95">
          <a:extLst>
            <a:ext uri="{FF2B5EF4-FFF2-40B4-BE49-F238E27FC236}">
              <a16:creationId xmlns:a16="http://schemas.microsoft.com/office/drawing/2014/main" id="{00000000-0008-0000-0100-000060000000}"/>
            </a:ext>
          </a:extLst>
        </xdr:cNvPr>
        <xdr:cNvSpPr/>
      </xdr:nvSpPr>
      <xdr:spPr>
        <a:xfrm>
          <a:off x="16017240" y="6263640"/>
          <a:ext cx="335280" cy="251460"/>
        </a:xfrm>
        <a:prstGeom prst="roundRect">
          <a:avLst/>
        </a:prstGeom>
        <a:solidFill>
          <a:schemeClr val="bg1"/>
        </a:solidFill>
        <a:ln>
          <a:solidFill>
            <a:schemeClr val="tx1"/>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ctr"/>
        <a:lstStyle/>
        <a:p>
          <a:pPr marL="0" indent="0" algn="ctr"/>
          <a:r>
            <a:rPr lang="en-US" sz="1600" b="1">
              <a:solidFill>
                <a:schemeClr val="dk1"/>
              </a:solidFill>
              <a:latin typeface="+mn-lt"/>
              <a:ea typeface="+mn-ea"/>
              <a:cs typeface="+mn-cs"/>
            </a:rPr>
            <a:t>+</a:t>
          </a:r>
        </a:p>
      </xdr:txBody>
    </xdr:sp>
    <xdr:clientData/>
  </xdr:twoCellAnchor>
  <xdr:twoCellAnchor>
    <xdr:from>
      <xdr:col>24</xdr:col>
      <xdr:colOff>0</xdr:colOff>
      <xdr:row>47</xdr:row>
      <xdr:rowOff>0</xdr:rowOff>
    </xdr:from>
    <xdr:to>
      <xdr:col>25</xdr:col>
      <xdr:colOff>0</xdr:colOff>
      <xdr:row>48</xdr:row>
      <xdr:rowOff>172212</xdr:rowOff>
    </xdr:to>
    <xdr:sp macro="[0]!btnMinusYTDCols_Click" textlink="">
      <xdr:nvSpPr>
        <xdr:cNvPr id="98" name="Rounded Rectangle 97">
          <a:extLst>
            <a:ext uri="{FF2B5EF4-FFF2-40B4-BE49-F238E27FC236}">
              <a16:creationId xmlns:a16="http://schemas.microsoft.com/office/drawing/2014/main" id="{00000000-0008-0000-0100-000062000000}"/>
            </a:ext>
          </a:extLst>
        </xdr:cNvPr>
        <xdr:cNvSpPr/>
      </xdr:nvSpPr>
      <xdr:spPr>
        <a:xfrm>
          <a:off x="16017240" y="6515100"/>
          <a:ext cx="335280" cy="256032"/>
        </a:xfrm>
        <a:prstGeom prst="roundRect">
          <a:avLst/>
        </a:prstGeom>
        <a:solidFill>
          <a:schemeClr val="bg1"/>
        </a:solidFill>
        <a:ln>
          <a:solidFill>
            <a:schemeClr val="tx1"/>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ctr"/>
        <a:lstStyle/>
        <a:p>
          <a:pPr marL="0" indent="0" algn="ctr"/>
          <a:r>
            <a:rPr lang="en-US" sz="1600" b="1">
              <a:solidFill>
                <a:schemeClr val="dk1"/>
              </a:solidFill>
              <a:latin typeface="+mn-lt"/>
              <a:ea typeface="+mn-ea"/>
              <a:cs typeface="+mn-cs"/>
            </a:rPr>
            <a:t>-</a:t>
          </a:r>
        </a:p>
      </xdr:txBody>
    </xdr:sp>
    <xdr:clientData/>
  </xdr:twoCellAnchor>
  <xdr:twoCellAnchor>
    <xdr:from>
      <xdr:col>24</xdr:col>
      <xdr:colOff>0</xdr:colOff>
      <xdr:row>67</xdr:row>
      <xdr:rowOff>15240</xdr:rowOff>
    </xdr:from>
    <xdr:to>
      <xdr:col>25</xdr:col>
      <xdr:colOff>0</xdr:colOff>
      <xdr:row>68</xdr:row>
      <xdr:rowOff>0</xdr:rowOff>
    </xdr:to>
    <xdr:sp macro="[0]!btnPlusYTDCols_Click" textlink="">
      <xdr:nvSpPr>
        <xdr:cNvPr id="100" name="Rounded Rectangle 99">
          <a:extLst>
            <a:ext uri="{FF2B5EF4-FFF2-40B4-BE49-F238E27FC236}">
              <a16:creationId xmlns:a16="http://schemas.microsoft.com/office/drawing/2014/main" id="{00000000-0008-0000-0100-000064000000}"/>
            </a:ext>
          </a:extLst>
        </xdr:cNvPr>
        <xdr:cNvSpPr/>
      </xdr:nvSpPr>
      <xdr:spPr>
        <a:xfrm>
          <a:off x="16017240" y="10523220"/>
          <a:ext cx="335280" cy="251460"/>
        </a:xfrm>
        <a:prstGeom prst="roundRect">
          <a:avLst/>
        </a:prstGeom>
        <a:solidFill>
          <a:schemeClr val="bg1"/>
        </a:solidFill>
        <a:ln>
          <a:solidFill>
            <a:schemeClr val="tx1"/>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ctr"/>
        <a:lstStyle/>
        <a:p>
          <a:pPr marL="0" indent="0" algn="ctr"/>
          <a:r>
            <a:rPr lang="en-US" sz="1600" b="1">
              <a:solidFill>
                <a:schemeClr val="dk1"/>
              </a:solidFill>
              <a:latin typeface="+mn-lt"/>
              <a:ea typeface="+mn-ea"/>
              <a:cs typeface="+mn-cs"/>
            </a:rPr>
            <a:t>+</a:t>
          </a:r>
        </a:p>
      </xdr:txBody>
    </xdr:sp>
    <xdr:clientData/>
  </xdr:twoCellAnchor>
  <xdr:twoCellAnchor>
    <xdr:from>
      <xdr:col>24</xdr:col>
      <xdr:colOff>0</xdr:colOff>
      <xdr:row>68</xdr:row>
      <xdr:rowOff>0</xdr:rowOff>
    </xdr:from>
    <xdr:to>
      <xdr:col>25</xdr:col>
      <xdr:colOff>0</xdr:colOff>
      <xdr:row>69</xdr:row>
      <xdr:rowOff>172212</xdr:rowOff>
    </xdr:to>
    <xdr:sp macro="[0]!btnMinusYTDCols_Click" textlink="">
      <xdr:nvSpPr>
        <xdr:cNvPr id="101" name="Rounded Rectangle 100">
          <a:extLst>
            <a:ext uri="{FF2B5EF4-FFF2-40B4-BE49-F238E27FC236}">
              <a16:creationId xmlns:a16="http://schemas.microsoft.com/office/drawing/2014/main" id="{00000000-0008-0000-0100-000065000000}"/>
            </a:ext>
          </a:extLst>
        </xdr:cNvPr>
        <xdr:cNvSpPr/>
      </xdr:nvSpPr>
      <xdr:spPr>
        <a:xfrm>
          <a:off x="16017240" y="10774680"/>
          <a:ext cx="335280" cy="256032"/>
        </a:xfrm>
        <a:prstGeom prst="roundRect">
          <a:avLst/>
        </a:prstGeom>
        <a:solidFill>
          <a:schemeClr val="bg1"/>
        </a:solidFill>
        <a:ln>
          <a:solidFill>
            <a:schemeClr val="tx1"/>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ctr"/>
        <a:lstStyle/>
        <a:p>
          <a:pPr marL="0" indent="0" algn="ctr"/>
          <a:r>
            <a:rPr lang="en-US" sz="1600" b="1">
              <a:solidFill>
                <a:schemeClr val="dk1"/>
              </a:solidFill>
              <a:latin typeface="+mn-lt"/>
              <a:ea typeface="+mn-ea"/>
              <a:cs typeface="+mn-cs"/>
            </a:rPr>
            <a:t>-</a:t>
          </a:r>
        </a:p>
      </xdr:txBody>
    </xdr:sp>
    <xdr:clientData/>
  </xdr:twoCellAnchor>
  <xdr:twoCellAnchor>
    <xdr:from>
      <xdr:col>24</xdr:col>
      <xdr:colOff>0</xdr:colOff>
      <xdr:row>114</xdr:row>
      <xdr:rowOff>15240</xdr:rowOff>
    </xdr:from>
    <xdr:to>
      <xdr:col>25</xdr:col>
      <xdr:colOff>0</xdr:colOff>
      <xdr:row>115</xdr:row>
      <xdr:rowOff>0</xdr:rowOff>
    </xdr:to>
    <xdr:sp macro="[0]!btnPlusYTDCols_Click" textlink="">
      <xdr:nvSpPr>
        <xdr:cNvPr id="102" name="Rounded Rectangle 101">
          <a:extLst>
            <a:ext uri="{FF2B5EF4-FFF2-40B4-BE49-F238E27FC236}">
              <a16:creationId xmlns:a16="http://schemas.microsoft.com/office/drawing/2014/main" id="{00000000-0008-0000-0100-000066000000}"/>
            </a:ext>
          </a:extLst>
        </xdr:cNvPr>
        <xdr:cNvSpPr/>
      </xdr:nvSpPr>
      <xdr:spPr>
        <a:xfrm>
          <a:off x="16017240" y="19728180"/>
          <a:ext cx="335280" cy="251460"/>
        </a:xfrm>
        <a:prstGeom prst="roundRect">
          <a:avLst/>
        </a:prstGeom>
        <a:solidFill>
          <a:schemeClr val="bg1"/>
        </a:solidFill>
        <a:ln>
          <a:solidFill>
            <a:schemeClr val="tx1"/>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ctr"/>
        <a:lstStyle/>
        <a:p>
          <a:pPr marL="0" indent="0" algn="ctr"/>
          <a:r>
            <a:rPr lang="en-US" sz="1600" b="1">
              <a:solidFill>
                <a:schemeClr val="dk1"/>
              </a:solidFill>
              <a:latin typeface="+mn-lt"/>
              <a:ea typeface="+mn-ea"/>
              <a:cs typeface="+mn-cs"/>
            </a:rPr>
            <a:t>+</a:t>
          </a:r>
        </a:p>
      </xdr:txBody>
    </xdr:sp>
    <xdr:clientData/>
  </xdr:twoCellAnchor>
  <xdr:twoCellAnchor>
    <xdr:from>
      <xdr:col>24</xdr:col>
      <xdr:colOff>0</xdr:colOff>
      <xdr:row>115</xdr:row>
      <xdr:rowOff>0</xdr:rowOff>
    </xdr:from>
    <xdr:to>
      <xdr:col>25</xdr:col>
      <xdr:colOff>0</xdr:colOff>
      <xdr:row>116</xdr:row>
      <xdr:rowOff>172212</xdr:rowOff>
    </xdr:to>
    <xdr:sp macro="[0]!btnMinusYTDCols_Click" textlink="">
      <xdr:nvSpPr>
        <xdr:cNvPr id="103" name="Rounded Rectangle 102">
          <a:extLst>
            <a:ext uri="{FF2B5EF4-FFF2-40B4-BE49-F238E27FC236}">
              <a16:creationId xmlns:a16="http://schemas.microsoft.com/office/drawing/2014/main" id="{00000000-0008-0000-0100-000067000000}"/>
            </a:ext>
          </a:extLst>
        </xdr:cNvPr>
        <xdr:cNvSpPr/>
      </xdr:nvSpPr>
      <xdr:spPr>
        <a:xfrm>
          <a:off x="16017240" y="19979640"/>
          <a:ext cx="335280" cy="256032"/>
        </a:xfrm>
        <a:prstGeom prst="roundRect">
          <a:avLst/>
        </a:prstGeom>
        <a:solidFill>
          <a:schemeClr val="bg1"/>
        </a:solidFill>
        <a:ln>
          <a:solidFill>
            <a:schemeClr val="tx1"/>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ctr"/>
        <a:lstStyle/>
        <a:p>
          <a:pPr marL="0" indent="0" algn="ctr"/>
          <a:r>
            <a:rPr lang="en-US" sz="1600" b="1">
              <a:solidFill>
                <a:schemeClr val="dk1"/>
              </a:solidFill>
              <a:latin typeface="+mn-lt"/>
              <a:ea typeface="+mn-ea"/>
              <a:cs typeface="+mn-cs"/>
            </a:rPr>
            <a:t>-</a:t>
          </a:r>
        </a:p>
      </xdr:txBody>
    </xdr:sp>
    <xdr:clientData/>
  </xdr:twoCellAnchor>
  <xdr:twoCellAnchor>
    <xdr:from>
      <xdr:col>24</xdr:col>
      <xdr:colOff>0</xdr:colOff>
      <xdr:row>140</xdr:row>
      <xdr:rowOff>15240</xdr:rowOff>
    </xdr:from>
    <xdr:to>
      <xdr:col>25</xdr:col>
      <xdr:colOff>0</xdr:colOff>
      <xdr:row>141</xdr:row>
      <xdr:rowOff>0</xdr:rowOff>
    </xdr:to>
    <xdr:sp macro="[0]!btnPlusYTDCols_Click" textlink="">
      <xdr:nvSpPr>
        <xdr:cNvPr id="104" name="Rounded Rectangle 103">
          <a:extLst>
            <a:ext uri="{FF2B5EF4-FFF2-40B4-BE49-F238E27FC236}">
              <a16:creationId xmlns:a16="http://schemas.microsoft.com/office/drawing/2014/main" id="{00000000-0008-0000-0100-000068000000}"/>
            </a:ext>
          </a:extLst>
        </xdr:cNvPr>
        <xdr:cNvSpPr/>
      </xdr:nvSpPr>
      <xdr:spPr>
        <a:xfrm>
          <a:off x="16017240" y="25435560"/>
          <a:ext cx="335280" cy="251460"/>
        </a:xfrm>
        <a:prstGeom prst="roundRect">
          <a:avLst/>
        </a:prstGeom>
        <a:solidFill>
          <a:schemeClr val="bg1"/>
        </a:solidFill>
        <a:ln>
          <a:solidFill>
            <a:schemeClr val="tx1"/>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ctr"/>
        <a:lstStyle/>
        <a:p>
          <a:pPr marL="0" indent="0" algn="ctr"/>
          <a:r>
            <a:rPr lang="en-US" sz="1600" b="1">
              <a:solidFill>
                <a:schemeClr val="dk1"/>
              </a:solidFill>
              <a:latin typeface="+mn-lt"/>
              <a:ea typeface="+mn-ea"/>
              <a:cs typeface="+mn-cs"/>
            </a:rPr>
            <a:t>+</a:t>
          </a:r>
        </a:p>
      </xdr:txBody>
    </xdr:sp>
    <xdr:clientData/>
  </xdr:twoCellAnchor>
  <xdr:twoCellAnchor>
    <xdr:from>
      <xdr:col>24</xdr:col>
      <xdr:colOff>0</xdr:colOff>
      <xdr:row>141</xdr:row>
      <xdr:rowOff>0</xdr:rowOff>
    </xdr:from>
    <xdr:to>
      <xdr:col>25</xdr:col>
      <xdr:colOff>0</xdr:colOff>
      <xdr:row>142</xdr:row>
      <xdr:rowOff>172212</xdr:rowOff>
    </xdr:to>
    <xdr:sp macro="[0]!btnMinusYTDCols_Click" textlink="">
      <xdr:nvSpPr>
        <xdr:cNvPr id="105" name="Rounded Rectangle 104">
          <a:extLst>
            <a:ext uri="{FF2B5EF4-FFF2-40B4-BE49-F238E27FC236}">
              <a16:creationId xmlns:a16="http://schemas.microsoft.com/office/drawing/2014/main" id="{00000000-0008-0000-0100-000069000000}"/>
            </a:ext>
          </a:extLst>
        </xdr:cNvPr>
        <xdr:cNvSpPr/>
      </xdr:nvSpPr>
      <xdr:spPr>
        <a:xfrm>
          <a:off x="16017240" y="25687020"/>
          <a:ext cx="335280" cy="256032"/>
        </a:xfrm>
        <a:prstGeom prst="roundRect">
          <a:avLst/>
        </a:prstGeom>
        <a:solidFill>
          <a:schemeClr val="bg1"/>
        </a:solidFill>
        <a:ln>
          <a:solidFill>
            <a:schemeClr val="tx1"/>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ctr"/>
        <a:lstStyle/>
        <a:p>
          <a:pPr marL="0" indent="0" algn="ctr"/>
          <a:r>
            <a:rPr lang="en-US" sz="1600" b="1">
              <a:solidFill>
                <a:schemeClr val="dk1"/>
              </a:solidFill>
              <a:latin typeface="+mn-lt"/>
              <a:ea typeface="+mn-ea"/>
              <a:cs typeface="+mn-cs"/>
            </a:rPr>
            <a:t>-</a:t>
          </a:r>
        </a:p>
      </xdr:txBody>
    </xdr:sp>
    <xdr:clientData/>
  </xdr:twoCellAnchor>
  <xdr:twoCellAnchor>
    <xdr:from>
      <xdr:col>24</xdr:col>
      <xdr:colOff>0</xdr:colOff>
      <xdr:row>166</xdr:row>
      <xdr:rowOff>15240</xdr:rowOff>
    </xdr:from>
    <xdr:to>
      <xdr:col>25</xdr:col>
      <xdr:colOff>0</xdr:colOff>
      <xdr:row>167</xdr:row>
      <xdr:rowOff>0</xdr:rowOff>
    </xdr:to>
    <xdr:sp macro="[0]!btnPlusYTDCols_Click" textlink="">
      <xdr:nvSpPr>
        <xdr:cNvPr id="106" name="Rounded Rectangle 105">
          <a:extLst>
            <a:ext uri="{FF2B5EF4-FFF2-40B4-BE49-F238E27FC236}">
              <a16:creationId xmlns:a16="http://schemas.microsoft.com/office/drawing/2014/main" id="{00000000-0008-0000-0100-00006A000000}"/>
            </a:ext>
          </a:extLst>
        </xdr:cNvPr>
        <xdr:cNvSpPr/>
      </xdr:nvSpPr>
      <xdr:spPr>
        <a:xfrm>
          <a:off x="16017240" y="31142940"/>
          <a:ext cx="335280" cy="251460"/>
        </a:xfrm>
        <a:prstGeom prst="roundRect">
          <a:avLst/>
        </a:prstGeom>
        <a:solidFill>
          <a:schemeClr val="bg1"/>
        </a:solidFill>
        <a:ln>
          <a:solidFill>
            <a:schemeClr val="tx1"/>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ctr"/>
        <a:lstStyle/>
        <a:p>
          <a:pPr marL="0" indent="0" algn="ctr"/>
          <a:r>
            <a:rPr lang="en-US" sz="1600" b="1">
              <a:solidFill>
                <a:schemeClr val="dk1"/>
              </a:solidFill>
              <a:latin typeface="+mn-lt"/>
              <a:ea typeface="+mn-ea"/>
              <a:cs typeface="+mn-cs"/>
            </a:rPr>
            <a:t>+</a:t>
          </a:r>
        </a:p>
      </xdr:txBody>
    </xdr:sp>
    <xdr:clientData/>
  </xdr:twoCellAnchor>
  <xdr:twoCellAnchor>
    <xdr:from>
      <xdr:col>24</xdr:col>
      <xdr:colOff>0</xdr:colOff>
      <xdr:row>167</xdr:row>
      <xdr:rowOff>0</xdr:rowOff>
    </xdr:from>
    <xdr:to>
      <xdr:col>25</xdr:col>
      <xdr:colOff>0</xdr:colOff>
      <xdr:row>168</xdr:row>
      <xdr:rowOff>172212</xdr:rowOff>
    </xdr:to>
    <xdr:sp macro="[0]!btnMinusYTDCols_Click" textlink="">
      <xdr:nvSpPr>
        <xdr:cNvPr id="107" name="Rounded Rectangle 106">
          <a:extLst>
            <a:ext uri="{FF2B5EF4-FFF2-40B4-BE49-F238E27FC236}">
              <a16:creationId xmlns:a16="http://schemas.microsoft.com/office/drawing/2014/main" id="{00000000-0008-0000-0100-00006B000000}"/>
            </a:ext>
          </a:extLst>
        </xdr:cNvPr>
        <xdr:cNvSpPr/>
      </xdr:nvSpPr>
      <xdr:spPr>
        <a:xfrm>
          <a:off x="16017240" y="31394400"/>
          <a:ext cx="335280" cy="256032"/>
        </a:xfrm>
        <a:prstGeom prst="roundRect">
          <a:avLst/>
        </a:prstGeom>
        <a:solidFill>
          <a:schemeClr val="bg1"/>
        </a:solidFill>
        <a:ln>
          <a:solidFill>
            <a:schemeClr val="tx1"/>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ctr"/>
        <a:lstStyle/>
        <a:p>
          <a:pPr marL="0" indent="0" algn="ctr"/>
          <a:r>
            <a:rPr lang="en-US" sz="1600" b="1">
              <a:solidFill>
                <a:schemeClr val="dk1"/>
              </a:solidFill>
              <a:latin typeface="+mn-lt"/>
              <a:ea typeface="+mn-ea"/>
              <a:cs typeface="+mn-cs"/>
            </a:rPr>
            <a:t>-</a:t>
          </a:r>
        </a:p>
      </xdr:txBody>
    </xdr:sp>
    <xdr:clientData/>
  </xdr:twoCellAnchor>
  <xdr:twoCellAnchor>
    <xdr:from>
      <xdr:col>24</xdr:col>
      <xdr:colOff>0</xdr:colOff>
      <xdr:row>192</xdr:row>
      <xdr:rowOff>15240</xdr:rowOff>
    </xdr:from>
    <xdr:to>
      <xdr:col>25</xdr:col>
      <xdr:colOff>0</xdr:colOff>
      <xdr:row>193</xdr:row>
      <xdr:rowOff>0</xdr:rowOff>
    </xdr:to>
    <xdr:sp macro="[0]!btnPlusYTDCols_Click" textlink="">
      <xdr:nvSpPr>
        <xdr:cNvPr id="108" name="Rounded Rectangle 107">
          <a:extLst>
            <a:ext uri="{FF2B5EF4-FFF2-40B4-BE49-F238E27FC236}">
              <a16:creationId xmlns:a16="http://schemas.microsoft.com/office/drawing/2014/main" id="{00000000-0008-0000-0100-00006C000000}"/>
            </a:ext>
          </a:extLst>
        </xdr:cNvPr>
        <xdr:cNvSpPr/>
      </xdr:nvSpPr>
      <xdr:spPr>
        <a:xfrm>
          <a:off x="16017240" y="36850320"/>
          <a:ext cx="335280" cy="251460"/>
        </a:xfrm>
        <a:prstGeom prst="roundRect">
          <a:avLst/>
        </a:prstGeom>
        <a:solidFill>
          <a:schemeClr val="bg1"/>
        </a:solidFill>
        <a:ln>
          <a:solidFill>
            <a:schemeClr val="tx1"/>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ctr"/>
        <a:lstStyle/>
        <a:p>
          <a:pPr marL="0" indent="0" algn="ctr"/>
          <a:r>
            <a:rPr lang="en-US" sz="1600" b="1">
              <a:solidFill>
                <a:schemeClr val="dk1"/>
              </a:solidFill>
              <a:latin typeface="+mn-lt"/>
              <a:ea typeface="+mn-ea"/>
              <a:cs typeface="+mn-cs"/>
            </a:rPr>
            <a:t>+</a:t>
          </a:r>
        </a:p>
      </xdr:txBody>
    </xdr:sp>
    <xdr:clientData/>
  </xdr:twoCellAnchor>
  <xdr:twoCellAnchor>
    <xdr:from>
      <xdr:col>24</xdr:col>
      <xdr:colOff>0</xdr:colOff>
      <xdr:row>193</xdr:row>
      <xdr:rowOff>0</xdr:rowOff>
    </xdr:from>
    <xdr:to>
      <xdr:col>25</xdr:col>
      <xdr:colOff>0</xdr:colOff>
      <xdr:row>194</xdr:row>
      <xdr:rowOff>172212</xdr:rowOff>
    </xdr:to>
    <xdr:sp macro="[0]!btnMinusYTDCols_Click" textlink="">
      <xdr:nvSpPr>
        <xdr:cNvPr id="109" name="Rounded Rectangle 108">
          <a:extLst>
            <a:ext uri="{FF2B5EF4-FFF2-40B4-BE49-F238E27FC236}">
              <a16:creationId xmlns:a16="http://schemas.microsoft.com/office/drawing/2014/main" id="{00000000-0008-0000-0100-00006D000000}"/>
            </a:ext>
          </a:extLst>
        </xdr:cNvPr>
        <xdr:cNvSpPr/>
      </xdr:nvSpPr>
      <xdr:spPr>
        <a:xfrm>
          <a:off x="16017240" y="37101780"/>
          <a:ext cx="335280" cy="256032"/>
        </a:xfrm>
        <a:prstGeom prst="roundRect">
          <a:avLst/>
        </a:prstGeom>
        <a:solidFill>
          <a:schemeClr val="bg1"/>
        </a:solidFill>
        <a:ln>
          <a:solidFill>
            <a:schemeClr val="tx1"/>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ctr"/>
        <a:lstStyle/>
        <a:p>
          <a:pPr marL="0" indent="0" algn="ctr"/>
          <a:r>
            <a:rPr lang="en-US" sz="1600" b="1">
              <a:solidFill>
                <a:schemeClr val="dk1"/>
              </a:solidFill>
              <a:latin typeface="+mn-lt"/>
              <a:ea typeface="+mn-ea"/>
              <a:cs typeface="+mn-cs"/>
            </a:rPr>
            <a:t>-</a:t>
          </a:r>
        </a:p>
      </xdr:txBody>
    </xdr:sp>
    <xdr:clientData/>
  </xdr:twoCellAnchor>
  <xdr:twoCellAnchor>
    <xdr:from>
      <xdr:col>24</xdr:col>
      <xdr:colOff>0</xdr:colOff>
      <xdr:row>218</xdr:row>
      <xdr:rowOff>15240</xdr:rowOff>
    </xdr:from>
    <xdr:to>
      <xdr:col>25</xdr:col>
      <xdr:colOff>0</xdr:colOff>
      <xdr:row>219</xdr:row>
      <xdr:rowOff>0</xdr:rowOff>
    </xdr:to>
    <xdr:sp macro="[0]!btnPlusYTDCols_Click" textlink="">
      <xdr:nvSpPr>
        <xdr:cNvPr id="110" name="Rounded Rectangle 109">
          <a:extLst>
            <a:ext uri="{FF2B5EF4-FFF2-40B4-BE49-F238E27FC236}">
              <a16:creationId xmlns:a16="http://schemas.microsoft.com/office/drawing/2014/main" id="{00000000-0008-0000-0100-00006E000000}"/>
            </a:ext>
          </a:extLst>
        </xdr:cNvPr>
        <xdr:cNvSpPr/>
      </xdr:nvSpPr>
      <xdr:spPr>
        <a:xfrm>
          <a:off x="16017240" y="42557700"/>
          <a:ext cx="335280" cy="251460"/>
        </a:xfrm>
        <a:prstGeom prst="roundRect">
          <a:avLst/>
        </a:prstGeom>
        <a:solidFill>
          <a:schemeClr val="bg1"/>
        </a:solidFill>
        <a:ln>
          <a:solidFill>
            <a:schemeClr val="tx1"/>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ctr"/>
        <a:lstStyle/>
        <a:p>
          <a:pPr marL="0" indent="0" algn="ctr"/>
          <a:r>
            <a:rPr lang="en-US" sz="1600" b="1">
              <a:solidFill>
                <a:schemeClr val="dk1"/>
              </a:solidFill>
              <a:latin typeface="+mn-lt"/>
              <a:ea typeface="+mn-ea"/>
              <a:cs typeface="+mn-cs"/>
            </a:rPr>
            <a:t>+</a:t>
          </a:r>
        </a:p>
      </xdr:txBody>
    </xdr:sp>
    <xdr:clientData/>
  </xdr:twoCellAnchor>
  <xdr:twoCellAnchor>
    <xdr:from>
      <xdr:col>24</xdr:col>
      <xdr:colOff>0</xdr:colOff>
      <xdr:row>219</xdr:row>
      <xdr:rowOff>0</xdr:rowOff>
    </xdr:from>
    <xdr:to>
      <xdr:col>25</xdr:col>
      <xdr:colOff>0</xdr:colOff>
      <xdr:row>220</xdr:row>
      <xdr:rowOff>172212</xdr:rowOff>
    </xdr:to>
    <xdr:sp macro="[0]!btnMinusYTDCols_Click" textlink="">
      <xdr:nvSpPr>
        <xdr:cNvPr id="111" name="Rounded Rectangle 110">
          <a:extLst>
            <a:ext uri="{FF2B5EF4-FFF2-40B4-BE49-F238E27FC236}">
              <a16:creationId xmlns:a16="http://schemas.microsoft.com/office/drawing/2014/main" id="{00000000-0008-0000-0100-00006F000000}"/>
            </a:ext>
          </a:extLst>
        </xdr:cNvPr>
        <xdr:cNvSpPr/>
      </xdr:nvSpPr>
      <xdr:spPr>
        <a:xfrm>
          <a:off x="16017240" y="42809160"/>
          <a:ext cx="335280" cy="256032"/>
        </a:xfrm>
        <a:prstGeom prst="roundRect">
          <a:avLst/>
        </a:prstGeom>
        <a:solidFill>
          <a:schemeClr val="bg1"/>
        </a:solidFill>
        <a:ln>
          <a:solidFill>
            <a:schemeClr val="tx1"/>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ctr"/>
        <a:lstStyle/>
        <a:p>
          <a:pPr marL="0" indent="0" algn="ctr"/>
          <a:r>
            <a:rPr lang="en-US" sz="1600" b="1">
              <a:solidFill>
                <a:schemeClr val="dk1"/>
              </a:solidFill>
              <a:latin typeface="+mn-lt"/>
              <a:ea typeface="+mn-ea"/>
              <a:cs typeface="+mn-cs"/>
            </a:rPr>
            <a:t>-</a:t>
          </a:r>
        </a:p>
      </xdr:txBody>
    </xdr:sp>
    <xdr:clientData/>
  </xdr:twoCellAnchor>
  <xdr:twoCellAnchor>
    <xdr:from>
      <xdr:col>24</xdr:col>
      <xdr:colOff>0</xdr:colOff>
      <xdr:row>271</xdr:row>
      <xdr:rowOff>15240</xdr:rowOff>
    </xdr:from>
    <xdr:to>
      <xdr:col>25</xdr:col>
      <xdr:colOff>0</xdr:colOff>
      <xdr:row>272</xdr:row>
      <xdr:rowOff>0</xdr:rowOff>
    </xdr:to>
    <xdr:sp macro="[0]!btnPlusYTDCols_Click" textlink="">
      <xdr:nvSpPr>
        <xdr:cNvPr id="112" name="Rounded Rectangle 111">
          <a:extLst>
            <a:ext uri="{FF2B5EF4-FFF2-40B4-BE49-F238E27FC236}">
              <a16:creationId xmlns:a16="http://schemas.microsoft.com/office/drawing/2014/main" id="{00000000-0008-0000-0100-000070000000}"/>
            </a:ext>
          </a:extLst>
        </xdr:cNvPr>
        <xdr:cNvSpPr/>
      </xdr:nvSpPr>
      <xdr:spPr>
        <a:xfrm>
          <a:off x="16017240" y="28430220"/>
          <a:ext cx="335280" cy="251460"/>
        </a:xfrm>
        <a:prstGeom prst="roundRect">
          <a:avLst/>
        </a:prstGeom>
        <a:solidFill>
          <a:schemeClr val="bg1"/>
        </a:solidFill>
        <a:ln>
          <a:solidFill>
            <a:schemeClr val="tx1"/>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ctr"/>
        <a:lstStyle/>
        <a:p>
          <a:pPr marL="0" indent="0" algn="ctr"/>
          <a:r>
            <a:rPr lang="en-US" sz="1600" b="1">
              <a:solidFill>
                <a:schemeClr val="dk1"/>
              </a:solidFill>
              <a:latin typeface="+mn-lt"/>
              <a:ea typeface="+mn-ea"/>
              <a:cs typeface="+mn-cs"/>
            </a:rPr>
            <a:t>+</a:t>
          </a:r>
        </a:p>
      </xdr:txBody>
    </xdr:sp>
    <xdr:clientData/>
  </xdr:twoCellAnchor>
  <xdr:twoCellAnchor>
    <xdr:from>
      <xdr:col>24</xdr:col>
      <xdr:colOff>0</xdr:colOff>
      <xdr:row>272</xdr:row>
      <xdr:rowOff>0</xdr:rowOff>
    </xdr:from>
    <xdr:to>
      <xdr:col>25</xdr:col>
      <xdr:colOff>0</xdr:colOff>
      <xdr:row>273</xdr:row>
      <xdr:rowOff>172212</xdr:rowOff>
    </xdr:to>
    <xdr:sp macro="[0]!btnMinusYTDCols_Click" textlink="">
      <xdr:nvSpPr>
        <xdr:cNvPr id="113" name="Rounded Rectangle 112">
          <a:extLst>
            <a:ext uri="{FF2B5EF4-FFF2-40B4-BE49-F238E27FC236}">
              <a16:creationId xmlns:a16="http://schemas.microsoft.com/office/drawing/2014/main" id="{00000000-0008-0000-0100-000071000000}"/>
            </a:ext>
          </a:extLst>
        </xdr:cNvPr>
        <xdr:cNvSpPr/>
      </xdr:nvSpPr>
      <xdr:spPr>
        <a:xfrm>
          <a:off x="16017240" y="28681680"/>
          <a:ext cx="335280" cy="256032"/>
        </a:xfrm>
        <a:prstGeom prst="roundRect">
          <a:avLst/>
        </a:prstGeom>
        <a:solidFill>
          <a:schemeClr val="bg1"/>
        </a:solidFill>
        <a:ln>
          <a:solidFill>
            <a:schemeClr val="tx1"/>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ctr"/>
        <a:lstStyle/>
        <a:p>
          <a:pPr marL="0" indent="0" algn="ctr"/>
          <a:r>
            <a:rPr lang="en-US" sz="1600" b="1">
              <a:solidFill>
                <a:schemeClr val="dk1"/>
              </a:solidFill>
              <a:latin typeface="+mn-lt"/>
              <a:ea typeface="+mn-ea"/>
              <a:cs typeface="+mn-cs"/>
            </a:rPr>
            <a:t>-</a:t>
          </a:r>
        </a:p>
      </xdr:txBody>
    </xdr:sp>
    <xdr:clientData/>
  </xdr:twoCellAnchor>
  <xdr:twoCellAnchor>
    <xdr:from>
      <xdr:col>24</xdr:col>
      <xdr:colOff>0</xdr:colOff>
      <xdr:row>296</xdr:row>
      <xdr:rowOff>15240</xdr:rowOff>
    </xdr:from>
    <xdr:to>
      <xdr:col>25</xdr:col>
      <xdr:colOff>0</xdr:colOff>
      <xdr:row>297</xdr:row>
      <xdr:rowOff>0</xdr:rowOff>
    </xdr:to>
    <xdr:sp macro="[0]!btnPlusYTDCols_Click" textlink="">
      <xdr:nvSpPr>
        <xdr:cNvPr id="114" name="Rounded Rectangle 113">
          <a:extLst>
            <a:ext uri="{FF2B5EF4-FFF2-40B4-BE49-F238E27FC236}">
              <a16:creationId xmlns:a16="http://schemas.microsoft.com/office/drawing/2014/main" id="{00000000-0008-0000-0100-000072000000}"/>
            </a:ext>
          </a:extLst>
        </xdr:cNvPr>
        <xdr:cNvSpPr/>
      </xdr:nvSpPr>
      <xdr:spPr>
        <a:xfrm>
          <a:off x="16017240" y="33870900"/>
          <a:ext cx="335280" cy="251460"/>
        </a:xfrm>
        <a:prstGeom prst="roundRect">
          <a:avLst/>
        </a:prstGeom>
        <a:solidFill>
          <a:schemeClr val="bg1"/>
        </a:solidFill>
        <a:ln>
          <a:solidFill>
            <a:schemeClr val="tx1"/>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ctr"/>
        <a:lstStyle/>
        <a:p>
          <a:pPr marL="0" indent="0" algn="ctr"/>
          <a:r>
            <a:rPr lang="en-US" sz="1600" b="1">
              <a:solidFill>
                <a:schemeClr val="dk1"/>
              </a:solidFill>
              <a:latin typeface="+mn-lt"/>
              <a:ea typeface="+mn-ea"/>
              <a:cs typeface="+mn-cs"/>
            </a:rPr>
            <a:t>+</a:t>
          </a:r>
        </a:p>
      </xdr:txBody>
    </xdr:sp>
    <xdr:clientData/>
  </xdr:twoCellAnchor>
  <xdr:twoCellAnchor>
    <xdr:from>
      <xdr:col>24</xdr:col>
      <xdr:colOff>0</xdr:colOff>
      <xdr:row>297</xdr:row>
      <xdr:rowOff>0</xdr:rowOff>
    </xdr:from>
    <xdr:to>
      <xdr:col>25</xdr:col>
      <xdr:colOff>0</xdr:colOff>
      <xdr:row>298</xdr:row>
      <xdr:rowOff>172212</xdr:rowOff>
    </xdr:to>
    <xdr:sp macro="[0]!btnMinusYTDCols_Click" textlink="">
      <xdr:nvSpPr>
        <xdr:cNvPr id="115" name="Rounded Rectangle 114">
          <a:extLst>
            <a:ext uri="{FF2B5EF4-FFF2-40B4-BE49-F238E27FC236}">
              <a16:creationId xmlns:a16="http://schemas.microsoft.com/office/drawing/2014/main" id="{00000000-0008-0000-0100-000073000000}"/>
            </a:ext>
          </a:extLst>
        </xdr:cNvPr>
        <xdr:cNvSpPr/>
      </xdr:nvSpPr>
      <xdr:spPr>
        <a:xfrm>
          <a:off x="16017240" y="34122360"/>
          <a:ext cx="335280" cy="256032"/>
        </a:xfrm>
        <a:prstGeom prst="roundRect">
          <a:avLst/>
        </a:prstGeom>
        <a:solidFill>
          <a:schemeClr val="bg1"/>
        </a:solidFill>
        <a:ln>
          <a:solidFill>
            <a:schemeClr val="tx1"/>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ctr"/>
        <a:lstStyle/>
        <a:p>
          <a:pPr marL="0" indent="0" algn="ctr"/>
          <a:r>
            <a:rPr lang="en-US" sz="1600" b="1">
              <a:solidFill>
                <a:schemeClr val="dk1"/>
              </a:solidFill>
              <a:latin typeface="+mn-lt"/>
              <a:ea typeface="+mn-ea"/>
              <a:cs typeface="+mn-cs"/>
            </a:rPr>
            <a:t>-</a:t>
          </a:r>
        </a:p>
      </xdr:txBody>
    </xdr:sp>
    <xdr:clientData/>
  </xdr:twoCellAnchor>
  <xdr:twoCellAnchor>
    <xdr:from>
      <xdr:col>24</xdr:col>
      <xdr:colOff>0</xdr:colOff>
      <xdr:row>321</xdr:row>
      <xdr:rowOff>15240</xdr:rowOff>
    </xdr:from>
    <xdr:to>
      <xdr:col>25</xdr:col>
      <xdr:colOff>0</xdr:colOff>
      <xdr:row>322</xdr:row>
      <xdr:rowOff>0</xdr:rowOff>
    </xdr:to>
    <xdr:sp macro="[0]!btnPlusYTDCols_Click" textlink="">
      <xdr:nvSpPr>
        <xdr:cNvPr id="116" name="Rounded Rectangle 115">
          <a:extLst>
            <a:ext uri="{FF2B5EF4-FFF2-40B4-BE49-F238E27FC236}">
              <a16:creationId xmlns:a16="http://schemas.microsoft.com/office/drawing/2014/main" id="{00000000-0008-0000-0100-000074000000}"/>
            </a:ext>
          </a:extLst>
        </xdr:cNvPr>
        <xdr:cNvSpPr/>
      </xdr:nvSpPr>
      <xdr:spPr>
        <a:xfrm>
          <a:off x="16017240" y="39311580"/>
          <a:ext cx="335280" cy="251460"/>
        </a:xfrm>
        <a:prstGeom prst="roundRect">
          <a:avLst/>
        </a:prstGeom>
        <a:solidFill>
          <a:schemeClr val="bg1"/>
        </a:solidFill>
        <a:ln>
          <a:solidFill>
            <a:schemeClr val="tx1"/>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ctr"/>
        <a:lstStyle/>
        <a:p>
          <a:pPr marL="0" indent="0" algn="ctr"/>
          <a:r>
            <a:rPr lang="en-US" sz="1600" b="1">
              <a:solidFill>
                <a:schemeClr val="dk1"/>
              </a:solidFill>
              <a:latin typeface="+mn-lt"/>
              <a:ea typeface="+mn-ea"/>
              <a:cs typeface="+mn-cs"/>
            </a:rPr>
            <a:t>+</a:t>
          </a:r>
        </a:p>
      </xdr:txBody>
    </xdr:sp>
    <xdr:clientData/>
  </xdr:twoCellAnchor>
  <xdr:twoCellAnchor>
    <xdr:from>
      <xdr:col>24</xdr:col>
      <xdr:colOff>0</xdr:colOff>
      <xdr:row>322</xdr:row>
      <xdr:rowOff>0</xdr:rowOff>
    </xdr:from>
    <xdr:to>
      <xdr:col>25</xdr:col>
      <xdr:colOff>0</xdr:colOff>
      <xdr:row>323</xdr:row>
      <xdr:rowOff>172212</xdr:rowOff>
    </xdr:to>
    <xdr:sp macro="[0]!btnMinusYTDCols_Click" textlink="">
      <xdr:nvSpPr>
        <xdr:cNvPr id="118" name="Rounded Rectangle 117">
          <a:extLst>
            <a:ext uri="{FF2B5EF4-FFF2-40B4-BE49-F238E27FC236}">
              <a16:creationId xmlns:a16="http://schemas.microsoft.com/office/drawing/2014/main" id="{00000000-0008-0000-0100-000076000000}"/>
            </a:ext>
          </a:extLst>
        </xdr:cNvPr>
        <xdr:cNvSpPr/>
      </xdr:nvSpPr>
      <xdr:spPr>
        <a:xfrm>
          <a:off x="16017240" y="39563040"/>
          <a:ext cx="335280" cy="256032"/>
        </a:xfrm>
        <a:prstGeom prst="roundRect">
          <a:avLst/>
        </a:prstGeom>
        <a:solidFill>
          <a:schemeClr val="bg1"/>
        </a:solidFill>
        <a:ln>
          <a:solidFill>
            <a:schemeClr val="tx1"/>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ctr"/>
        <a:lstStyle/>
        <a:p>
          <a:pPr marL="0" indent="0" algn="ctr"/>
          <a:r>
            <a:rPr lang="en-US" sz="1600" b="1">
              <a:solidFill>
                <a:schemeClr val="dk1"/>
              </a:solidFill>
              <a:latin typeface="+mn-lt"/>
              <a:ea typeface="+mn-ea"/>
              <a:cs typeface="+mn-cs"/>
            </a:rPr>
            <a:t>-</a:t>
          </a:r>
        </a:p>
      </xdr:txBody>
    </xdr:sp>
    <xdr:clientData/>
  </xdr:twoCellAnchor>
  <xdr:twoCellAnchor>
    <xdr:from>
      <xdr:col>24</xdr:col>
      <xdr:colOff>0</xdr:colOff>
      <xdr:row>346</xdr:row>
      <xdr:rowOff>15240</xdr:rowOff>
    </xdr:from>
    <xdr:to>
      <xdr:col>25</xdr:col>
      <xdr:colOff>0</xdr:colOff>
      <xdr:row>347</xdr:row>
      <xdr:rowOff>0</xdr:rowOff>
    </xdr:to>
    <xdr:sp macro="[0]!btnPlusYTDCols_Click" textlink="">
      <xdr:nvSpPr>
        <xdr:cNvPr id="119" name="Rounded Rectangle 118">
          <a:extLst>
            <a:ext uri="{FF2B5EF4-FFF2-40B4-BE49-F238E27FC236}">
              <a16:creationId xmlns:a16="http://schemas.microsoft.com/office/drawing/2014/main" id="{00000000-0008-0000-0100-000077000000}"/>
            </a:ext>
          </a:extLst>
        </xdr:cNvPr>
        <xdr:cNvSpPr/>
      </xdr:nvSpPr>
      <xdr:spPr>
        <a:xfrm>
          <a:off x="16017240" y="44752260"/>
          <a:ext cx="335280" cy="251460"/>
        </a:xfrm>
        <a:prstGeom prst="roundRect">
          <a:avLst/>
        </a:prstGeom>
        <a:solidFill>
          <a:schemeClr val="bg1"/>
        </a:solidFill>
        <a:ln>
          <a:solidFill>
            <a:schemeClr val="tx1"/>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ctr"/>
        <a:lstStyle/>
        <a:p>
          <a:pPr marL="0" indent="0" algn="ctr"/>
          <a:r>
            <a:rPr lang="en-US" sz="1600" b="1">
              <a:solidFill>
                <a:schemeClr val="dk1"/>
              </a:solidFill>
              <a:latin typeface="+mn-lt"/>
              <a:ea typeface="+mn-ea"/>
              <a:cs typeface="+mn-cs"/>
            </a:rPr>
            <a:t>+</a:t>
          </a:r>
        </a:p>
      </xdr:txBody>
    </xdr:sp>
    <xdr:clientData/>
  </xdr:twoCellAnchor>
  <xdr:twoCellAnchor>
    <xdr:from>
      <xdr:col>24</xdr:col>
      <xdr:colOff>0</xdr:colOff>
      <xdr:row>347</xdr:row>
      <xdr:rowOff>0</xdr:rowOff>
    </xdr:from>
    <xdr:to>
      <xdr:col>25</xdr:col>
      <xdr:colOff>0</xdr:colOff>
      <xdr:row>348</xdr:row>
      <xdr:rowOff>172212</xdr:rowOff>
    </xdr:to>
    <xdr:sp macro="[0]!btnMinusYTDCols_Click" textlink="">
      <xdr:nvSpPr>
        <xdr:cNvPr id="120" name="Rounded Rectangle 119">
          <a:extLst>
            <a:ext uri="{FF2B5EF4-FFF2-40B4-BE49-F238E27FC236}">
              <a16:creationId xmlns:a16="http://schemas.microsoft.com/office/drawing/2014/main" id="{00000000-0008-0000-0100-000078000000}"/>
            </a:ext>
          </a:extLst>
        </xdr:cNvPr>
        <xdr:cNvSpPr/>
      </xdr:nvSpPr>
      <xdr:spPr>
        <a:xfrm>
          <a:off x="16017240" y="45003720"/>
          <a:ext cx="335280" cy="256032"/>
        </a:xfrm>
        <a:prstGeom prst="roundRect">
          <a:avLst/>
        </a:prstGeom>
        <a:solidFill>
          <a:schemeClr val="bg1"/>
        </a:solidFill>
        <a:ln>
          <a:solidFill>
            <a:schemeClr val="tx1"/>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ctr"/>
        <a:lstStyle/>
        <a:p>
          <a:pPr marL="0" indent="0" algn="ctr"/>
          <a:r>
            <a:rPr lang="en-US" sz="1600" b="1">
              <a:solidFill>
                <a:schemeClr val="dk1"/>
              </a:solidFill>
              <a:latin typeface="+mn-lt"/>
              <a:ea typeface="+mn-ea"/>
              <a:cs typeface="+mn-cs"/>
            </a:rPr>
            <a:t>-</a:t>
          </a:r>
        </a:p>
      </xdr:txBody>
    </xdr:sp>
    <xdr:clientData/>
  </xdr:twoCellAnchor>
  <xdr:twoCellAnchor>
    <xdr:from>
      <xdr:col>24</xdr:col>
      <xdr:colOff>0</xdr:colOff>
      <xdr:row>371</xdr:row>
      <xdr:rowOff>15240</xdr:rowOff>
    </xdr:from>
    <xdr:to>
      <xdr:col>25</xdr:col>
      <xdr:colOff>0</xdr:colOff>
      <xdr:row>372</xdr:row>
      <xdr:rowOff>0</xdr:rowOff>
    </xdr:to>
    <xdr:sp macro="[0]!btnPlusYTDCols_Click" textlink="">
      <xdr:nvSpPr>
        <xdr:cNvPr id="121" name="Rounded Rectangle 120">
          <a:extLst>
            <a:ext uri="{FF2B5EF4-FFF2-40B4-BE49-F238E27FC236}">
              <a16:creationId xmlns:a16="http://schemas.microsoft.com/office/drawing/2014/main" id="{00000000-0008-0000-0100-000079000000}"/>
            </a:ext>
          </a:extLst>
        </xdr:cNvPr>
        <xdr:cNvSpPr/>
      </xdr:nvSpPr>
      <xdr:spPr>
        <a:xfrm>
          <a:off x="16017240" y="50192940"/>
          <a:ext cx="335280" cy="251460"/>
        </a:xfrm>
        <a:prstGeom prst="roundRect">
          <a:avLst/>
        </a:prstGeom>
        <a:solidFill>
          <a:schemeClr val="bg1"/>
        </a:solidFill>
        <a:ln>
          <a:solidFill>
            <a:schemeClr val="tx1"/>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ctr"/>
        <a:lstStyle/>
        <a:p>
          <a:pPr marL="0" indent="0" algn="ctr"/>
          <a:r>
            <a:rPr lang="en-US" sz="1600" b="1">
              <a:solidFill>
                <a:schemeClr val="dk1"/>
              </a:solidFill>
              <a:latin typeface="+mn-lt"/>
              <a:ea typeface="+mn-ea"/>
              <a:cs typeface="+mn-cs"/>
            </a:rPr>
            <a:t>+</a:t>
          </a:r>
        </a:p>
      </xdr:txBody>
    </xdr:sp>
    <xdr:clientData/>
  </xdr:twoCellAnchor>
  <xdr:twoCellAnchor>
    <xdr:from>
      <xdr:col>24</xdr:col>
      <xdr:colOff>0</xdr:colOff>
      <xdr:row>372</xdr:row>
      <xdr:rowOff>0</xdr:rowOff>
    </xdr:from>
    <xdr:to>
      <xdr:col>25</xdr:col>
      <xdr:colOff>0</xdr:colOff>
      <xdr:row>373</xdr:row>
      <xdr:rowOff>172212</xdr:rowOff>
    </xdr:to>
    <xdr:sp macro="[0]!btnMinusYTDCols_Click" textlink="">
      <xdr:nvSpPr>
        <xdr:cNvPr id="122" name="Rounded Rectangle 121">
          <a:extLst>
            <a:ext uri="{FF2B5EF4-FFF2-40B4-BE49-F238E27FC236}">
              <a16:creationId xmlns:a16="http://schemas.microsoft.com/office/drawing/2014/main" id="{00000000-0008-0000-0100-00007A000000}"/>
            </a:ext>
          </a:extLst>
        </xdr:cNvPr>
        <xdr:cNvSpPr/>
      </xdr:nvSpPr>
      <xdr:spPr>
        <a:xfrm>
          <a:off x="16017240" y="50444400"/>
          <a:ext cx="335280" cy="256032"/>
        </a:xfrm>
        <a:prstGeom prst="roundRect">
          <a:avLst/>
        </a:prstGeom>
        <a:solidFill>
          <a:schemeClr val="bg1"/>
        </a:solidFill>
        <a:ln>
          <a:solidFill>
            <a:schemeClr val="tx1"/>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ctr"/>
        <a:lstStyle/>
        <a:p>
          <a:pPr marL="0" indent="0" algn="ctr"/>
          <a:r>
            <a:rPr lang="en-US" sz="1600" b="1">
              <a:solidFill>
                <a:schemeClr val="dk1"/>
              </a:solidFill>
              <a:latin typeface="+mn-lt"/>
              <a:ea typeface="+mn-ea"/>
              <a:cs typeface="+mn-cs"/>
            </a:rPr>
            <a:t>-</a:t>
          </a:r>
        </a:p>
      </xdr:txBody>
    </xdr:sp>
    <xdr:clientData/>
  </xdr:twoCellAnchor>
  <xdr:twoCellAnchor>
    <xdr:from>
      <xdr:col>24</xdr:col>
      <xdr:colOff>0</xdr:colOff>
      <xdr:row>424</xdr:row>
      <xdr:rowOff>15240</xdr:rowOff>
    </xdr:from>
    <xdr:to>
      <xdr:col>25</xdr:col>
      <xdr:colOff>0</xdr:colOff>
      <xdr:row>425</xdr:row>
      <xdr:rowOff>0</xdr:rowOff>
    </xdr:to>
    <xdr:sp macro="[0]!btnPlusYTDCols_Click" textlink="">
      <xdr:nvSpPr>
        <xdr:cNvPr id="124" name="Rounded Rectangle 123">
          <a:extLst>
            <a:ext uri="{FF2B5EF4-FFF2-40B4-BE49-F238E27FC236}">
              <a16:creationId xmlns:a16="http://schemas.microsoft.com/office/drawing/2014/main" id="{00000000-0008-0000-0100-00007C000000}"/>
            </a:ext>
          </a:extLst>
        </xdr:cNvPr>
        <xdr:cNvSpPr/>
      </xdr:nvSpPr>
      <xdr:spPr>
        <a:xfrm>
          <a:off x="16017240" y="36865560"/>
          <a:ext cx="335280" cy="251460"/>
        </a:xfrm>
        <a:prstGeom prst="roundRect">
          <a:avLst/>
        </a:prstGeom>
        <a:solidFill>
          <a:schemeClr val="bg1"/>
        </a:solidFill>
        <a:ln>
          <a:solidFill>
            <a:schemeClr val="tx1"/>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ctr"/>
        <a:lstStyle/>
        <a:p>
          <a:pPr marL="0" indent="0" algn="ctr"/>
          <a:r>
            <a:rPr lang="en-US" sz="1600" b="1">
              <a:solidFill>
                <a:schemeClr val="dk1"/>
              </a:solidFill>
              <a:latin typeface="+mn-lt"/>
              <a:ea typeface="+mn-ea"/>
              <a:cs typeface="+mn-cs"/>
            </a:rPr>
            <a:t>+</a:t>
          </a:r>
        </a:p>
      </xdr:txBody>
    </xdr:sp>
    <xdr:clientData/>
  </xdr:twoCellAnchor>
  <xdr:twoCellAnchor>
    <xdr:from>
      <xdr:col>24</xdr:col>
      <xdr:colOff>0</xdr:colOff>
      <xdr:row>425</xdr:row>
      <xdr:rowOff>0</xdr:rowOff>
    </xdr:from>
    <xdr:to>
      <xdr:col>25</xdr:col>
      <xdr:colOff>0</xdr:colOff>
      <xdr:row>426</xdr:row>
      <xdr:rowOff>172212</xdr:rowOff>
    </xdr:to>
    <xdr:sp macro="[0]!btnMinusYTDCols_Click" textlink="">
      <xdr:nvSpPr>
        <xdr:cNvPr id="125" name="Rounded Rectangle 124">
          <a:extLst>
            <a:ext uri="{FF2B5EF4-FFF2-40B4-BE49-F238E27FC236}">
              <a16:creationId xmlns:a16="http://schemas.microsoft.com/office/drawing/2014/main" id="{00000000-0008-0000-0100-00007D000000}"/>
            </a:ext>
          </a:extLst>
        </xdr:cNvPr>
        <xdr:cNvSpPr/>
      </xdr:nvSpPr>
      <xdr:spPr>
        <a:xfrm>
          <a:off x="16017240" y="37117020"/>
          <a:ext cx="335280" cy="256032"/>
        </a:xfrm>
        <a:prstGeom prst="roundRect">
          <a:avLst/>
        </a:prstGeom>
        <a:solidFill>
          <a:schemeClr val="bg1"/>
        </a:solidFill>
        <a:ln>
          <a:solidFill>
            <a:schemeClr val="tx1"/>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ctr"/>
        <a:lstStyle/>
        <a:p>
          <a:pPr marL="0" indent="0" algn="ctr"/>
          <a:r>
            <a:rPr lang="en-US" sz="1600" b="1">
              <a:solidFill>
                <a:schemeClr val="dk1"/>
              </a:solidFill>
              <a:latin typeface="+mn-lt"/>
              <a:ea typeface="+mn-ea"/>
              <a:cs typeface="+mn-cs"/>
            </a:rPr>
            <a:t>-</a:t>
          </a:r>
        </a:p>
      </xdr:txBody>
    </xdr:sp>
    <xdr:clientData/>
  </xdr:twoCellAnchor>
  <xdr:twoCellAnchor>
    <xdr:from>
      <xdr:col>24</xdr:col>
      <xdr:colOff>0</xdr:colOff>
      <xdr:row>450</xdr:row>
      <xdr:rowOff>15240</xdr:rowOff>
    </xdr:from>
    <xdr:to>
      <xdr:col>25</xdr:col>
      <xdr:colOff>0</xdr:colOff>
      <xdr:row>451</xdr:row>
      <xdr:rowOff>0</xdr:rowOff>
    </xdr:to>
    <xdr:sp macro="[0]!btnPlusYTDCols_Click" textlink="">
      <xdr:nvSpPr>
        <xdr:cNvPr id="126" name="Rounded Rectangle 125">
          <a:extLst>
            <a:ext uri="{FF2B5EF4-FFF2-40B4-BE49-F238E27FC236}">
              <a16:creationId xmlns:a16="http://schemas.microsoft.com/office/drawing/2014/main" id="{00000000-0008-0000-0100-00007E000000}"/>
            </a:ext>
          </a:extLst>
        </xdr:cNvPr>
        <xdr:cNvSpPr/>
      </xdr:nvSpPr>
      <xdr:spPr>
        <a:xfrm>
          <a:off x="16017240" y="42572940"/>
          <a:ext cx="335280" cy="251460"/>
        </a:xfrm>
        <a:prstGeom prst="roundRect">
          <a:avLst/>
        </a:prstGeom>
        <a:solidFill>
          <a:schemeClr val="bg1"/>
        </a:solidFill>
        <a:ln>
          <a:solidFill>
            <a:schemeClr val="tx1"/>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ctr"/>
        <a:lstStyle/>
        <a:p>
          <a:pPr marL="0" indent="0" algn="ctr"/>
          <a:r>
            <a:rPr lang="en-US" sz="1600" b="1">
              <a:solidFill>
                <a:schemeClr val="dk1"/>
              </a:solidFill>
              <a:latin typeface="+mn-lt"/>
              <a:ea typeface="+mn-ea"/>
              <a:cs typeface="+mn-cs"/>
            </a:rPr>
            <a:t>+</a:t>
          </a:r>
        </a:p>
      </xdr:txBody>
    </xdr:sp>
    <xdr:clientData/>
  </xdr:twoCellAnchor>
  <xdr:twoCellAnchor>
    <xdr:from>
      <xdr:col>24</xdr:col>
      <xdr:colOff>0</xdr:colOff>
      <xdr:row>451</xdr:row>
      <xdr:rowOff>0</xdr:rowOff>
    </xdr:from>
    <xdr:to>
      <xdr:col>25</xdr:col>
      <xdr:colOff>0</xdr:colOff>
      <xdr:row>452</xdr:row>
      <xdr:rowOff>172212</xdr:rowOff>
    </xdr:to>
    <xdr:sp macro="[0]!btnMinusYTDCols_Click" textlink="">
      <xdr:nvSpPr>
        <xdr:cNvPr id="127" name="Rounded Rectangle 126">
          <a:extLst>
            <a:ext uri="{FF2B5EF4-FFF2-40B4-BE49-F238E27FC236}">
              <a16:creationId xmlns:a16="http://schemas.microsoft.com/office/drawing/2014/main" id="{00000000-0008-0000-0100-00007F000000}"/>
            </a:ext>
          </a:extLst>
        </xdr:cNvPr>
        <xdr:cNvSpPr/>
      </xdr:nvSpPr>
      <xdr:spPr>
        <a:xfrm>
          <a:off x="16017240" y="42824400"/>
          <a:ext cx="335280" cy="256032"/>
        </a:xfrm>
        <a:prstGeom prst="roundRect">
          <a:avLst/>
        </a:prstGeom>
        <a:solidFill>
          <a:schemeClr val="bg1"/>
        </a:solidFill>
        <a:ln>
          <a:solidFill>
            <a:schemeClr val="tx1"/>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ctr"/>
        <a:lstStyle/>
        <a:p>
          <a:pPr marL="0" indent="0" algn="ctr"/>
          <a:r>
            <a:rPr lang="en-US" sz="1600" b="1">
              <a:solidFill>
                <a:schemeClr val="dk1"/>
              </a:solidFill>
              <a:latin typeface="+mn-lt"/>
              <a:ea typeface="+mn-ea"/>
              <a:cs typeface="+mn-cs"/>
            </a:rPr>
            <a:t>-</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42</xdr:col>
      <xdr:colOff>646302</xdr:colOff>
      <xdr:row>1</xdr:row>
      <xdr:rowOff>92872</xdr:rowOff>
    </xdr:from>
    <xdr:to>
      <xdr:col>43</xdr:col>
      <xdr:colOff>800100</xdr:colOff>
      <xdr:row>1</xdr:row>
      <xdr:rowOff>409575</xdr:rowOff>
    </xdr:to>
    <xdr:pic>
      <xdr:nvPicPr>
        <xdr:cNvPr id="2" name="Picture 1">
          <a:extLst>
            <a:ext uri="{FF2B5EF4-FFF2-40B4-BE49-F238E27FC236}">
              <a16:creationId xmlns:a16="http://schemas.microsoft.com/office/drawing/2014/main" id="{412D1F98-6353-4C2F-A77E-FCB6E15CEE2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980302" y="283372"/>
          <a:ext cx="972948" cy="316703"/>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3</xdr:row>
      <xdr:rowOff>47625</xdr:rowOff>
    </xdr:from>
    <xdr:to>
      <xdr:col>1</xdr:col>
      <xdr:colOff>5943600</xdr:colOff>
      <xdr:row>5</xdr:row>
      <xdr:rowOff>142875</xdr:rowOff>
    </xdr:to>
    <xdr:pic>
      <xdr:nvPicPr>
        <xdr:cNvPr id="2" name="Picture 1">
          <a:extLst>
            <a:ext uri="{FF2B5EF4-FFF2-40B4-BE49-F238E27FC236}">
              <a16:creationId xmlns:a16="http://schemas.microsoft.com/office/drawing/2014/main" id="{84FD1080-320E-44A7-8314-2FB3DA1BE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3350" y="914400"/>
          <a:ext cx="5943600" cy="476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571500</xdr:colOff>
      <xdr:row>14</xdr:row>
      <xdr:rowOff>0</xdr:rowOff>
    </xdr:from>
    <xdr:to>
      <xdr:col>1</xdr:col>
      <xdr:colOff>4305300</xdr:colOff>
      <xdr:row>15</xdr:row>
      <xdr:rowOff>247650</xdr:rowOff>
    </xdr:to>
    <xdr:pic>
      <xdr:nvPicPr>
        <xdr:cNvPr id="3" name="Picture 2">
          <a:extLst>
            <a:ext uri="{FF2B5EF4-FFF2-40B4-BE49-F238E27FC236}">
              <a16:creationId xmlns:a16="http://schemas.microsoft.com/office/drawing/2014/main" id="{5CAE2A49-09E3-414E-9DBE-C02D31301022}"/>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r="30742"/>
        <a:stretch/>
      </xdr:blipFill>
      <xdr:spPr bwMode="auto">
        <a:xfrm>
          <a:off x="704850" y="3038475"/>
          <a:ext cx="3733800" cy="438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1057276</xdr:colOff>
      <xdr:row>7</xdr:row>
      <xdr:rowOff>28575</xdr:rowOff>
    </xdr:from>
    <xdr:to>
      <xdr:col>1</xdr:col>
      <xdr:colOff>1990726</xdr:colOff>
      <xdr:row>8</xdr:row>
      <xdr:rowOff>9525</xdr:rowOff>
    </xdr:to>
    <xdr:sp macro="" textlink="">
      <xdr:nvSpPr>
        <xdr:cNvPr id="4" name="Rectangle 3">
          <a:hlinkClick xmlns:r="http://schemas.openxmlformats.org/officeDocument/2006/relationships" r:id="rId3"/>
          <a:extLst>
            <a:ext uri="{FF2B5EF4-FFF2-40B4-BE49-F238E27FC236}">
              <a16:creationId xmlns:a16="http://schemas.microsoft.com/office/drawing/2014/main" id="{907CCE1E-2260-4FDD-8383-E9C23707B78A}"/>
            </a:ext>
          </a:extLst>
        </xdr:cNvPr>
        <xdr:cNvSpPr/>
      </xdr:nvSpPr>
      <xdr:spPr>
        <a:xfrm>
          <a:off x="1190626" y="1666875"/>
          <a:ext cx="933450" cy="18097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0</xdr:colOff>
      <xdr:row>37</xdr:row>
      <xdr:rowOff>38100</xdr:rowOff>
    </xdr:from>
    <xdr:to>
      <xdr:col>1</xdr:col>
      <xdr:colOff>4391025</xdr:colOff>
      <xdr:row>45</xdr:row>
      <xdr:rowOff>0</xdr:rowOff>
    </xdr:to>
    <xdr:pic>
      <xdr:nvPicPr>
        <xdr:cNvPr id="5" name="Picture 4" descr="A screenshot of a computer error&#10;&#10;Description automatically generated">
          <a:extLst>
            <a:ext uri="{FF2B5EF4-FFF2-40B4-BE49-F238E27FC236}">
              <a16:creationId xmlns:a16="http://schemas.microsoft.com/office/drawing/2014/main" id="{2563847C-F2B0-47C5-BCEF-214FA79614DF}"/>
            </a:ext>
          </a:extLst>
        </xdr:cNvPr>
        <xdr:cNvPicPr>
          <a:picLocks noChangeAspect="1"/>
        </xdr:cNvPicPr>
      </xdr:nvPicPr>
      <xdr:blipFill>
        <a:blip xmlns:r="http://schemas.openxmlformats.org/officeDocument/2006/relationships" r:embed="rId4"/>
        <a:stretch>
          <a:fillRect/>
        </a:stretch>
      </xdr:blipFill>
      <xdr:spPr>
        <a:xfrm>
          <a:off x="133350" y="7724775"/>
          <a:ext cx="4391025" cy="1485900"/>
        </a:xfrm>
        <a:prstGeom prst="rect">
          <a:avLst/>
        </a:prstGeom>
      </xdr:spPr>
    </xdr:pic>
    <xdr:clientData/>
  </xdr:twoCellAnchor>
  <xdr:twoCellAnchor editAs="oneCell">
    <xdr:from>
      <xdr:col>1</xdr:col>
      <xdr:colOff>666750</xdr:colOff>
      <xdr:row>21</xdr:row>
      <xdr:rowOff>104775</xdr:rowOff>
    </xdr:from>
    <xdr:to>
      <xdr:col>1</xdr:col>
      <xdr:colOff>3324225</xdr:colOff>
      <xdr:row>35</xdr:row>
      <xdr:rowOff>57150</xdr:rowOff>
    </xdr:to>
    <xdr:pic>
      <xdr:nvPicPr>
        <xdr:cNvPr id="6" name="Picture 5" descr="A screenshot of a computer&#10;&#10;Description automatically generated">
          <a:extLst>
            <a:ext uri="{FF2B5EF4-FFF2-40B4-BE49-F238E27FC236}">
              <a16:creationId xmlns:a16="http://schemas.microsoft.com/office/drawing/2014/main" id="{E143BF8E-7067-4C94-8FF1-1DA9D784EAF5}"/>
            </a:ext>
          </a:extLst>
        </xdr:cNvPr>
        <xdr:cNvPicPr>
          <a:picLocks noChangeAspect="1"/>
        </xdr:cNvPicPr>
      </xdr:nvPicPr>
      <xdr:blipFill>
        <a:blip xmlns:r="http://schemas.openxmlformats.org/officeDocument/2006/relationships" r:embed="rId5"/>
        <a:stretch>
          <a:fillRect/>
        </a:stretch>
      </xdr:blipFill>
      <xdr:spPr>
        <a:xfrm>
          <a:off x="800100" y="4600575"/>
          <a:ext cx="2657475" cy="2752725"/>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SAM">
    <pageSetUpPr fitToPage="1"/>
  </sheetPr>
  <dimension ref="A1:O659"/>
  <sheetViews>
    <sheetView showGridLines="0" tabSelected="1" zoomScale="120" zoomScaleNormal="120" workbookViewId="0">
      <pane ySplit="1" topLeftCell="A146" activePane="bottomLeft" state="frozen"/>
      <selection activeCell="D5" sqref="D5:H5"/>
      <selection pane="bottomLeft" activeCell="J647" sqref="J647:K647"/>
    </sheetView>
  </sheetViews>
  <sheetFormatPr baseColWidth="10" defaultColWidth="9.1640625" defaultRowHeight="15" x14ac:dyDescent="0.2"/>
  <cols>
    <col min="1" max="1" width="2.33203125" customWidth="1"/>
    <col min="2" max="2" width="4.5" customWidth="1"/>
    <col min="3" max="3" width="14.83203125" customWidth="1"/>
    <col min="4" max="4" width="37.6640625" customWidth="1"/>
    <col min="5" max="5" width="18.6640625" customWidth="1"/>
    <col min="6" max="6" width="8.1640625" customWidth="1"/>
    <col min="7" max="7" width="11.1640625" customWidth="1"/>
    <col min="8" max="8" width="18.6640625" customWidth="1"/>
    <col min="9" max="9" width="8.1640625" customWidth="1"/>
    <col min="10" max="10" width="11.6640625" customWidth="1"/>
    <col min="11" max="11" width="18.33203125" customWidth="1"/>
    <col min="12" max="13" width="4.83203125" customWidth="1"/>
    <col min="14" max="15" width="3.6640625" customWidth="1"/>
    <col min="16" max="16" width="4.33203125" customWidth="1"/>
    <col min="17" max="20" width="3.6640625" customWidth="1"/>
  </cols>
  <sheetData>
    <row r="1" spans="1:13" s="1" customFormat="1" ht="40.5" customHeight="1" thickBot="1" x14ac:dyDescent="0.45">
      <c r="B1" s="118" t="s">
        <v>325</v>
      </c>
      <c r="C1" s="119"/>
      <c r="D1" s="119"/>
      <c r="E1" s="120"/>
      <c r="F1" s="120"/>
      <c r="G1" s="120"/>
      <c r="H1" s="119"/>
      <c r="I1" s="119"/>
      <c r="J1" s="119"/>
      <c r="K1" s="119"/>
      <c r="L1" s="119"/>
      <c r="M1" s="119"/>
    </row>
    <row r="2" spans="1:13" ht="160.5" customHeight="1" thickTop="1" thickBot="1" x14ac:dyDescent="0.25">
      <c r="B2" s="121"/>
      <c r="C2" s="264" t="s">
        <v>578</v>
      </c>
      <c r="D2" s="265"/>
      <c r="E2" s="265"/>
      <c r="F2" s="265"/>
      <c r="G2" s="265"/>
      <c r="H2" s="265"/>
      <c r="I2" s="265"/>
      <c r="J2" s="265"/>
      <c r="K2" s="265"/>
      <c r="L2" s="121"/>
      <c r="M2" s="121"/>
    </row>
    <row r="3" spans="1:13" ht="21" customHeight="1" thickBot="1" x14ac:dyDescent="0.25">
      <c r="B3" s="5"/>
      <c r="C3" s="298" t="s">
        <v>240</v>
      </c>
      <c r="D3" s="298"/>
      <c r="E3" s="299"/>
      <c r="F3" s="300"/>
      <c r="G3" s="300"/>
      <c r="H3" s="301"/>
      <c r="I3" s="6"/>
      <c r="J3" s="112" t="s">
        <v>0</v>
      </c>
      <c r="K3" s="111"/>
      <c r="L3" s="5"/>
      <c r="M3" s="5"/>
    </row>
    <row r="4" spans="1:13" ht="4.25" customHeight="1" thickBot="1" x14ac:dyDescent="0.25">
      <c r="B4" s="5"/>
      <c r="C4" s="6"/>
      <c r="D4" s="6"/>
      <c r="E4" s="6"/>
      <c r="F4" s="6"/>
      <c r="G4" s="6"/>
      <c r="H4" s="6"/>
      <c r="I4" s="6"/>
      <c r="J4" s="6"/>
      <c r="K4" s="6"/>
      <c r="L4" s="5"/>
      <c r="M4" s="5"/>
    </row>
    <row r="5" spans="1:13" ht="21" customHeight="1" x14ac:dyDescent="0.2">
      <c r="B5" s="5"/>
      <c r="C5" s="6"/>
      <c r="D5" s="6"/>
      <c r="E5" s="6"/>
      <c r="F5" s="122" t="s">
        <v>536</v>
      </c>
      <c r="G5" s="112"/>
      <c r="H5" s="258">
        <v>2024</v>
      </c>
      <c r="I5" s="6"/>
      <c r="J5" s="112"/>
      <c r="K5" s="258">
        <v>2023</v>
      </c>
      <c r="L5" s="5"/>
      <c r="M5" s="5"/>
    </row>
    <row r="6" spans="1:13" ht="15" customHeight="1" x14ac:dyDescent="0.2">
      <c r="B6" s="304" t="s">
        <v>532</v>
      </c>
      <c r="C6" s="304"/>
      <c r="D6" s="304"/>
      <c r="E6" s="304"/>
      <c r="F6" s="304"/>
      <c r="G6" s="304"/>
      <c r="H6" s="304"/>
      <c r="I6" s="304"/>
      <c r="J6" s="304"/>
      <c r="K6" s="304"/>
      <c r="L6" s="304"/>
      <c r="M6" s="304"/>
    </row>
    <row r="7" spans="1:13" ht="12" customHeight="1" thickBot="1" x14ac:dyDescent="0.25"/>
    <row r="8" spans="1:13" ht="21" customHeight="1" thickBot="1" x14ac:dyDescent="0.25">
      <c r="B8" s="7" t="s">
        <v>2</v>
      </c>
      <c r="C8" s="293" t="s">
        <v>66</v>
      </c>
      <c r="D8" s="294"/>
      <c r="E8" s="294"/>
      <c r="F8" s="294"/>
      <c r="G8" s="294"/>
      <c r="H8" s="8">
        <f>IF(ISNUMBER($H$5),$H$5,"")</f>
        <v>2024</v>
      </c>
      <c r="I8" s="9"/>
      <c r="J8" s="9"/>
      <c r="K8" s="8">
        <f>IF(ISNUMBER($K$5),$K$5,"")</f>
        <v>2023</v>
      </c>
      <c r="L8" s="10"/>
      <c r="M8" s="11"/>
    </row>
    <row r="9" spans="1:13" ht="6.75" hidden="1" customHeight="1" x14ac:dyDescent="0.2">
      <c r="B9" s="22"/>
      <c r="C9" s="21"/>
      <c r="D9" s="21"/>
      <c r="E9" s="21"/>
      <c r="F9" s="21"/>
      <c r="G9" s="21"/>
      <c r="H9" s="21"/>
      <c r="I9" s="21"/>
      <c r="J9" s="21"/>
      <c r="K9" s="21"/>
      <c r="L9" s="21"/>
      <c r="M9" s="23"/>
    </row>
    <row r="10" spans="1:13" ht="21" hidden="1" customHeight="1" x14ac:dyDescent="0.2">
      <c r="B10" s="12">
        <v>1</v>
      </c>
      <c r="C10" s="287" t="s">
        <v>226</v>
      </c>
      <c r="D10" s="287"/>
      <c r="E10" s="287"/>
      <c r="F10" s="287"/>
      <c r="G10" s="17"/>
      <c r="H10" s="203"/>
      <c r="I10" s="2"/>
      <c r="J10" s="2"/>
      <c r="K10" s="203"/>
      <c r="M10" s="15"/>
    </row>
    <row r="11" spans="1:13" ht="21" hidden="1" customHeight="1" x14ac:dyDescent="0.2">
      <c r="B11" s="12">
        <v>2</v>
      </c>
      <c r="C11" s="287" t="s">
        <v>227</v>
      </c>
      <c r="D11" s="287"/>
      <c r="E11" s="287"/>
      <c r="F11" s="287"/>
      <c r="G11" s="17"/>
      <c r="H11" s="206"/>
      <c r="I11" s="2"/>
      <c r="J11" s="2"/>
      <c r="K11" s="206"/>
      <c r="M11" s="15"/>
    </row>
    <row r="12" spans="1:13" ht="6.75" hidden="1" customHeight="1" x14ac:dyDescent="0.2">
      <c r="B12" s="14"/>
      <c r="M12" s="15"/>
    </row>
    <row r="13" spans="1:13" hidden="1" x14ac:dyDescent="0.2">
      <c r="B13" s="16"/>
      <c r="C13" s="17" t="s">
        <v>3</v>
      </c>
      <c r="D13" s="3"/>
      <c r="E13" s="3"/>
      <c r="F13" s="3"/>
      <c r="G13" s="3"/>
      <c r="H13" s="210">
        <f>SUM(H10:H11)</f>
        <v>0</v>
      </c>
      <c r="I13" s="3"/>
      <c r="J13" s="3"/>
      <c r="K13" s="210">
        <f>SUM(K10:K11)</f>
        <v>0</v>
      </c>
      <c r="M13" s="15"/>
    </row>
    <row r="14" spans="1:13" ht="8.25" hidden="1" customHeight="1" thickBot="1" x14ac:dyDescent="0.25">
      <c r="B14" s="18"/>
      <c r="C14" s="19"/>
      <c r="D14" s="19"/>
      <c r="E14" s="19"/>
      <c r="F14" s="19"/>
      <c r="G14" s="19"/>
      <c r="H14" s="19"/>
      <c r="I14" s="19"/>
      <c r="J14" s="19"/>
      <c r="K14" s="19"/>
      <c r="L14" s="19"/>
      <c r="M14" s="20"/>
    </row>
    <row r="15" spans="1:13" ht="16" thickBot="1" x14ac:dyDescent="0.25">
      <c r="I15" s="21"/>
      <c r="J15" s="21"/>
    </row>
    <row r="16" spans="1:13" ht="21" customHeight="1" thickBot="1" x14ac:dyDescent="0.25">
      <c r="A16" s="2"/>
      <c r="B16" s="7" t="s">
        <v>2</v>
      </c>
      <c r="C16" s="293" t="s">
        <v>12</v>
      </c>
      <c r="D16" s="294"/>
      <c r="E16" s="294"/>
      <c r="F16" s="294"/>
      <c r="G16" s="294"/>
      <c r="H16" s="8">
        <f>IF(ISNUMBER($H$5),$H$5,"")</f>
        <v>2024</v>
      </c>
      <c r="I16" s="9"/>
      <c r="J16" s="9"/>
      <c r="K16" s="8">
        <f>IF(ISNUMBER($K$5),$K$5,"")</f>
        <v>2023</v>
      </c>
      <c r="L16" s="10"/>
      <c r="M16" s="11"/>
    </row>
    <row r="17" spans="2:13" ht="6.75" hidden="1" customHeight="1" x14ac:dyDescent="0.2">
      <c r="B17" s="22"/>
      <c r="C17" s="21"/>
      <c r="D17" s="21"/>
      <c r="E17" s="21"/>
      <c r="F17" s="21"/>
      <c r="G17" s="21"/>
      <c r="H17" s="21"/>
      <c r="I17" s="21"/>
      <c r="J17" s="21"/>
      <c r="K17" s="21"/>
      <c r="L17" s="21"/>
      <c r="M17" s="23"/>
    </row>
    <row r="18" spans="2:13" ht="21" hidden="1" customHeight="1" x14ac:dyDescent="0.2">
      <c r="B18" s="14"/>
      <c r="C18" s="56" t="s">
        <v>11</v>
      </c>
      <c r="D18" s="302"/>
      <c r="E18" s="302"/>
      <c r="F18" s="302"/>
      <c r="G18" s="302"/>
      <c r="H18" s="28">
        <f>IF(ISNUMBER($H$5),$H$5,"")</f>
        <v>2024</v>
      </c>
      <c r="I18" s="29"/>
      <c r="J18" s="30"/>
      <c r="K18" s="28">
        <f>IF(ISNUMBER($K$5),$K$5,"")</f>
        <v>2023</v>
      </c>
      <c r="L18" s="30"/>
      <c r="M18" s="15"/>
    </row>
    <row r="19" spans="2:13" ht="6.75" hidden="1" customHeight="1" x14ac:dyDescent="0.2">
      <c r="B19" s="14"/>
      <c r="M19" s="15"/>
    </row>
    <row r="20" spans="2:13" ht="21" hidden="1" customHeight="1" x14ac:dyDescent="0.2">
      <c r="B20" s="12">
        <v>4</v>
      </c>
      <c r="C20" s="287" t="s">
        <v>117</v>
      </c>
      <c r="D20" s="287"/>
      <c r="E20" s="287"/>
      <c r="F20" s="287"/>
      <c r="G20" s="17"/>
      <c r="H20" s="203"/>
      <c r="I20" s="2"/>
      <c r="J20" s="2"/>
      <c r="K20" s="203"/>
      <c r="M20" s="15"/>
    </row>
    <row r="21" spans="2:13" ht="21" hidden="1" customHeight="1" x14ac:dyDescent="0.2">
      <c r="B21" s="12">
        <v>5</v>
      </c>
      <c r="C21" s="287" t="s">
        <v>583</v>
      </c>
      <c r="D21" s="287"/>
      <c r="E21" s="287"/>
      <c r="F21" s="287"/>
      <c r="G21" s="24" t="s">
        <v>9</v>
      </c>
      <c r="H21" s="205"/>
      <c r="I21" s="25" t="s">
        <v>10</v>
      </c>
      <c r="J21" s="24" t="s">
        <v>9</v>
      </c>
      <c r="K21" s="205"/>
      <c r="L21" s="25" t="s">
        <v>10</v>
      </c>
      <c r="M21" s="15"/>
    </row>
    <row r="22" spans="2:13" ht="21" hidden="1" customHeight="1" x14ac:dyDescent="0.2">
      <c r="B22" s="12">
        <v>6</v>
      </c>
      <c r="C22" s="287" t="s">
        <v>118</v>
      </c>
      <c r="D22" s="287"/>
      <c r="E22" s="287"/>
      <c r="F22" s="287"/>
      <c r="G22" s="17"/>
      <c r="H22" s="204"/>
      <c r="I22" s="2"/>
      <c r="J22" s="2"/>
      <c r="K22" s="204"/>
      <c r="M22" s="15"/>
    </row>
    <row r="23" spans="2:13" ht="21" hidden="1" customHeight="1" x14ac:dyDescent="0.2">
      <c r="B23" s="12">
        <v>7</v>
      </c>
      <c r="C23" s="287" t="s">
        <v>119</v>
      </c>
      <c r="D23" s="287"/>
      <c r="E23" s="287"/>
      <c r="F23" s="287"/>
      <c r="G23" s="17"/>
      <c r="H23" s="204"/>
      <c r="I23" s="2"/>
      <c r="J23" s="2"/>
      <c r="K23" s="204"/>
      <c r="M23" s="15"/>
    </row>
    <row r="24" spans="2:13" ht="21" hidden="1" customHeight="1" x14ac:dyDescent="0.2">
      <c r="B24" s="12">
        <v>8</v>
      </c>
      <c r="C24" s="287" t="s">
        <v>506</v>
      </c>
      <c r="D24" s="287"/>
      <c r="E24" s="287"/>
      <c r="F24" s="287"/>
      <c r="G24" s="24" t="s">
        <v>9</v>
      </c>
      <c r="H24" s="205"/>
      <c r="I24" s="25" t="s">
        <v>10</v>
      </c>
      <c r="J24" s="24" t="s">
        <v>9</v>
      </c>
      <c r="K24" s="205"/>
      <c r="L24" s="25" t="s">
        <v>10</v>
      </c>
      <c r="M24" s="15"/>
    </row>
    <row r="25" spans="2:13" ht="21" hidden="1" customHeight="1" thickBot="1" x14ac:dyDescent="0.25">
      <c r="B25" s="12">
        <v>9</v>
      </c>
      <c r="C25" s="287" t="s">
        <v>120</v>
      </c>
      <c r="D25" s="287"/>
      <c r="E25" s="287"/>
      <c r="F25" s="287"/>
      <c r="G25" s="17"/>
      <c r="H25" s="206"/>
      <c r="I25" s="2"/>
      <c r="J25" s="2"/>
      <c r="K25" s="206"/>
      <c r="M25" s="15"/>
    </row>
    <row r="26" spans="2:13" ht="21" hidden="1" customHeight="1" x14ac:dyDescent="0.2">
      <c r="B26" s="12">
        <v>10</v>
      </c>
      <c r="C26" s="287" t="s">
        <v>563</v>
      </c>
      <c r="D26" s="287"/>
      <c r="E26" s="287"/>
      <c r="F26" s="287"/>
      <c r="G26" s="24" t="s">
        <v>8</v>
      </c>
      <c r="H26" s="207"/>
      <c r="I26" s="2"/>
      <c r="J26" s="24" t="s">
        <v>8</v>
      </c>
      <c r="K26" s="207"/>
      <c r="M26" s="15"/>
    </row>
    <row r="27" spans="2:13" ht="21" hidden="1" customHeight="1" thickBot="1" x14ac:dyDescent="0.25">
      <c r="B27" s="12" t="s">
        <v>512</v>
      </c>
      <c r="C27" s="296" t="s">
        <v>587</v>
      </c>
      <c r="D27" s="296"/>
      <c r="E27" s="296"/>
      <c r="F27" s="296"/>
      <c r="G27" s="17"/>
      <c r="H27" s="26" t="str">
        <f>IFERROR(IF(AND(H26&gt;0,$H$5&gt;0),VLOOKUP($H$5,LKP_MILEAGE,2,FALSE),""),"")</f>
        <v/>
      </c>
      <c r="I27" s="2"/>
      <c r="J27" s="2"/>
      <c r="K27" s="26" t="str">
        <f>IFERROR(IF(AND(K26&gt;0,$K$5&gt;0),VLOOKUP($K$5,LKP_MILEAGE,2,FALSE),""),"")</f>
        <v/>
      </c>
      <c r="M27" s="15"/>
    </row>
    <row r="28" spans="2:13" ht="21" hidden="1" customHeight="1" x14ac:dyDescent="0.2">
      <c r="B28" s="12" t="s">
        <v>513</v>
      </c>
      <c r="C28" s="296" t="s">
        <v>7</v>
      </c>
      <c r="D28" s="296"/>
      <c r="E28" s="296"/>
      <c r="F28" s="296"/>
      <c r="G28" s="17"/>
      <c r="H28" s="27" t="str">
        <f>IFERROR(IF(H27&gt;0,H26*H27,""),"")</f>
        <v/>
      </c>
      <c r="I28" s="2"/>
      <c r="J28" s="2"/>
      <c r="K28" s="27" t="str">
        <f>IFERROR(IF(K27&gt;0,K26*K27,""),"")</f>
        <v/>
      </c>
      <c r="M28" s="15"/>
    </row>
    <row r="29" spans="2:13" ht="21" hidden="1" customHeight="1" x14ac:dyDescent="0.2">
      <c r="B29" s="12">
        <v>12</v>
      </c>
      <c r="C29" s="287" t="s">
        <v>121</v>
      </c>
      <c r="D29" s="287"/>
      <c r="E29" s="287"/>
      <c r="F29" s="287"/>
      <c r="G29" s="17"/>
      <c r="H29" s="208"/>
      <c r="I29" s="2"/>
      <c r="J29" s="2"/>
      <c r="K29" s="208"/>
      <c r="M29" s="15"/>
    </row>
    <row r="30" spans="2:13" ht="6.75" hidden="1" customHeight="1" x14ac:dyDescent="0.2">
      <c r="B30" s="14"/>
      <c r="M30" s="15"/>
    </row>
    <row r="31" spans="2:13" hidden="1" x14ac:dyDescent="0.2">
      <c r="B31" s="16"/>
      <c r="C31" s="17" t="s">
        <v>3</v>
      </c>
      <c r="D31" s="3"/>
      <c r="E31" s="3"/>
      <c r="F31" s="3"/>
      <c r="G31" s="3"/>
      <c r="H31" s="210">
        <f>IFERROR(H20+-H21+SUM(H22:H23)-H24+H25+IF(ISNUMBER(H28),H28,0)+H29,0)</f>
        <v>0</v>
      </c>
      <c r="I31" s="3"/>
      <c r="J31" s="3"/>
      <c r="K31" s="210">
        <f>IFERROR(K20+-K21+SUM(K22:K23)-K24+K25+IF(ISNUMBER(K28),K28,0)+K29,0)</f>
        <v>0</v>
      </c>
      <c r="M31" s="15"/>
    </row>
    <row r="32" spans="2:13" ht="8.25" hidden="1" customHeight="1" thickBot="1" x14ac:dyDescent="0.25">
      <c r="B32" s="18"/>
      <c r="C32" s="19"/>
      <c r="D32" s="19"/>
      <c r="E32" s="19"/>
      <c r="F32" s="19"/>
      <c r="G32" s="19"/>
      <c r="H32" s="19"/>
      <c r="I32" s="19"/>
      <c r="J32" s="19"/>
      <c r="K32" s="19"/>
      <c r="L32" s="19"/>
      <c r="M32" s="20"/>
    </row>
    <row r="33" spans="2:13" ht="21" hidden="1" customHeight="1" x14ac:dyDescent="0.2">
      <c r="B33" s="14"/>
      <c r="C33" s="57" t="s">
        <v>11</v>
      </c>
      <c r="D33" s="303"/>
      <c r="E33" s="303"/>
      <c r="F33" s="303"/>
      <c r="G33" s="303"/>
      <c r="H33" s="28">
        <f>IF(ISNUMBER($H$5),$H$5,"")</f>
        <v>2024</v>
      </c>
      <c r="I33" s="29"/>
      <c r="J33" s="30"/>
      <c r="K33" s="28">
        <f>IF(ISNUMBER($K$5),$K$5,"")</f>
        <v>2023</v>
      </c>
      <c r="L33" s="30"/>
      <c r="M33" s="15"/>
    </row>
    <row r="34" spans="2:13" ht="6.75" hidden="1" customHeight="1" x14ac:dyDescent="0.2">
      <c r="B34" s="14"/>
      <c r="M34" s="15"/>
    </row>
    <row r="35" spans="2:13" ht="21" hidden="1" customHeight="1" x14ac:dyDescent="0.2">
      <c r="B35" s="12">
        <v>4</v>
      </c>
      <c r="C35" s="287" t="s">
        <v>117</v>
      </c>
      <c r="D35" s="287"/>
      <c r="E35" s="287"/>
      <c r="F35" s="287"/>
      <c r="H35" s="203"/>
      <c r="I35" s="2"/>
      <c r="J35" s="2"/>
      <c r="K35" s="203"/>
      <c r="M35" s="15"/>
    </row>
    <row r="36" spans="2:13" ht="21" hidden="1" customHeight="1" x14ac:dyDescent="0.2">
      <c r="B36" s="12">
        <v>5</v>
      </c>
      <c r="C36" s="287" t="s">
        <v>583</v>
      </c>
      <c r="D36" s="287"/>
      <c r="E36" s="287"/>
      <c r="F36" s="287"/>
      <c r="G36" s="24" t="s">
        <v>9</v>
      </c>
      <c r="H36" s="205"/>
      <c r="I36" s="25" t="s">
        <v>10</v>
      </c>
      <c r="J36" s="24" t="s">
        <v>9</v>
      </c>
      <c r="K36" s="205"/>
      <c r="L36" s="25" t="s">
        <v>10</v>
      </c>
      <c r="M36" s="15"/>
    </row>
    <row r="37" spans="2:13" ht="21" hidden="1" customHeight="1" x14ac:dyDescent="0.2">
      <c r="B37" s="12">
        <v>6</v>
      </c>
      <c r="C37" s="287" t="s">
        <v>118</v>
      </c>
      <c r="D37" s="287"/>
      <c r="E37" s="287"/>
      <c r="F37" s="287"/>
      <c r="H37" s="204"/>
      <c r="I37" s="2"/>
      <c r="J37" s="2"/>
      <c r="K37" s="204"/>
      <c r="M37" s="15"/>
    </row>
    <row r="38" spans="2:13" ht="21" hidden="1" customHeight="1" x14ac:dyDescent="0.2">
      <c r="B38" s="12">
        <v>7</v>
      </c>
      <c r="C38" s="287" t="s">
        <v>119</v>
      </c>
      <c r="D38" s="287"/>
      <c r="E38" s="287"/>
      <c r="F38" s="287"/>
      <c r="H38" s="204"/>
      <c r="I38" s="2"/>
      <c r="J38" s="2"/>
      <c r="K38" s="204"/>
      <c r="M38" s="15"/>
    </row>
    <row r="39" spans="2:13" ht="21" hidden="1" customHeight="1" x14ac:dyDescent="0.2">
      <c r="B39" s="12">
        <v>8</v>
      </c>
      <c r="C39" s="287" t="s">
        <v>506</v>
      </c>
      <c r="D39" s="287"/>
      <c r="E39" s="287"/>
      <c r="F39" s="287"/>
      <c r="G39" s="24" t="s">
        <v>9</v>
      </c>
      <c r="H39" s="205"/>
      <c r="I39" s="25" t="s">
        <v>10</v>
      </c>
      <c r="J39" s="24" t="s">
        <v>9</v>
      </c>
      <c r="K39" s="205"/>
      <c r="L39" s="25" t="s">
        <v>10</v>
      </c>
      <c r="M39" s="15"/>
    </row>
    <row r="40" spans="2:13" ht="21" hidden="1" customHeight="1" thickBot="1" x14ac:dyDescent="0.25">
      <c r="B40" s="12">
        <v>9</v>
      </c>
      <c r="C40" s="287" t="s">
        <v>120</v>
      </c>
      <c r="D40" s="287"/>
      <c r="E40" s="287"/>
      <c r="F40" s="287"/>
      <c r="H40" s="206"/>
      <c r="I40" s="2"/>
      <c r="J40" s="2"/>
      <c r="K40" s="206"/>
      <c r="M40" s="15"/>
    </row>
    <row r="41" spans="2:13" ht="21" hidden="1" customHeight="1" x14ac:dyDescent="0.2">
      <c r="B41" s="12">
        <v>10</v>
      </c>
      <c r="C41" s="287" t="s">
        <v>563</v>
      </c>
      <c r="D41" s="287"/>
      <c r="E41" s="287"/>
      <c r="F41" s="287"/>
      <c r="G41" s="24" t="s">
        <v>8</v>
      </c>
      <c r="H41" s="207"/>
      <c r="I41" s="2"/>
      <c r="J41" s="24" t="s">
        <v>8</v>
      </c>
      <c r="K41" s="207"/>
      <c r="M41" s="15"/>
    </row>
    <row r="42" spans="2:13" ht="21" hidden="1" customHeight="1" thickBot="1" x14ac:dyDescent="0.25">
      <c r="B42" s="12" t="s">
        <v>512</v>
      </c>
      <c r="C42" s="296" t="s">
        <v>587</v>
      </c>
      <c r="D42" s="296"/>
      <c r="E42" s="296"/>
      <c r="F42" s="296"/>
      <c r="H42" s="26" t="str">
        <f>IFERROR(IF(AND(H41&gt;0,$H$5&gt;0),VLOOKUP($H$5,LKP_MILEAGE,2,FALSE),""),"")</f>
        <v/>
      </c>
      <c r="I42" s="2"/>
      <c r="J42" s="2"/>
      <c r="K42" s="26" t="str">
        <f>IFERROR(IF(AND(K41&gt;0,$K$5&gt;0),VLOOKUP($K$5,LKP_MILEAGE,2,FALSE),""),"")</f>
        <v/>
      </c>
      <c r="M42" s="15"/>
    </row>
    <row r="43" spans="2:13" ht="21" hidden="1" customHeight="1" x14ac:dyDescent="0.2">
      <c r="B43" s="12" t="s">
        <v>513</v>
      </c>
      <c r="C43" s="296" t="s">
        <v>7</v>
      </c>
      <c r="D43" s="296"/>
      <c r="E43" s="296"/>
      <c r="F43" s="296"/>
      <c r="H43" s="27" t="str">
        <f>IFERROR(IF(H42&gt;0,H41*H42,""),"")</f>
        <v/>
      </c>
      <c r="I43" s="2"/>
      <c r="J43" s="2"/>
      <c r="K43" s="27" t="str">
        <f>IFERROR(IF(K42&gt;0,K41*K42,""),"")</f>
        <v/>
      </c>
      <c r="M43" s="15"/>
    </row>
    <row r="44" spans="2:13" ht="21" hidden="1" customHeight="1" x14ac:dyDescent="0.2">
      <c r="B44" s="12">
        <v>12</v>
      </c>
      <c r="C44" s="287" t="s">
        <v>121</v>
      </c>
      <c r="D44" s="287"/>
      <c r="E44" s="287"/>
      <c r="F44" s="287"/>
      <c r="H44" s="208"/>
      <c r="I44" s="2"/>
      <c r="J44" s="2"/>
      <c r="K44" s="208"/>
      <c r="M44" s="15"/>
    </row>
    <row r="45" spans="2:13" ht="6.75" hidden="1" customHeight="1" x14ac:dyDescent="0.2">
      <c r="B45" s="14"/>
      <c r="M45" s="15"/>
    </row>
    <row r="46" spans="2:13" hidden="1" x14ac:dyDescent="0.2">
      <c r="B46" s="16"/>
      <c r="C46" s="17" t="s">
        <v>3</v>
      </c>
      <c r="D46" s="3"/>
      <c r="E46" s="3"/>
      <c r="F46" s="3"/>
      <c r="G46" s="3"/>
      <c r="H46" s="210">
        <f>IFERROR(H35+-H36+SUM(H37:H38)-H39+H40+IF(ISNUMBER(H43),H43,0)+H44,0)</f>
        <v>0</v>
      </c>
      <c r="I46" s="3"/>
      <c r="J46" s="3"/>
      <c r="K46" s="210">
        <f>IFERROR(K35+-K36+SUM(K37:K38)-K39+K40+IF(ISNUMBER(K43),K43,0)+K44,0)</f>
        <v>0</v>
      </c>
      <c r="M46" s="15"/>
    </row>
    <row r="47" spans="2:13" ht="8.25" hidden="1" customHeight="1" thickBot="1" x14ac:dyDescent="0.25">
      <c r="B47" s="18"/>
      <c r="C47" s="19"/>
      <c r="D47" s="19"/>
      <c r="E47" s="19"/>
      <c r="F47" s="19"/>
      <c r="G47" s="19"/>
      <c r="H47" s="19"/>
      <c r="I47" s="19"/>
      <c r="J47" s="19"/>
      <c r="K47" s="19"/>
      <c r="L47" s="19"/>
      <c r="M47" s="20"/>
    </row>
    <row r="48" spans="2:13" ht="21" hidden="1" customHeight="1" x14ac:dyDescent="0.2">
      <c r="B48" s="14"/>
      <c r="C48" s="57" t="s">
        <v>11</v>
      </c>
      <c r="D48" s="303"/>
      <c r="E48" s="303"/>
      <c r="F48" s="303"/>
      <c r="G48" s="303"/>
      <c r="H48" s="28">
        <f>IF(ISNUMBER($H$5),$H$5,"")</f>
        <v>2024</v>
      </c>
      <c r="I48" s="29"/>
      <c r="J48" s="30"/>
      <c r="K48" s="28">
        <f>IF(ISNUMBER($K$5),$K$5,"")</f>
        <v>2023</v>
      </c>
      <c r="L48" s="30"/>
      <c r="M48" s="15"/>
    </row>
    <row r="49" spans="1:13" ht="6.75" hidden="1" customHeight="1" x14ac:dyDescent="0.2">
      <c r="B49" s="14"/>
      <c r="M49" s="15"/>
    </row>
    <row r="50" spans="1:13" ht="21" hidden="1" customHeight="1" x14ac:dyDescent="0.2">
      <c r="B50" s="12">
        <v>4</v>
      </c>
      <c r="C50" s="287" t="s">
        <v>117</v>
      </c>
      <c r="D50" s="287"/>
      <c r="E50" s="287"/>
      <c r="F50" s="287"/>
      <c r="H50" s="203"/>
      <c r="I50" s="2"/>
      <c r="J50" s="2"/>
      <c r="K50" s="203"/>
      <c r="M50" s="15"/>
    </row>
    <row r="51" spans="1:13" ht="21" hidden="1" customHeight="1" x14ac:dyDescent="0.2">
      <c r="B51" s="12">
        <v>5</v>
      </c>
      <c r="C51" s="287" t="s">
        <v>583</v>
      </c>
      <c r="D51" s="287"/>
      <c r="E51" s="287"/>
      <c r="F51" s="287"/>
      <c r="G51" s="24" t="s">
        <v>9</v>
      </c>
      <c r="H51" s="205"/>
      <c r="I51" s="25" t="s">
        <v>10</v>
      </c>
      <c r="J51" s="24" t="s">
        <v>9</v>
      </c>
      <c r="K51" s="205"/>
      <c r="L51" s="25" t="s">
        <v>10</v>
      </c>
      <c r="M51" s="15"/>
    </row>
    <row r="52" spans="1:13" ht="21" hidden="1" customHeight="1" x14ac:dyDescent="0.2">
      <c r="B52" s="12">
        <v>6</v>
      </c>
      <c r="C52" s="287" t="s">
        <v>118</v>
      </c>
      <c r="D52" s="287"/>
      <c r="E52" s="287"/>
      <c r="F52" s="287"/>
      <c r="H52" s="204"/>
      <c r="I52" s="2"/>
      <c r="J52" s="2"/>
      <c r="K52" s="204"/>
      <c r="M52" s="15"/>
    </row>
    <row r="53" spans="1:13" ht="21" hidden="1" customHeight="1" x14ac:dyDescent="0.2">
      <c r="B53" s="12">
        <v>7</v>
      </c>
      <c r="C53" s="287" t="s">
        <v>119</v>
      </c>
      <c r="D53" s="287"/>
      <c r="E53" s="287"/>
      <c r="F53" s="287"/>
      <c r="H53" s="204"/>
      <c r="I53" s="2"/>
      <c r="J53" s="2"/>
      <c r="K53" s="204"/>
      <c r="M53" s="15"/>
    </row>
    <row r="54" spans="1:13" ht="21" hidden="1" customHeight="1" x14ac:dyDescent="0.2">
      <c r="B54" s="12">
        <v>8</v>
      </c>
      <c r="C54" s="287" t="s">
        <v>506</v>
      </c>
      <c r="D54" s="287"/>
      <c r="E54" s="287"/>
      <c r="F54" s="287"/>
      <c r="G54" s="24" t="s">
        <v>9</v>
      </c>
      <c r="H54" s="205"/>
      <c r="I54" s="25" t="s">
        <v>10</v>
      </c>
      <c r="J54" s="24" t="s">
        <v>9</v>
      </c>
      <c r="K54" s="205"/>
      <c r="L54" s="25" t="s">
        <v>10</v>
      </c>
      <c r="M54" s="15"/>
    </row>
    <row r="55" spans="1:13" ht="21" hidden="1" customHeight="1" thickBot="1" x14ac:dyDescent="0.25">
      <c r="B55" s="12">
        <v>9</v>
      </c>
      <c r="C55" s="287" t="s">
        <v>120</v>
      </c>
      <c r="D55" s="287"/>
      <c r="E55" s="287"/>
      <c r="F55" s="287"/>
      <c r="H55" s="206"/>
      <c r="I55" s="2"/>
      <c r="J55" s="2"/>
      <c r="K55" s="206"/>
      <c r="M55" s="15"/>
    </row>
    <row r="56" spans="1:13" ht="21" hidden="1" customHeight="1" x14ac:dyDescent="0.2">
      <c r="B56" s="12">
        <v>10</v>
      </c>
      <c r="C56" s="287" t="s">
        <v>563</v>
      </c>
      <c r="D56" s="287"/>
      <c r="E56" s="287"/>
      <c r="F56" s="287"/>
      <c r="G56" s="24" t="s">
        <v>8</v>
      </c>
      <c r="H56" s="207"/>
      <c r="I56" s="2"/>
      <c r="J56" s="24" t="s">
        <v>8</v>
      </c>
      <c r="K56" s="207"/>
      <c r="M56" s="15"/>
    </row>
    <row r="57" spans="1:13" ht="21" hidden="1" customHeight="1" thickBot="1" x14ac:dyDescent="0.25">
      <c r="B57" s="12" t="s">
        <v>512</v>
      </c>
      <c r="C57" s="296" t="s">
        <v>587</v>
      </c>
      <c r="D57" s="296"/>
      <c r="E57" s="296"/>
      <c r="F57" s="296"/>
      <c r="H57" s="26" t="str">
        <f>IFERROR(IF(AND(H56&gt;0,$H$5&gt;0),VLOOKUP($H$5,LKP_MILEAGE,2,FALSE),""),"")</f>
        <v/>
      </c>
      <c r="I57" s="2"/>
      <c r="J57" s="2"/>
      <c r="K57" s="26" t="str">
        <f>IFERROR(IF(AND(K56&gt;0,$K$5&gt;0),VLOOKUP($K$5,LKP_MILEAGE,2,FALSE),""),"")</f>
        <v/>
      </c>
      <c r="M57" s="15"/>
    </row>
    <row r="58" spans="1:13" ht="21" hidden="1" customHeight="1" x14ac:dyDescent="0.2">
      <c r="B58" s="12" t="s">
        <v>513</v>
      </c>
      <c r="C58" s="296" t="s">
        <v>7</v>
      </c>
      <c r="D58" s="296"/>
      <c r="E58" s="296"/>
      <c r="F58" s="296"/>
      <c r="H58" s="27" t="str">
        <f>IFERROR(IF(H57&gt;0,H56*H57,""),"")</f>
        <v/>
      </c>
      <c r="I58" s="2"/>
      <c r="J58" s="2"/>
      <c r="K58" s="27" t="str">
        <f>IFERROR(IF(K57&gt;0,K56*K57,""),"")</f>
        <v/>
      </c>
      <c r="M58" s="15"/>
    </row>
    <row r="59" spans="1:13" ht="21" hidden="1" customHeight="1" x14ac:dyDescent="0.2">
      <c r="B59" s="12">
        <v>12</v>
      </c>
      <c r="C59" s="287" t="s">
        <v>121</v>
      </c>
      <c r="D59" s="287"/>
      <c r="E59" s="287"/>
      <c r="F59" s="287"/>
      <c r="H59" s="208"/>
      <c r="I59" s="2"/>
      <c r="J59" s="2"/>
      <c r="K59" s="208"/>
      <c r="M59" s="15"/>
    </row>
    <row r="60" spans="1:13" ht="6.75" hidden="1" customHeight="1" x14ac:dyDescent="0.2">
      <c r="B60" s="14"/>
      <c r="M60" s="15"/>
    </row>
    <row r="61" spans="1:13" hidden="1" x14ac:dyDescent="0.2">
      <c r="B61" s="16"/>
      <c r="C61" s="17" t="s">
        <v>3</v>
      </c>
      <c r="D61" s="3"/>
      <c r="E61" s="3"/>
      <c r="F61" s="3"/>
      <c r="G61" s="3"/>
      <c r="H61" s="210">
        <f>IFERROR(H50+-H51+SUM(H52:H53)-H54+H55+IF(ISNUMBER(H58),H58,0)+H59,0)</f>
        <v>0</v>
      </c>
      <c r="I61" s="3"/>
      <c r="J61" s="3"/>
      <c r="K61" s="210">
        <f>IFERROR(K50+-K51+SUM(K52:K53)-K54+K55+IF(ISNUMBER(K58),K58,0)+K59,0)</f>
        <v>0</v>
      </c>
      <c r="M61" s="15"/>
    </row>
    <row r="62" spans="1:13" ht="8.25" hidden="1" customHeight="1" thickBot="1" x14ac:dyDescent="0.25">
      <c r="B62" s="18"/>
      <c r="C62" s="19"/>
      <c r="D62" s="19"/>
      <c r="E62" s="19"/>
      <c r="F62" s="19"/>
      <c r="G62" s="19"/>
      <c r="H62" s="19"/>
      <c r="I62" s="19"/>
      <c r="J62" s="19"/>
      <c r="K62" s="19"/>
      <c r="L62" s="19"/>
      <c r="M62" s="20"/>
    </row>
    <row r="63" spans="1:13" ht="16" thickBot="1" x14ac:dyDescent="0.25">
      <c r="I63" s="21"/>
      <c r="J63" s="21"/>
    </row>
    <row r="64" spans="1:13" ht="21" customHeight="1" thickBot="1" x14ac:dyDescent="0.25">
      <c r="A64" s="2"/>
      <c r="B64" s="7" t="s">
        <v>2</v>
      </c>
      <c r="C64" s="293" t="s">
        <v>510</v>
      </c>
      <c r="D64" s="294"/>
      <c r="E64" s="294"/>
      <c r="F64" s="294"/>
      <c r="G64" s="294"/>
      <c r="H64" s="8">
        <f>IF(ISNUMBER($H$5),$H$5,"")</f>
        <v>2024</v>
      </c>
      <c r="I64" s="8" t="str">
        <f t="shared" ref="I64:J64" si="0">IF(ISNUMBER($I$5),$I$5,"")</f>
        <v/>
      </c>
      <c r="J64" s="8" t="str">
        <f t="shared" si="0"/>
        <v/>
      </c>
      <c r="K64" s="8">
        <f>IF(ISNUMBER($K$5),$K$5,"")</f>
        <v>2023</v>
      </c>
      <c r="L64" s="10"/>
      <c r="M64" s="11"/>
    </row>
    <row r="65" spans="2:13" ht="6.75" hidden="1" customHeight="1" thickBot="1" x14ac:dyDescent="0.25">
      <c r="B65" s="22"/>
      <c r="C65" s="21"/>
      <c r="D65" s="21"/>
      <c r="E65" s="21"/>
      <c r="F65" s="21"/>
      <c r="G65" s="21"/>
      <c r="H65" s="21"/>
      <c r="I65" s="21"/>
      <c r="J65" s="21"/>
      <c r="K65" s="21"/>
      <c r="L65" s="21"/>
      <c r="M65" s="23"/>
    </row>
    <row r="66" spans="2:13" ht="21" hidden="1" customHeight="1" x14ac:dyDescent="0.2">
      <c r="B66" s="250"/>
      <c r="C66" s="251" t="s">
        <v>11</v>
      </c>
      <c r="D66" s="297"/>
      <c r="E66" s="297"/>
      <c r="F66" s="297"/>
      <c r="G66" s="297"/>
      <c r="H66" s="28">
        <f>IF(ISNUMBER($H$5),$H$5,"")</f>
        <v>2024</v>
      </c>
      <c r="I66" s="29"/>
      <c r="J66" s="30"/>
      <c r="K66" s="28">
        <f>IF(ISNUMBER($K$5),$K$5,"")</f>
        <v>2023</v>
      </c>
      <c r="L66" s="30"/>
      <c r="M66" s="252"/>
    </row>
    <row r="67" spans="2:13" ht="6.75" hidden="1" customHeight="1" x14ac:dyDescent="0.2">
      <c r="B67" s="14"/>
      <c r="M67" s="15"/>
    </row>
    <row r="68" spans="2:13" ht="21" hidden="1" customHeight="1" x14ac:dyDescent="0.2">
      <c r="B68" s="12">
        <v>3</v>
      </c>
      <c r="C68" s="287" t="s">
        <v>511</v>
      </c>
      <c r="D68" s="287"/>
      <c r="E68" s="287"/>
      <c r="F68" s="287"/>
      <c r="G68" s="287"/>
      <c r="H68" s="203"/>
      <c r="I68" s="2"/>
      <c r="J68" s="2"/>
      <c r="K68" s="203"/>
      <c r="M68" s="15"/>
    </row>
    <row r="69" spans="2:13" ht="21" hidden="1" customHeight="1" x14ac:dyDescent="0.2">
      <c r="B69" s="12">
        <v>4</v>
      </c>
      <c r="C69" s="287" t="s">
        <v>117</v>
      </c>
      <c r="D69" s="287"/>
      <c r="E69" s="287"/>
      <c r="F69" s="287"/>
      <c r="G69" s="287"/>
      <c r="H69" s="203"/>
      <c r="I69" s="2"/>
      <c r="J69" s="2"/>
      <c r="K69" s="203"/>
      <c r="M69" s="15"/>
    </row>
    <row r="70" spans="2:13" ht="21" hidden="1" customHeight="1" x14ac:dyDescent="0.2">
      <c r="B70" s="12">
        <v>5</v>
      </c>
      <c r="C70" s="287" t="s">
        <v>583</v>
      </c>
      <c r="D70" s="287"/>
      <c r="E70" s="287"/>
      <c r="F70" s="287"/>
      <c r="G70" s="93" t="s">
        <v>9</v>
      </c>
      <c r="H70" s="205"/>
      <c r="I70" s="25" t="s">
        <v>10</v>
      </c>
      <c r="J70" s="93" t="s">
        <v>9</v>
      </c>
      <c r="K70" s="205"/>
      <c r="L70" s="25" t="s">
        <v>10</v>
      </c>
      <c r="M70" s="15"/>
    </row>
    <row r="71" spans="2:13" ht="21" hidden="1" customHeight="1" x14ac:dyDescent="0.2">
      <c r="B71" s="12">
        <v>6</v>
      </c>
      <c r="C71" s="287" t="s">
        <v>118</v>
      </c>
      <c r="D71" s="287"/>
      <c r="E71" s="287"/>
      <c r="F71" s="287"/>
      <c r="G71" s="287"/>
      <c r="H71" s="204"/>
      <c r="I71" s="2"/>
      <c r="J71" s="2"/>
      <c r="K71" s="204"/>
      <c r="M71" s="15"/>
    </row>
    <row r="72" spans="2:13" ht="21" hidden="1" customHeight="1" x14ac:dyDescent="0.2">
      <c r="B72" s="12">
        <v>7</v>
      </c>
      <c r="C72" s="287" t="s">
        <v>119</v>
      </c>
      <c r="D72" s="287"/>
      <c r="E72" s="287"/>
      <c r="F72" s="287"/>
      <c r="G72" s="287"/>
      <c r="H72" s="204"/>
      <c r="I72" s="2"/>
      <c r="J72" s="2"/>
      <c r="K72" s="204"/>
      <c r="M72" s="15"/>
    </row>
    <row r="73" spans="2:13" ht="21" hidden="1" customHeight="1" x14ac:dyDescent="0.2">
      <c r="B73" s="12">
        <v>8</v>
      </c>
      <c r="C73" s="287" t="s">
        <v>506</v>
      </c>
      <c r="D73" s="287"/>
      <c r="E73" s="287"/>
      <c r="F73" s="287"/>
      <c r="G73" s="93" t="s">
        <v>9</v>
      </c>
      <c r="H73" s="205"/>
      <c r="I73" s="25" t="s">
        <v>10</v>
      </c>
      <c r="J73" s="24" t="s">
        <v>9</v>
      </c>
      <c r="K73" s="205"/>
      <c r="L73" s="25" t="s">
        <v>10</v>
      </c>
      <c r="M73" s="15"/>
    </row>
    <row r="74" spans="2:13" ht="21" hidden="1" customHeight="1" thickBot="1" x14ac:dyDescent="0.25">
      <c r="B74" s="12">
        <v>9</v>
      </c>
      <c r="C74" s="287" t="s">
        <v>120</v>
      </c>
      <c r="D74" s="287"/>
      <c r="E74" s="287"/>
      <c r="F74" s="287"/>
      <c r="G74" s="287"/>
      <c r="H74" s="206"/>
      <c r="I74" s="2"/>
      <c r="J74" s="2"/>
      <c r="K74" s="206"/>
      <c r="M74" s="15"/>
    </row>
    <row r="75" spans="2:13" ht="21" hidden="1" customHeight="1" x14ac:dyDescent="0.2">
      <c r="B75" s="12">
        <v>10</v>
      </c>
      <c r="C75" s="287" t="s">
        <v>563</v>
      </c>
      <c r="D75" s="287"/>
      <c r="E75" s="287"/>
      <c r="F75" s="287"/>
      <c r="G75" s="93" t="s">
        <v>8</v>
      </c>
      <c r="H75" s="207"/>
      <c r="I75" s="2"/>
      <c r="J75" s="24" t="s">
        <v>8</v>
      </c>
      <c r="K75" s="207"/>
      <c r="M75" s="15"/>
    </row>
    <row r="76" spans="2:13" ht="21" hidden="1" customHeight="1" thickBot="1" x14ac:dyDescent="0.25">
      <c r="B76" s="12" t="s">
        <v>512</v>
      </c>
      <c r="C76" s="296" t="s">
        <v>587</v>
      </c>
      <c r="D76" s="296"/>
      <c r="E76" s="296"/>
      <c r="F76" s="296"/>
      <c r="G76" s="296"/>
      <c r="H76" s="26" t="str">
        <f>IFERROR(IF(AND(H75&gt;0,$H$5&gt;0),VLOOKUP($H$5,LKP_MILEAGE,2,FALSE),""),"")</f>
        <v/>
      </c>
      <c r="I76" s="2"/>
      <c r="J76" s="2"/>
      <c r="K76" s="26" t="str">
        <f>IFERROR(IF(AND(K75&gt;0,$K$5&gt;0),VLOOKUP($K$5,LKP_MILEAGE,2,FALSE),""),"")</f>
        <v/>
      </c>
      <c r="M76" s="15"/>
    </row>
    <row r="77" spans="2:13" ht="21" hidden="1" customHeight="1" x14ac:dyDescent="0.2">
      <c r="B77" s="12" t="s">
        <v>513</v>
      </c>
      <c r="C77" s="296" t="s">
        <v>7</v>
      </c>
      <c r="D77" s="296"/>
      <c r="E77" s="296"/>
      <c r="F77" s="296"/>
      <c r="G77" s="296"/>
      <c r="H77" s="27" t="str">
        <f>IFERROR(IF(H76&gt;0,H75*H76,""),"")</f>
        <v/>
      </c>
      <c r="I77" s="2"/>
      <c r="J77" s="2"/>
      <c r="K77" s="27" t="str">
        <f>IFERROR(IF(K76&gt;0,K75*K76,""),"")</f>
        <v/>
      </c>
      <c r="M77" s="15"/>
    </row>
    <row r="78" spans="2:13" ht="21" hidden="1" customHeight="1" x14ac:dyDescent="0.2">
      <c r="B78" s="12">
        <v>12</v>
      </c>
      <c r="C78" s="287" t="s">
        <v>121</v>
      </c>
      <c r="D78" s="287"/>
      <c r="E78" s="287"/>
      <c r="F78" s="287"/>
      <c r="G78" s="287"/>
      <c r="H78" s="208"/>
      <c r="I78" s="2"/>
      <c r="J78" s="2"/>
      <c r="K78" s="208"/>
      <c r="M78" s="15"/>
    </row>
    <row r="79" spans="2:13" ht="6.75" hidden="1" customHeight="1" x14ac:dyDescent="0.2">
      <c r="B79" s="14"/>
      <c r="M79" s="15"/>
    </row>
    <row r="80" spans="2:13" hidden="1" x14ac:dyDescent="0.2">
      <c r="B80" s="16"/>
      <c r="C80" s="17" t="s">
        <v>3</v>
      </c>
      <c r="D80" s="3"/>
      <c r="E80" s="3"/>
      <c r="F80" s="3"/>
      <c r="G80" s="3"/>
      <c r="H80" s="210">
        <f>IFERROR(SUM(H68:H69)-H70+SUM(H71:H72)-H73+H74+IF(ISNUMBER(H77),H77,0)+H78,0)</f>
        <v>0</v>
      </c>
      <c r="I80" s="3"/>
      <c r="J80" s="3"/>
      <c r="K80" s="210">
        <f>IFERROR(SUM(K68:K69)-K70+SUM(K71:K72)-K73+K74+IF(ISNUMBER(K77),K77,0)+K78,0)</f>
        <v>0</v>
      </c>
      <c r="M80" s="15"/>
    </row>
    <row r="81" spans="2:13" ht="8.25" hidden="1" customHeight="1" thickBot="1" x14ac:dyDescent="0.25">
      <c r="B81" s="18"/>
      <c r="C81" s="19"/>
      <c r="D81" s="19"/>
      <c r="E81" s="19"/>
      <c r="F81" s="19"/>
      <c r="G81" s="19"/>
      <c r="H81" s="19"/>
      <c r="I81" s="19"/>
      <c r="J81" s="19"/>
      <c r="K81" s="19"/>
      <c r="L81" s="19"/>
      <c r="M81" s="20"/>
    </row>
    <row r="82" spans="2:13" ht="16" thickBot="1" x14ac:dyDescent="0.25">
      <c r="J82" s="21"/>
      <c r="K82" s="21"/>
    </row>
    <row r="83" spans="2:13" ht="21" customHeight="1" thickBot="1" x14ac:dyDescent="0.25">
      <c r="B83" s="7" t="s">
        <v>2</v>
      </c>
      <c r="C83" s="293" t="s">
        <v>13</v>
      </c>
      <c r="D83" s="294"/>
      <c r="E83" s="294"/>
      <c r="F83" s="294"/>
      <c r="G83" s="294"/>
      <c r="H83" s="8">
        <f>IF(ISNUMBER($H$5),$H$5,"")</f>
        <v>2024</v>
      </c>
      <c r="I83" s="9"/>
      <c r="J83" s="9"/>
      <c r="K83" s="8">
        <f>IF(ISNUMBER($K$5),$K$5,"")</f>
        <v>2023</v>
      </c>
      <c r="L83" s="10"/>
      <c r="M83" s="11"/>
    </row>
    <row r="84" spans="2:13" ht="6.75" hidden="1" customHeight="1" x14ac:dyDescent="0.2">
      <c r="B84" s="22"/>
      <c r="C84" s="21"/>
      <c r="D84" s="21"/>
      <c r="E84" s="21"/>
      <c r="F84" s="21"/>
      <c r="G84" s="21"/>
      <c r="H84" s="21"/>
      <c r="I84" s="21"/>
      <c r="J84" s="21"/>
      <c r="K84" s="21"/>
      <c r="L84" s="21"/>
      <c r="M84" s="23"/>
    </row>
    <row r="85" spans="2:13" ht="21" hidden="1" customHeight="1" x14ac:dyDescent="0.2">
      <c r="B85" s="12">
        <v>13</v>
      </c>
      <c r="C85" s="287" t="s">
        <v>122</v>
      </c>
      <c r="D85" s="287"/>
      <c r="E85" s="287"/>
      <c r="F85" s="287"/>
      <c r="H85" s="208"/>
      <c r="I85" s="2"/>
      <c r="J85" s="2"/>
      <c r="K85" s="208"/>
      <c r="M85" s="15"/>
    </row>
    <row r="86" spans="2:13" ht="6.75" hidden="1" customHeight="1" x14ac:dyDescent="0.2">
      <c r="B86" s="14"/>
      <c r="M86" s="15"/>
    </row>
    <row r="87" spans="2:13" hidden="1" x14ac:dyDescent="0.2">
      <c r="B87" s="16"/>
      <c r="C87" s="17" t="s">
        <v>3</v>
      </c>
      <c r="D87" s="3"/>
      <c r="E87" s="3"/>
      <c r="F87" s="3"/>
      <c r="G87" s="3"/>
      <c r="H87" s="210">
        <f>SUM(H85:H85)</f>
        <v>0</v>
      </c>
      <c r="I87" s="3"/>
      <c r="J87" s="3"/>
      <c r="K87" s="210">
        <f>SUM(K85:K85)</f>
        <v>0</v>
      </c>
      <c r="M87" s="15"/>
    </row>
    <row r="88" spans="2:13" ht="8.25" hidden="1" customHeight="1" thickBot="1" x14ac:dyDescent="0.25">
      <c r="B88" s="18"/>
      <c r="C88" s="19"/>
      <c r="D88" s="19"/>
      <c r="E88" s="19"/>
      <c r="F88" s="19"/>
      <c r="G88" s="19"/>
      <c r="H88" s="19"/>
      <c r="I88" s="19"/>
      <c r="J88" s="19"/>
      <c r="K88" s="19"/>
      <c r="L88" s="19"/>
      <c r="M88" s="20"/>
    </row>
    <row r="89" spans="2:13" ht="16" thickBot="1" x14ac:dyDescent="0.25">
      <c r="I89" s="31"/>
      <c r="J89" s="31"/>
    </row>
    <row r="90" spans="2:13" ht="21" customHeight="1" thickBot="1" x14ac:dyDescent="0.25">
      <c r="B90" s="7" t="s">
        <v>2</v>
      </c>
      <c r="C90" s="293" t="s">
        <v>71</v>
      </c>
      <c r="D90" s="294"/>
      <c r="E90" s="294"/>
      <c r="F90" s="32"/>
      <c r="G90" s="32"/>
      <c r="H90" s="8">
        <f>IF(ISNUMBER($H$5),$H$5,"")</f>
        <v>2024</v>
      </c>
      <c r="I90" s="9"/>
      <c r="J90" s="9"/>
      <c r="K90" s="8">
        <f>IF(ISNUMBER($K$5),$K$5,"")</f>
        <v>2023</v>
      </c>
      <c r="L90" s="10"/>
      <c r="M90" s="11"/>
    </row>
    <row r="91" spans="2:13" ht="6.75" hidden="1" customHeight="1" x14ac:dyDescent="0.2">
      <c r="B91" s="22"/>
      <c r="C91" s="21"/>
      <c r="D91" s="21"/>
      <c r="E91" s="21"/>
      <c r="F91" s="21"/>
      <c r="G91" s="21"/>
      <c r="H91" s="21"/>
      <c r="I91" s="21"/>
      <c r="J91" s="21"/>
      <c r="K91" s="21"/>
      <c r="L91" s="21"/>
      <c r="M91" s="23"/>
    </row>
    <row r="92" spans="2:13" ht="21" hidden="1" customHeight="1" x14ac:dyDescent="0.2">
      <c r="B92" s="12">
        <v>14</v>
      </c>
      <c r="C92" s="287" t="s">
        <v>123</v>
      </c>
      <c r="D92" s="287"/>
      <c r="E92" s="287"/>
      <c r="F92" s="287"/>
      <c r="G92" s="3"/>
      <c r="H92" s="203"/>
      <c r="I92" s="2"/>
      <c r="J92" s="2"/>
      <c r="K92" s="203"/>
      <c r="M92" s="15"/>
    </row>
    <row r="93" spans="2:13" ht="21" hidden="1" customHeight="1" x14ac:dyDescent="0.2">
      <c r="B93" s="12">
        <v>15</v>
      </c>
      <c r="C93" s="287" t="s">
        <v>124</v>
      </c>
      <c r="D93" s="287"/>
      <c r="E93" s="287"/>
      <c r="F93" s="287"/>
      <c r="G93" s="24" t="s">
        <v>9</v>
      </c>
      <c r="H93" s="209"/>
      <c r="I93" s="25" t="s">
        <v>10</v>
      </c>
      <c r="J93" s="24" t="s">
        <v>9</v>
      </c>
      <c r="K93" s="209"/>
      <c r="L93" s="25" t="s">
        <v>10</v>
      </c>
      <c r="M93" s="15"/>
    </row>
    <row r="94" spans="2:13" ht="21" hidden="1" customHeight="1" x14ac:dyDescent="0.2">
      <c r="B94" s="12">
        <v>16</v>
      </c>
      <c r="C94" s="287" t="s">
        <v>264</v>
      </c>
      <c r="D94" s="287"/>
      <c r="E94" s="287"/>
      <c r="F94" s="287"/>
      <c r="G94" s="3"/>
      <c r="H94" s="208"/>
      <c r="I94" s="2"/>
      <c r="J94" s="2"/>
      <c r="K94" s="208"/>
      <c r="M94" s="15"/>
    </row>
    <row r="95" spans="2:13" ht="6.75" hidden="1" customHeight="1" x14ac:dyDescent="0.2">
      <c r="B95" s="14"/>
      <c r="M95" s="15"/>
    </row>
    <row r="96" spans="2:13" hidden="1" x14ac:dyDescent="0.2">
      <c r="B96" s="16"/>
      <c r="C96" s="17" t="s">
        <v>3</v>
      </c>
      <c r="D96" s="3"/>
      <c r="E96" s="3"/>
      <c r="F96" s="3"/>
      <c r="G96" s="3"/>
      <c r="H96" s="210">
        <f>H92-H93+H94</f>
        <v>0</v>
      </c>
      <c r="I96" s="3"/>
      <c r="J96" s="3"/>
      <c r="K96" s="210">
        <f>K92-K93+K94</f>
        <v>0</v>
      </c>
      <c r="M96" s="15"/>
    </row>
    <row r="97" spans="1:13" ht="8.25" hidden="1" customHeight="1" thickBot="1" x14ac:dyDescent="0.25">
      <c r="B97" s="18"/>
      <c r="C97" s="19"/>
      <c r="D97" s="19"/>
      <c r="E97" s="19"/>
      <c r="F97" s="19"/>
      <c r="G97" s="19"/>
      <c r="H97" s="19"/>
      <c r="I97" s="19"/>
      <c r="J97" s="19"/>
      <c r="K97" s="19"/>
      <c r="L97" s="19"/>
      <c r="M97" s="20"/>
    </row>
    <row r="98" spans="1:13" ht="16" thickBot="1" x14ac:dyDescent="0.25">
      <c r="I98" s="31"/>
      <c r="J98" s="31"/>
    </row>
    <row r="99" spans="1:13" ht="21" customHeight="1" thickBot="1" x14ac:dyDescent="0.25">
      <c r="A99" s="2"/>
      <c r="B99" s="7" t="s">
        <v>2</v>
      </c>
      <c r="C99" s="293" t="s">
        <v>14</v>
      </c>
      <c r="D99" s="294"/>
      <c r="E99" s="294"/>
      <c r="F99" s="294"/>
      <c r="G99" s="294"/>
      <c r="H99" s="8">
        <f>IF(ISNUMBER($H$5),$H$5,"")</f>
        <v>2024</v>
      </c>
      <c r="I99" s="9"/>
      <c r="J99" s="9"/>
      <c r="K99" s="8">
        <f>IF(ISNUMBER($K$5),$K$5,"")</f>
        <v>2023</v>
      </c>
      <c r="L99" s="10"/>
      <c r="M99" s="11"/>
    </row>
    <row r="100" spans="1:13" ht="6.75" hidden="1" customHeight="1" x14ac:dyDescent="0.2">
      <c r="B100" s="22"/>
      <c r="C100" s="21"/>
      <c r="D100" s="21"/>
      <c r="E100" s="21"/>
      <c r="F100" s="21"/>
      <c r="G100" s="21"/>
      <c r="H100" s="21"/>
      <c r="I100" s="21"/>
      <c r="J100" s="21"/>
      <c r="K100" s="21"/>
      <c r="L100" s="21"/>
      <c r="M100" s="23"/>
    </row>
    <row r="101" spans="1:13" ht="21" hidden="1" customHeight="1" x14ac:dyDescent="0.2">
      <c r="B101" s="12">
        <v>17</v>
      </c>
      <c r="C101" s="287" t="s">
        <v>125</v>
      </c>
      <c r="D101" s="287"/>
      <c r="E101" s="287"/>
      <c r="F101" s="287"/>
      <c r="H101" s="203"/>
      <c r="I101" s="2"/>
      <c r="J101" s="2"/>
      <c r="K101" s="203"/>
      <c r="M101" s="15"/>
    </row>
    <row r="102" spans="1:13" ht="21" hidden="1" customHeight="1" x14ac:dyDescent="0.2">
      <c r="B102" s="12">
        <v>18</v>
      </c>
      <c r="C102" s="287" t="s">
        <v>126</v>
      </c>
      <c r="D102" s="287"/>
      <c r="E102" s="287"/>
      <c r="F102" s="287"/>
      <c r="H102" s="203"/>
      <c r="I102" s="2"/>
      <c r="J102" s="2"/>
      <c r="K102" s="203"/>
      <c r="M102" s="15"/>
    </row>
    <row r="103" spans="1:13" ht="21" hidden="1" customHeight="1" x14ac:dyDescent="0.2">
      <c r="B103" s="12">
        <v>20</v>
      </c>
      <c r="C103" s="287" t="s">
        <v>533</v>
      </c>
      <c r="D103" s="287"/>
      <c r="E103" s="287"/>
      <c r="F103" s="287"/>
      <c r="H103" s="203"/>
      <c r="I103" s="2"/>
      <c r="J103" s="2"/>
      <c r="K103" s="203"/>
      <c r="M103" s="15"/>
    </row>
    <row r="104" spans="1:13" ht="21" hidden="1" customHeight="1" x14ac:dyDescent="0.2">
      <c r="B104" s="12">
        <v>19</v>
      </c>
      <c r="C104" s="287" t="s">
        <v>534</v>
      </c>
      <c r="D104" s="287"/>
      <c r="E104" s="287"/>
      <c r="F104" s="287"/>
      <c r="G104" s="24" t="s">
        <v>9</v>
      </c>
      <c r="H104" s="209"/>
      <c r="I104" s="25" t="s">
        <v>10</v>
      </c>
      <c r="J104" s="24" t="s">
        <v>9</v>
      </c>
      <c r="K104" s="209"/>
      <c r="L104" s="25" t="s">
        <v>10</v>
      </c>
      <c r="M104" s="15"/>
    </row>
    <row r="105" spans="1:13" ht="21" hidden="1" customHeight="1" x14ac:dyDescent="0.2">
      <c r="B105" s="12">
        <v>21</v>
      </c>
      <c r="C105" s="287" t="s">
        <v>127</v>
      </c>
      <c r="D105" s="287"/>
      <c r="E105" s="287"/>
      <c r="F105" s="287"/>
      <c r="H105" s="203"/>
      <c r="I105" s="2"/>
      <c r="J105" s="2"/>
      <c r="K105" s="203"/>
      <c r="M105" s="15"/>
    </row>
    <row r="106" spans="1:13" ht="21" hidden="1" customHeight="1" x14ac:dyDescent="0.2">
      <c r="B106" s="12">
        <v>22</v>
      </c>
      <c r="C106" s="287" t="s">
        <v>128</v>
      </c>
      <c r="D106" s="287"/>
      <c r="E106" s="287"/>
      <c r="F106" s="287"/>
      <c r="H106" s="203"/>
      <c r="I106" s="2"/>
      <c r="J106" s="2"/>
      <c r="K106" s="203"/>
      <c r="M106" s="15"/>
    </row>
    <row r="107" spans="1:13" ht="21" hidden="1" customHeight="1" x14ac:dyDescent="0.2">
      <c r="B107" s="12">
        <v>23</v>
      </c>
      <c r="C107" s="287" t="s">
        <v>129</v>
      </c>
      <c r="D107" s="287"/>
      <c r="E107" s="287"/>
      <c r="F107" s="287"/>
      <c r="H107" s="206"/>
      <c r="I107" s="2"/>
      <c r="J107" s="2"/>
      <c r="K107" s="206"/>
      <c r="M107" s="15"/>
    </row>
    <row r="108" spans="1:13" ht="6.75" hidden="1" customHeight="1" x14ac:dyDescent="0.2">
      <c r="B108" s="14"/>
      <c r="M108" s="15"/>
    </row>
    <row r="109" spans="1:13" hidden="1" x14ac:dyDescent="0.2">
      <c r="B109" s="16"/>
      <c r="C109" s="17" t="s">
        <v>3</v>
      </c>
      <c r="D109" s="3"/>
      <c r="E109" s="3"/>
      <c r="F109" s="3"/>
      <c r="G109" s="3"/>
      <c r="H109" s="210">
        <f>SUM(H101:H103)-H104+SUM(H105:H107)</f>
        <v>0</v>
      </c>
      <c r="I109" s="3"/>
      <c r="J109" s="3"/>
      <c r="K109" s="210">
        <f>SUM(K101:K103)-K104+SUM(K105:K107)</f>
        <v>0</v>
      </c>
      <c r="M109" s="15"/>
    </row>
    <row r="110" spans="1:13" ht="8.25" hidden="1" customHeight="1" thickBot="1" x14ac:dyDescent="0.25">
      <c r="B110" s="18"/>
      <c r="C110" s="19"/>
      <c r="D110" s="19"/>
      <c r="E110" s="19"/>
      <c r="F110" s="19"/>
      <c r="G110" s="19"/>
      <c r="H110" s="19"/>
      <c r="I110" s="19"/>
      <c r="J110" s="19"/>
      <c r="K110" s="19"/>
      <c r="L110" s="19"/>
      <c r="M110" s="20"/>
    </row>
    <row r="111" spans="1:13" ht="13.25" customHeight="1" x14ac:dyDescent="0.2">
      <c r="I111" s="21"/>
      <c r="J111" s="21"/>
      <c r="K111" s="21"/>
    </row>
    <row r="112" spans="1:13" s="2" customFormat="1" ht="31.25" customHeight="1" x14ac:dyDescent="0.2">
      <c r="B112" s="34"/>
      <c r="C112" s="75" t="s">
        <v>15</v>
      </c>
      <c r="D112" s="34"/>
      <c r="E112" s="34"/>
      <c r="F112" s="34"/>
      <c r="G112" s="34"/>
      <c r="H112" s="34"/>
      <c r="I112" s="34"/>
      <c r="J112" s="34"/>
      <c r="K112" s="34"/>
      <c r="L112" s="34"/>
      <c r="M112" s="34"/>
    </row>
    <row r="113" spans="1:14" s="2" customFormat="1" ht="22.5" customHeight="1" thickBot="1" x14ac:dyDescent="0.25">
      <c r="C113" s="35" t="s">
        <v>105</v>
      </c>
    </row>
    <row r="114" spans="1:14" ht="21" customHeight="1" thickBot="1" x14ac:dyDescent="0.25">
      <c r="A114" s="2"/>
      <c r="B114" s="7" t="s">
        <v>2</v>
      </c>
      <c r="C114" s="293" t="s">
        <v>106</v>
      </c>
      <c r="D114" s="294"/>
      <c r="E114" s="295"/>
      <c r="F114" s="295"/>
      <c r="G114" s="295"/>
      <c r="H114" s="8">
        <f>IF(ISNUMBER($H$5),$H$5,"")</f>
        <v>2024</v>
      </c>
      <c r="I114" s="10"/>
      <c r="J114" s="10"/>
      <c r="K114" s="8">
        <f>IF(ISNUMBER($K$5),$K$5,"")</f>
        <v>2023</v>
      </c>
      <c r="L114" s="10"/>
      <c r="M114" s="11"/>
    </row>
    <row r="115" spans="1:14" ht="6.75" hidden="1" customHeight="1" x14ac:dyDescent="0.2">
      <c r="B115" s="22"/>
      <c r="C115" s="21"/>
      <c r="D115" s="21"/>
      <c r="E115" s="21"/>
      <c r="F115" s="21"/>
      <c r="G115" s="21"/>
      <c r="H115" s="21"/>
      <c r="I115" s="21"/>
      <c r="J115" s="21"/>
      <c r="K115" s="21"/>
      <c r="L115" s="21"/>
      <c r="M115" s="23"/>
    </row>
    <row r="116" spans="1:14" ht="20.5" hidden="1" customHeight="1" x14ac:dyDescent="0.2">
      <c r="B116" s="14"/>
      <c r="C116" s="76" t="s">
        <v>67</v>
      </c>
      <c r="M116" s="15"/>
    </row>
    <row r="117" spans="1:14" ht="6.75" hidden="1" customHeight="1" x14ac:dyDescent="0.2">
      <c r="B117" s="14"/>
      <c r="M117" s="15"/>
    </row>
    <row r="118" spans="1:14" ht="21" hidden="1" customHeight="1" x14ac:dyDescent="0.2">
      <c r="B118" s="12">
        <v>24</v>
      </c>
      <c r="C118" s="287" t="s">
        <v>130</v>
      </c>
      <c r="D118" s="287"/>
      <c r="E118" s="287"/>
      <c r="F118" s="287"/>
      <c r="H118" s="203"/>
      <c r="I118" s="2"/>
      <c r="J118" s="2"/>
      <c r="K118" s="203"/>
      <c r="M118" s="15"/>
    </row>
    <row r="119" spans="1:14" ht="21" hidden="1" customHeight="1" x14ac:dyDescent="0.2">
      <c r="B119" s="12">
        <v>25</v>
      </c>
      <c r="C119" s="287" t="s">
        <v>131</v>
      </c>
      <c r="D119" s="287"/>
      <c r="E119" s="287"/>
      <c r="F119" s="287"/>
      <c r="H119" s="203"/>
      <c r="I119" s="2"/>
      <c r="J119" s="2"/>
      <c r="K119" s="203"/>
      <c r="M119" s="15"/>
    </row>
    <row r="120" spans="1:14" ht="21" hidden="1" customHeight="1" x14ac:dyDescent="0.2">
      <c r="B120" s="12">
        <v>26</v>
      </c>
      <c r="C120" s="287" t="s">
        <v>265</v>
      </c>
      <c r="D120" s="287"/>
      <c r="E120" s="287"/>
      <c r="F120" s="287"/>
      <c r="H120" s="208"/>
      <c r="I120" s="2"/>
      <c r="J120" s="2"/>
      <c r="K120" s="208"/>
      <c r="M120" s="15"/>
    </row>
    <row r="121" spans="1:14" ht="6.75" hidden="1" customHeight="1" x14ac:dyDescent="0.2">
      <c r="B121" s="14"/>
      <c r="M121" s="15"/>
    </row>
    <row r="122" spans="1:14" hidden="1" x14ac:dyDescent="0.2">
      <c r="B122" s="16"/>
      <c r="C122" s="80" t="s">
        <v>3</v>
      </c>
      <c r="H122" s="210">
        <f>IFERROR(SUM(H118:H120),0)</f>
        <v>0</v>
      </c>
      <c r="I122" s="3"/>
      <c r="J122" s="3"/>
      <c r="K122" s="210">
        <f>IFERROR(SUM(K118:K120),0)</f>
        <v>0</v>
      </c>
      <c r="M122" s="15"/>
    </row>
    <row r="123" spans="1:14" ht="12.5" hidden="1" customHeight="1" x14ac:dyDescent="0.2">
      <c r="B123" s="14"/>
      <c r="M123" s="15"/>
    </row>
    <row r="124" spans="1:14" ht="20" hidden="1" customHeight="1" x14ac:dyDescent="0.2">
      <c r="B124" s="14"/>
      <c r="C124" s="76" t="s">
        <v>78</v>
      </c>
      <c r="M124" s="15"/>
    </row>
    <row r="125" spans="1:14" ht="6.75" hidden="1" customHeight="1" x14ac:dyDescent="0.2">
      <c r="B125" s="14"/>
      <c r="M125" s="15"/>
    </row>
    <row r="126" spans="1:14" s="2" customFormat="1" ht="21" hidden="1" customHeight="1" x14ac:dyDescent="0.2">
      <c r="B126" s="12">
        <v>27</v>
      </c>
      <c r="C126" s="287" t="s">
        <v>132</v>
      </c>
      <c r="D126" s="287"/>
      <c r="E126" s="287"/>
      <c r="F126"/>
      <c r="G126"/>
      <c r="H126" s="208"/>
      <c r="K126" s="208"/>
      <c r="M126" s="13"/>
      <c r="N126"/>
    </row>
    <row r="127" spans="1:14" ht="12.5" hidden="1" customHeight="1" x14ac:dyDescent="0.2">
      <c r="B127" s="14"/>
      <c r="M127" s="15"/>
    </row>
    <row r="128" spans="1:14" ht="20" hidden="1" customHeight="1" x14ac:dyDescent="0.2">
      <c r="B128" s="14"/>
      <c r="C128" s="76" t="s">
        <v>68</v>
      </c>
      <c r="M128" s="15"/>
    </row>
    <row r="129" spans="2:13" ht="8.25" hidden="1" customHeight="1" x14ac:dyDescent="0.2">
      <c r="B129" s="14"/>
      <c r="M129" s="15"/>
    </row>
    <row r="130" spans="2:13" ht="21" hidden="1" customHeight="1" x14ac:dyDescent="0.2">
      <c r="B130" s="12">
        <v>28</v>
      </c>
      <c r="C130" s="287" t="s">
        <v>133</v>
      </c>
      <c r="D130" s="287"/>
      <c r="E130" s="287"/>
      <c r="F130" s="287"/>
      <c r="H130" s="203"/>
      <c r="I130" s="2"/>
      <c r="J130" s="2"/>
      <c r="K130" s="203"/>
      <c r="M130" s="15"/>
    </row>
    <row r="131" spans="2:13" ht="21" hidden="1" customHeight="1" x14ac:dyDescent="0.2">
      <c r="B131" s="12">
        <v>29</v>
      </c>
      <c r="C131" s="287" t="s">
        <v>584</v>
      </c>
      <c r="D131" s="287"/>
      <c r="E131" s="287"/>
      <c r="F131" s="287"/>
      <c r="G131" s="24" t="s">
        <v>9</v>
      </c>
      <c r="H131" s="209"/>
      <c r="I131" s="25" t="s">
        <v>10</v>
      </c>
      <c r="J131" s="24" t="s">
        <v>9</v>
      </c>
      <c r="K131" s="209"/>
      <c r="L131" s="25" t="s">
        <v>10</v>
      </c>
      <c r="M131" s="15"/>
    </row>
    <row r="132" spans="2:13" ht="21" hidden="1" customHeight="1" x14ac:dyDescent="0.2">
      <c r="B132" s="12">
        <v>30</v>
      </c>
      <c r="C132" s="287" t="s">
        <v>134</v>
      </c>
      <c r="D132" s="287"/>
      <c r="E132" s="287"/>
      <c r="F132" s="287"/>
      <c r="H132" s="203"/>
      <c r="I132" s="2"/>
      <c r="J132" s="2"/>
      <c r="K132" s="203"/>
      <c r="M132" s="15"/>
    </row>
    <row r="133" spans="2:13" ht="21" hidden="1" customHeight="1" x14ac:dyDescent="0.2">
      <c r="B133" s="12">
        <v>31</v>
      </c>
      <c r="C133" s="287" t="s">
        <v>135</v>
      </c>
      <c r="D133" s="287"/>
      <c r="E133" s="287"/>
      <c r="F133" s="287"/>
      <c r="H133" s="203"/>
      <c r="I133" s="2"/>
      <c r="J133" s="2"/>
      <c r="K133" s="203"/>
      <c r="M133" s="15"/>
    </row>
    <row r="134" spans="2:13" ht="21" hidden="1" customHeight="1" x14ac:dyDescent="0.2">
      <c r="B134" s="12">
        <v>32</v>
      </c>
      <c r="C134" s="287" t="s">
        <v>136</v>
      </c>
      <c r="D134" s="287"/>
      <c r="E134" s="287"/>
      <c r="F134" s="287"/>
      <c r="H134" s="203"/>
      <c r="I134" s="2"/>
      <c r="J134" s="2"/>
      <c r="K134" s="203"/>
      <c r="M134" s="15"/>
    </row>
    <row r="135" spans="2:13" ht="21" hidden="1" customHeight="1" x14ac:dyDescent="0.2">
      <c r="B135" s="12">
        <v>33</v>
      </c>
      <c r="C135" s="287" t="s">
        <v>595</v>
      </c>
      <c r="D135" s="287"/>
      <c r="E135" s="287"/>
      <c r="F135" s="287"/>
      <c r="H135" s="203"/>
      <c r="I135" s="2"/>
      <c r="J135" s="2"/>
      <c r="K135" s="203"/>
      <c r="M135" s="15"/>
    </row>
    <row r="136" spans="2:13" ht="21" hidden="1" customHeight="1" x14ac:dyDescent="0.2">
      <c r="B136" s="12">
        <v>34</v>
      </c>
      <c r="C136" s="287" t="s">
        <v>137</v>
      </c>
      <c r="D136" s="287"/>
      <c r="E136" s="287"/>
      <c r="F136" s="287"/>
      <c r="G136" s="24" t="s">
        <v>9</v>
      </c>
      <c r="H136" s="209"/>
      <c r="I136" s="25" t="s">
        <v>10</v>
      </c>
      <c r="J136" s="24" t="s">
        <v>9</v>
      </c>
      <c r="K136" s="209"/>
      <c r="L136" s="25" t="s">
        <v>10</v>
      </c>
      <c r="M136" s="15"/>
    </row>
    <row r="137" spans="2:13" ht="21" hidden="1" customHeight="1" x14ac:dyDescent="0.2">
      <c r="B137" s="12">
        <v>35</v>
      </c>
      <c r="C137" s="287" t="s">
        <v>507</v>
      </c>
      <c r="D137" s="287"/>
      <c r="E137" s="287"/>
      <c r="F137" s="287"/>
      <c r="G137" s="24" t="s">
        <v>9</v>
      </c>
      <c r="H137" s="214"/>
      <c r="I137" s="25" t="s">
        <v>10</v>
      </c>
      <c r="J137" s="24" t="s">
        <v>9</v>
      </c>
      <c r="K137" s="214"/>
      <c r="L137" s="25" t="s">
        <v>10</v>
      </c>
      <c r="M137" s="15"/>
    </row>
    <row r="138" spans="2:13" ht="6.75" hidden="1" customHeight="1" x14ac:dyDescent="0.2">
      <c r="B138" s="14"/>
      <c r="M138" s="15"/>
    </row>
    <row r="139" spans="2:13" hidden="1" x14ac:dyDescent="0.2">
      <c r="B139" s="12"/>
      <c r="C139" s="36" t="s">
        <v>3</v>
      </c>
      <c r="D139" s="3"/>
      <c r="E139" s="3"/>
      <c r="F139" s="3"/>
      <c r="G139" s="3"/>
      <c r="H139" s="210">
        <f>IFERROR(H130-H131+SUM(H132:H135)-H136-H137,0)</f>
        <v>0</v>
      </c>
      <c r="I139" s="3"/>
      <c r="J139" s="3"/>
      <c r="K139" s="210">
        <f>IFERROR(K130-K131+SUM(K132:K135)-K136-K137,0)</f>
        <v>0</v>
      </c>
      <c r="M139" s="15"/>
    </row>
    <row r="140" spans="2:13" ht="6.75" hidden="1" customHeight="1" x14ac:dyDescent="0.2">
      <c r="B140" s="14"/>
      <c r="M140" s="15"/>
    </row>
    <row r="141" spans="2:13" ht="21" hidden="1" customHeight="1" x14ac:dyDescent="0.2">
      <c r="B141" s="12">
        <v>36</v>
      </c>
      <c r="C141" s="287" t="s">
        <v>16</v>
      </c>
      <c r="D141" s="287"/>
      <c r="E141" s="287"/>
      <c r="F141" s="287"/>
      <c r="G141" s="287"/>
      <c r="H141" s="262"/>
      <c r="I141" s="2"/>
      <c r="J141" s="2"/>
      <c r="K141" s="262"/>
      <c r="M141" s="15"/>
    </row>
    <row r="142" spans="2:13" ht="6.75" hidden="1" customHeight="1" x14ac:dyDescent="0.2">
      <c r="B142" s="14"/>
      <c r="M142" s="15"/>
    </row>
    <row r="143" spans="2:13" hidden="1" x14ac:dyDescent="0.2">
      <c r="B143" s="16"/>
      <c r="C143" s="17" t="s">
        <v>93</v>
      </c>
      <c r="D143" s="3"/>
      <c r="E143" s="3"/>
      <c r="F143" s="3"/>
      <c r="G143" s="3"/>
      <c r="H143" s="210">
        <f>IFERROR(H139*H141,0)</f>
        <v>0</v>
      </c>
      <c r="I143" s="3"/>
      <c r="J143" s="3"/>
      <c r="K143" s="210">
        <f>IFERROR(K139*K141,0)</f>
        <v>0</v>
      </c>
      <c r="M143" s="15"/>
    </row>
    <row r="144" spans="2:13" ht="8.25" hidden="1" customHeight="1" thickBot="1" x14ac:dyDescent="0.25">
      <c r="B144" s="18"/>
      <c r="C144" s="19"/>
      <c r="D144" s="19"/>
      <c r="E144" s="19"/>
      <c r="F144" s="19"/>
      <c r="G144" s="19"/>
      <c r="H144" s="19"/>
      <c r="I144" s="19"/>
      <c r="J144" s="19"/>
      <c r="K144" s="19"/>
      <c r="L144" s="19"/>
      <c r="M144" s="20"/>
    </row>
    <row r="145" spans="1:14" ht="14" customHeight="1" thickBot="1" x14ac:dyDescent="0.25"/>
    <row r="146" spans="1:14" ht="21" customHeight="1" thickBot="1" x14ac:dyDescent="0.25">
      <c r="A146" s="2"/>
      <c r="B146" s="7" t="s">
        <v>2</v>
      </c>
      <c r="C146" s="293" t="s">
        <v>106</v>
      </c>
      <c r="D146" s="294"/>
      <c r="E146" s="295"/>
      <c r="F146" s="295"/>
      <c r="G146" s="295"/>
      <c r="H146" s="8">
        <f>IF(ISNUMBER($H$5),$H$5,"")</f>
        <v>2024</v>
      </c>
      <c r="I146" s="10"/>
      <c r="J146" s="10"/>
      <c r="K146" s="8">
        <f>IF(ISNUMBER($K$5),$K$5,"")</f>
        <v>2023</v>
      </c>
      <c r="L146" s="10"/>
      <c r="M146" s="11"/>
    </row>
    <row r="147" spans="1:14" ht="6.75" hidden="1" customHeight="1" x14ac:dyDescent="0.2">
      <c r="B147" s="22"/>
      <c r="C147" s="21"/>
      <c r="D147" s="21"/>
      <c r="E147" s="21"/>
      <c r="F147" s="21"/>
      <c r="G147" s="21"/>
      <c r="H147" s="21"/>
      <c r="I147" s="21"/>
      <c r="J147" s="21"/>
      <c r="K147" s="21"/>
      <c r="L147" s="21"/>
      <c r="M147" s="23"/>
    </row>
    <row r="148" spans="1:14" ht="20.5" hidden="1" customHeight="1" x14ac:dyDescent="0.2">
      <c r="B148" s="14"/>
      <c r="C148" s="76" t="s">
        <v>67</v>
      </c>
      <c r="M148" s="15"/>
    </row>
    <row r="149" spans="1:14" ht="6.75" hidden="1" customHeight="1" x14ac:dyDescent="0.2">
      <c r="B149" s="14"/>
      <c r="M149" s="15"/>
    </row>
    <row r="150" spans="1:14" ht="21" hidden="1" customHeight="1" x14ac:dyDescent="0.2">
      <c r="B150" s="12">
        <v>24</v>
      </c>
      <c r="C150" s="287" t="s">
        <v>130</v>
      </c>
      <c r="D150" s="287"/>
      <c r="E150" s="287"/>
      <c r="F150" s="287"/>
      <c r="H150" s="203"/>
      <c r="I150" s="2"/>
      <c r="J150" s="2"/>
      <c r="K150" s="203"/>
      <c r="M150" s="15"/>
    </row>
    <row r="151" spans="1:14" ht="21" hidden="1" customHeight="1" x14ac:dyDescent="0.2">
      <c r="B151" s="12">
        <v>25</v>
      </c>
      <c r="C151" s="287" t="s">
        <v>131</v>
      </c>
      <c r="D151" s="287"/>
      <c r="E151" s="287"/>
      <c r="F151" s="287"/>
      <c r="H151" s="203"/>
      <c r="I151" s="2"/>
      <c r="J151" s="2"/>
      <c r="K151" s="203"/>
      <c r="M151" s="15"/>
    </row>
    <row r="152" spans="1:14" ht="21" hidden="1" customHeight="1" x14ac:dyDescent="0.2">
      <c r="B152" s="12">
        <v>26</v>
      </c>
      <c r="C152" s="287" t="s">
        <v>265</v>
      </c>
      <c r="D152" s="287"/>
      <c r="E152" s="287"/>
      <c r="F152" s="287"/>
      <c r="H152" s="208"/>
      <c r="I152" s="2"/>
      <c r="J152" s="2"/>
      <c r="K152" s="208"/>
      <c r="M152" s="15"/>
    </row>
    <row r="153" spans="1:14" ht="6.75" hidden="1" customHeight="1" x14ac:dyDescent="0.2">
      <c r="B153" s="14"/>
      <c r="M153" s="15"/>
    </row>
    <row r="154" spans="1:14" hidden="1" x14ac:dyDescent="0.2">
      <c r="B154" s="16"/>
      <c r="C154" s="80" t="s">
        <v>3</v>
      </c>
      <c r="H154" s="210">
        <f>IFERROR(SUM(H150:H152),0)</f>
        <v>0</v>
      </c>
      <c r="I154" s="3"/>
      <c r="J154" s="3"/>
      <c r="K154" s="210">
        <f>IFERROR(SUM(K150:K152),0)</f>
        <v>0</v>
      </c>
      <c r="M154" s="15"/>
    </row>
    <row r="155" spans="1:14" ht="12.5" hidden="1" customHeight="1" x14ac:dyDescent="0.2">
      <c r="B155" s="14"/>
      <c r="M155" s="15"/>
    </row>
    <row r="156" spans="1:14" ht="20" hidden="1" customHeight="1" x14ac:dyDescent="0.2">
      <c r="B156" s="14"/>
      <c r="C156" s="76" t="s">
        <v>78</v>
      </c>
      <c r="M156" s="15"/>
    </row>
    <row r="157" spans="1:14" ht="6.75" hidden="1" customHeight="1" x14ac:dyDescent="0.2">
      <c r="B157" s="14"/>
      <c r="M157" s="15"/>
    </row>
    <row r="158" spans="1:14" s="2" customFormat="1" ht="21" hidden="1" customHeight="1" x14ac:dyDescent="0.2">
      <c r="B158" s="12">
        <v>27</v>
      </c>
      <c r="C158" s="287" t="s">
        <v>132</v>
      </c>
      <c r="D158" s="287"/>
      <c r="E158" s="287"/>
      <c r="F158"/>
      <c r="G158"/>
      <c r="H158" s="208"/>
      <c r="K158" s="208"/>
      <c r="M158" s="13"/>
      <c r="N158"/>
    </row>
    <row r="159" spans="1:14" ht="12.5" hidden="1" customHeight="1" x14ac:dyDescent="0.2">
      <c r="B159" s="14"/>
      <c r="M159" s="15"/>
    </row>
    <row r="160" spans="1:14" ht="20" hidden="1" customHeight="1" x14ac:dyDescent="0.2">
      <c r="B160" s="14"/>
      <c r="C160" s="76" t="s">
        <v>68</v>
      </c>
      <c r="M160" s="15"/>
    </row>
    <row r="161" spans="2:13" ht="8.25" hidden="1" customHeight="1" x14ac:dyDescent="0.2">
      <c r="B161" s="14"/>
      <c r="M161" s="15"/>
    </row>
    <row r="162" spans="2:13" ht="21" hidden="1" customHeight="1" x14ac:dyDescent="0.2">
      <c r="B162" s="12">
        <v>28</v>
      </c>
      <c r="C162" s="287" t="s">
        <v>133</v>
      </c>
      <c r="D162" s="287"/>
      <c r="E162" s="287"/>
      <c r="F162" s="287"/>
      <c r="H162" s="203"/>
      <c r="I162" s="2"/>
      <c r="J162" s="2"/>
      <c r="K162" s="203"/>
      <c r="M162" s="15"/>
    </row>
    <row r="163" spans="2:13" ht="21" hidden="1" customHeight="1" x14ac:dyDescent="0.2">
      <c r="B163" s="12">
        <v>29</v>
      </c>
      <c r="C163" s="287" t="s">
        <v>584</v>
      </c>
      <c r="D163" s="287"/>
      <c r="E163" s="287"/>
      <c r="F163" s="287"/>
      <c r="G163" s="24" t="s">
        <v>9</v>
      </c>
      <c r="H163" s="209"/>
      <c r="I163" s="25" t="s">
        <v>10</v>
      </c>
      <c r="J163" s="24" t="s">
        <v>9</v>
      </c>
      <c r="K163" s="209"/>
      <c r="L163" s="25" t="s">
        <v>10</v>
      </c>
      <c r="M163" s="15"/>
    </row>
    <row r="164" spans="2:13" ht="21" hidden="1" customHeight="1" x14ac:dyDescent="0.2">
      <c r="B164" s="12">
        <v>30</v>
      </c>
      <c r="C164" s="287" t="s">
        <v>134</v>
      </c>
      <c r="D164" s="287"/>
      <c r="E164" s="287"/>
      <c r="F164" s="287"/>
      <c r="H164" s="203"/>
      <c r="I164" s="2"/>
      <c r="J164" s="2"/>
      <c r="K164" s="203"/>
      <c r="M164" s="15"/>
    </row>
    <row r="165" spans="2:13" ht="21" hidden="1" customHeight="1" x14ac:dyDescent="0.2">
      <c r="B165" s="12">
        <v>31</v>
      </c>
      <c r="C165" s="287" t="s">
        <v>135</v>
      </c>
      <c r="D165" s="287"/>
      <c r="E165" s="287"/>
      <c r="F165" s="287"/>
      <c r="H165" s="203"/>
      <c r="I165" s="2"/>
      <c r="J165" s="2"/>
      <c r="K165" s="203"/>
      <c r="M165" s="15"/>
    </row>
    <row r="166" spans="2:13" ht="21" hidden="1" customHeight="1" x14ac:dyDescent="0.2">
      <c r="B166" s="12">
        <v>32</v>
      </c>
      <c r="C166" s="287" t="s">
        <v>136</v>
      </c>
      <c r="D166" s="287"/>
      <c r="E166" s="287"/>
      <c r="F166" s="287"/>
      <c r="H166" s="203"/>
      <c r="I166" s="2"/>
      <c r="J166" s="2"/>
      <c r="K166" s="203"/>
      <c r="M166" s="15"/>
    </row>
    <row r="167" spans="2:13" ht="21" hidden="1" customHeight="1" x14ac:dyDescent="0.2">
      <c r="B167" s="12">
        <v>33</v>
      </c>
      <c r="C167" s="287" t="s">
        <v>595</v>
      </c>
      <c r="D167" s="287"/>
      <c r="E167" s="287"/>
      <c r="F167" s="287"/>
      <c r="H167" s="203"/>
      <c r="I167" s="2"/>
      <c r="J167" s="2"/>
      <c r="K167" s="203"/>
      <c r="M167" s="15"/>
    </row>
    <row r="168" spans="2:13" ht="21" hidden="1" customHeight="1" x14ac:dyDescent="0.2">
      <c r="B168" s="12">
        <v>34</v>
      </c>
      <c r="C168" s="287" t="s">
        <v>137</v>
      </c>
      <c r="D168" s="287"/>
      <c r="E168" s="287"/>
      <c r="F168" s="287"/>
      <c r="G168" s="24" t="s">
        <v>9</v>
      </c>
      <c r="H168" s="209"/>
      <c r="I168" s="25" t="s">
        <v>10</v>
      </c>
      <c r="J168" s="24" t="s">
        <v>9</v>
      </c>
      <c r="K168" s="209"/>
      <c r="L168" s="25" t="s">
        <v>10</v>
      </c>
      <c r="M168" s="15"/>
    </row>
    <row r="169" spans="2:13" ht="21" hidden="1" customHeight="1" x14ac:dyDescent="0.2">
      <c r="B169" s="12">
        <v>35</v>
      </c>
      <c r="C169" s="287" t="s">
        <v>507</v>
      </c>
      <c r="D169" s="287"/>
      <c r="E169" s="287"/>
      <c r="F169" s="287"/>
      <c r="G169" s="24" t="s">
        <v>9</v>
      </c>
      <c r="H169" s="214"/>
      <c r="I169" s="25" t="s">
        <v>10</v>
      </c>
      <c r="J169" s="24" t="s">
        <v>9</v>
      </c>
      <c r="K169" s="214"/>
      <c r="L169" s="25" t="s">
        <v>10</v>
      </c>
      <c r="M169" s="15"/>
    </row>
    <row r="170" spans="2:13" ht="6.75" hidden="1" customHeight="1" x14ac:dyDescent="0.2">
      <c r="B170" s="14"/>
      <c r="M170" s="15"/>
    </row>
    <row r="171" spans="2:13" hidden="1" x14ac:dyDescent="0.2">
      <c r="B171" s="12"/>
      <c r="C171" s="36" t="s">
        <v>3</v>
      </c>
      <c r="D171" s="3"/>
      <c r="E171" s="3"/>
      <c r="F171" s="3"/>
      <c r="G171" s="3"/>
      <c r="H171" s="210">
        <f>IFERROR(H162-H163+SUM(H164:H167)-H168-H169,0)</f>
        <v>0</v>
      </c>
      <c r="I171" s="3"/>
      <c r="J171" s="3"/>
      <c r="K171" s="210">
        <f>IFERROR(K162-K163+SUM(K164:K167)-K168-K169,0)</f>
        <v>0</v>
      </c>
      <c r="M171" s="15"/>
    </row>
    <row r="172" spans="2:13" ht="6.75" hidden="1" customHeight="1" x14ac:dyDescent="0.2">
      <c r="B172" s="14"/>
      <c r="M172" s="15"/>
    </row>
    <row r="173" spans="2:13" ht="21" hidden="1" customHeight="1" x14ac:dyDescent="0.2">
      <c r="B173" s="12">
        <v>36</v>
      </c>
      <c r="C173" s="287" t="s">
        <v>16</v>
      </c>
      <c r="D173" s="287"/>
      <c r="E173" s="287"/>
      <c r="F173" s="287"/>
      <c r="G173" s="287"/>
      <c r="H173" s="262"/>
      <c r="I173" s="2"/>
      <c r="J173" s="2"/>
      <c r="K173" s="262"/>
      <c r="M173" s="15"/>
    </row>
    <row r="174" spans="2:13" ht="6.75" hidden="1" customHeight="1" x14ac:dyDescent="0.2">
      <c r="B174" s="14"/>
      <c r="M174" s="15"/>
    </row>
    <row r="175" spans="2:13" hidden="1" x14ac:dyDescent="0.2">
      <c r="B175" s="16"/>
      <c r="C175" s="17" t="s">
        <v>93</v>
      </c>
      <c r="D175" s="3"/>
      <c r="E175" s="3"/>
      <c r="F175" s="3"/>
      <c r="G175" s="3"/>
      <c r="H175" s="210">
        <f>IFERROR(H171*H173,0)</f>
        <v>0</v>
      </c>
      <c r="I175" s="3"/>
      <c r="J175" s="3"/>
      <c r="K175" s="210">
        <f>IFERROR(K171*K173,0)</f>
        <v>0</v>
      </c>
      <c r="M175" s="15"/>
    </row>
    <row r="176" spans="2:13" ht="8.25" hidden="1" customHeight="1" thickBot="1" x14ac:dyDescent="0.25">
      <c r="B176" s="18"/>
      <c r="C176" s="19"/>
      <c r="D176" s="19"/>
      <c r="E176" s="19"/>
      <c r="F176" s="19"/>
      <c r="G176" s="19"/>
      <c r="H176" s="19"/>
      <c r="I176" s="19"/>
      <c r="J176" s="19"/>
      <c r="K176" s="19"/>
      <c r="L176" s="19"/>
      <c r="M176" s="20"/>
    </row>
    <row r="177" spans="1:14" ht="14" customHeight="1" thickBot="1" x14ac:dyDescent="0.25"/>
    <row r="178" spans="1:14" ht="21" customHeight="1" thickBot="1" x14ac:dyDescent="0.25">
      <c r="A178" s="2"/>
      <c r="B178" s="7" t="s">
        <v>2</v>
      </c>
      <c r="C178" s="293" t="s">
        <v>106</v>
      </c>
      <c r="D178" s="294"/>
      <c r="E178" s="295"/>
      <c r="F178" s="295"/>
      <c r="G178" s="295"/>
      <c r="H178" s="8">
        <f>IF(ISNUMBER($H$5),$H$5,"")</f>
        <v>2024</v>
      </c>
      <c r="I178" s="10"/>
      <c r="J178" s="10"/>
      <c r="K178" s="8">
        <f>IF(ISNUMBER($K$5),$K$5,"")</f>
        <v>2023</v>
      </c>
      <c r="L178" s="10"/>
      <c r="M178" s="11"/>
    </row>
    <row r="179" spans="1:14" ht="6.75" hidden="1" customHeight="1" x14ac:dyDescent="0.2">
      <c r="B179" s="22"/>
      <c r="C179" s="21"/>
      <c r="D179" s="21"/>
      <c r="E179" s="21"/>
      <c r="F179" s="21"/>
      <c r="G179" s="21"/>
      <c r="H179" s="21"/>
      <c r="I179" s="21"/>
      <c r="J179" s="21"/>
      <c r="K179" s="21"/>
      <c r="L179" s="21"/>
      <c r="M179" s="23"/>
    </row>
    <row r="180" spans="1:14" ht="20.5" hidden="1" customHeight="1" x14ac:dyDescent="0.2">
      <c r="B180" s="14"/>
      <c r="C180" s="76" t="s">
        <v>67</v>
      </c>
      <c r="M180" s="15"/>
    </row>
    <row r="181" spans="1:14" ht="6.75" hidden="1" customHeight="1" x14ac:dyDescent="0.2">
      <c r="B181" s="14"/>
      <c r="M181" s="15"/>
    </row>
    <row r="182" spans="1:14" ht="21" hidden="1" customHeight="1" x14ac:dyDescent="0.2">
      <c r="B182" s="12">
        <v>24</v>
      </c>
      <c r="C182" s="287" t="s">
        <v>130</v>
      </c>
      <c r="D182" s="287"/>
      <c r="E182" s="287"/>
      <c r="F182" s="287"/>
      <c r="H182" s="203"/>
      <c r="I182" s="2"/>
      <c r="J182" s="2"/>
      <c r="K182" s="203"/>
      <c r="M182" s="15"/>
    </row>
    <row r="183" spans="1:14" ht="21" hidden="1" customHeight="1" x14ac:dyDescent="0.2">
      <c r="B183" s="12">
        <v>25</v>
      </c>
      <c r="C183" s="287" t="s">
        <v>131</v>
      </c>
      <c r="D183" s="287"/>
      <c r="E183" s="287"/>
      <c r="F183" s="287"/>
      <c r="H183" s="203"/>
      <c r="I183" s="2"/>
      <c r="J183" s="2"/>
      <c r="K183" s="203"/>
      <c r="M183" s="15"/>
    </row>
    <row r="184" spans="1:14" ht="21" hidden="1" customHeight="1" x14ac:dyDescent="0.2">
      <c r="B184" s="12">
        <v>26</v>
      </c>
      <c r="C184" s="287" t="s">
        <v>265</v>
      </c>
      <c r="D184" s="287"/>
      <c r="E184" s="287"/>
      <c r="F184" s="287"/>
      <c r="H184" s="208"/>
      <c r="I184" s="2"/>
      <c r="J184" s="2"/>
      <c r="K184" s="208"/>
      <c r="M184" s="15"/>
    </row>
    <row r="185" spans="1:14" ht="6.75" hidden="1" customHeight="1" x14ac:dyDescent="0.2">
      <c r="B185" s="14"/>
      <c r="M185" s="15"/>
    </row>
    <row r="186" spans="1:14" hidden="1" x14ac:dyDescent="0.2">
      <c r="B186" s="16"/>
      <c r="C186" s="80" t="s">
        <v>3</v>
      </c>
      <c r="H186" s="210">
        <f>IFERROR(SUM(H182:H184),0)</f>
        <v>0</v>
      </c>
      <c r="I186" s="3"/>
      <c r="J186" s="3"/>
      <c r="K186" s="210">
        <f>IFERROR(SUM(K182:K184),0)</f>
        <v>0</v>
      </c>
      <c r="M186" s="15"/>
    </row>
    <row r="187" spans="1:14" ht="12.5" hidden="1" customHeight="1" x14ac:dyDescent="0.2">
      <c r="B187" s="14"/>
      <c r="M187" s="15"/>
    </row>
    <row r="188" spans="1:14" ht="20" hidden="1" customHeight="1" x14ac:dyDescent="0.2">
      <c r="B188" s="14"/>
      <c r="C188" s="76" t="s">
        <v>78</v>
      </c>
      <c r="M188" s="15"/>
    </row>
    <row r="189" spans="1:14" ht="6.75" hidden="1" customHeight="1" x14ac:dyDescent="0.2">
      <c r="B189" s="14"/>
      <c r="M189" s="15"/>
    </row>
    <row r="190" spans="1:14" s="2" customFormat="1" ht="21" hidden="1" customHeight="1" x14ac:dyDescent="0.2">
      <c r="B190" s="12">
        <v>27</v>
      </c>
      <c r="C190" s="287" t="s">
        <v>132</v>
      </c>
      <c r="D190" s="287"/>
      <c r="E190" s="287"/>
      <c r="F190"/>
      <c r="G190"/>
      <c r="H190" s="208"/>
      <c r="K190" s="208"/>
      <c r="M190" s="13"/>
      <c r="N190"/>
    </row>
    <row r="191" spans="1:14" ht="12.5" hidden="1" customHeight="1" x14ac:dyDescent="0.2">
      <c r="B191" s="14"/>
      <c r="M191" s="15"/>
    </row>
    <row r="192" spans="1:14" ht="20" hidden="1" customHeight="1" x14ac:dyDescent="0.2">
      <c r="B192" s="14"/>
      <c r="C192" s="76" t="s">
        <v>68</v>
      </c>
      <c r="M192" s="15"/>
    </row>
    <row r="193" spans="2:13" ht="8.25" hidden="1" customHeight="1" x14ac:dyDescent="0.2">
      <c r="B193" s="14"/>
      <c r="M193" s="15"/>
    </row>
    <row r="194" spans="2:13" ht="21" hidden="1" customHeight="1" x14ac:dyDescent="0.2">
      <c r="B194" s="12">
        <v>28</v>
      </c>
      <c r="C194" s="287" t="s">
        <v>133</v>
      </c>
      <c r="D194" s="287"/>
      <c r="E194" s="287"/>
      <c r="F194" s="287"/>
      <c r="H194" s="203"/>
      <c r="I194" s="2"/>
      <c r="J194" s="2"/>
      <c r="K194" s="203"/>
      <c r="M194" s="15"/>
    </row>
    <row r="195" spans="2:13" ht="21" hidden="1" customHeight="1" x14ac:dyDescent="0.2">
      <c r="B195" s="12">
        <v>29</v>
      </c>
      <c r="C195" s="287" t="s">
        <v>584</v>
      </c>
      <c r="D195" s="287"/>
      <c r="E195" s="287"/>
      <c r="F195" s="287"/>
      <c r="G195" s="24" t="s">
        <v>9</v>
      </c>
      <c r="H195" s="209"/>
      <c r="I195" s="25" t="s">
        <v>10</v>
      </c>
      <c r="J195" s="24" t="s">
        <v>9</v>
      </c>
      <c r="K195" s="209"/>
      <c r="L195" s="25" t="s">
        <v>10</v>
      </c>
      <c r="M195" s="15"/>
    </row>
    <row r="196" spans="2:13" ht="21" hidden="1" customHeight="1" x14ac:dyDescent="0.2">
      <c r="B196" s="12">
        <v>30</v>
      </c>
      <c r="C196" s="287" t="s">
        <v>134</v>
      </c>
      <c r="D196" s="287"/>
      <c r="E196" s="287"/>
      <c r="F196" s="287"/>
      <c r="H196" s="203"/>
      <c r="I196" s="2"/>
      <c r="J196" s="2"/>
      <c r="K196" s="203"/>
      <c r="M196" s="15"/>
    </row>
    <row r="197" spans="2:13" ht="21" hidden="1" customHeight="1" x14ac:dyDescent="0.2">
      <c r="B197" s="12">
        <v>31</v>
      </c>
      <c r="C197" s="287" t="s">
        <v>135</v>
      </c>
      <c r="D197" s="287"/>
      <c r="E197" s="287"/>
      <c r="F197" s="287"/>
      <c r="H197" s="203"/>
      <c r="I197" s="2"/>
      <c r="J197" s="2"/>
      <c r="K197" s="203"/>
      <c r="M197" s="15"/>
    </row>
    <row r="198" spans="2:13" ht="21" hidden="1" customHeight="1" x14ac:dyDescent="0.2">
      <c r="B198" s="12">
        <v>32</v>
      </c>
      <c r="C198" s="287" t="s">
        <v>136</v>
      </c>
      <c r="D198" s="287"/>
      <c r="E198" s="287"/>
      <c r="F198" s="287"/>
      <c r="H198" s="203"/>
      <c r="I198" s="2"/>
      <c r="J198" s="2"/>
      <c r="K198" s="203"/>
      <c r="M198" s="15"/>
    </row>
    <row r="199" spans="2:13" ht="21" hidden="1" customHeight="1" x14ac:dyDescent="0.2">
      <c r="B199" s="12">
        <v>33</v>
      </c>
      <c r="C199" s="287" t="s">
        <v>595</v>
      </c>
      <c r="D199" s="287"/>
      <c r="E199" s="287"/>
      <c r="F199" s="287"/>
      <c r="H199" s="203"/>
      <c r="I199" s="2"/>
      <c r="J199" s="2"/>
      <c r="K199" s="203"/>
      <c r="M199" s="15"/>
    </row>
    <row r="200" spans="2:13" ht="21" hidden="1" customHeight="1" x14ac:dyDescent="0.2">
      <c r="B200" s="12">
        <v>34</v>
      </c>
      <c r="C200" s="287" t="s">
        <v>137</v>
      </c>
      <c r="D200" s="287"/>
      <c r="E200" s="287"/>
      <c r="F200" s="287"/>
      <c r="G200" s="24" t="s">
        <v>9</v>
      </c>
      <c r="H200" s="209"/>
      <c r="I200" s="25" t="s">
        <v>10</v>
      </c>
      <c r="J200" s="24" t="s">
        <v>9</v>
      </c>
      <c r="K200" s="209"/>
      <c r="L200" s="25" t="s">
        <v>10</v>
      </c>
      <c r="M200" s="15"/>
    </row>
    <row r="201" spans="2:13" ht="21" hidden="1" customHeight="1" x14ac:dyDescent="0.2">
      <c r="B201" s="12">
        <v>35</v>
      </c>
      <c r="C201" s="287" t="s">
        <v>507</v>
      </c>
      <c r="D201" s="287"/>
      <c r="E201" s="287"/>
      <c r="F201" s="287"/>
      <c r="G201" s="24" t="s">
        <v>9</v>
      </c>
      <c r="H201" s="214"/>
      <c r="I201" s="25" t="s">
        <v>10</v>
      </c>
      <c r="J201" s="24" t="s">
        <v>9</v>
      </c>
      <c r="K201" s="214"/>
      <c r="L201" s="25" t="s">
        <v>10</v>
      </c>
      <c r="M201" s="15"/>
    </row>
    <row r="202" spans="2:13" ht="6.75" hidden="1" customHeight="1" x14ac:dyDescent="0.2">
      <c r="B202" s="14"/>
      <c r="M202" s="15"/>
    </row>
    <row r="203" spans="2:13" hidden="1" x14ac:dyDescent="0.2">
      <c r="B203" s="12"/>
      <c r="C203" s="36" t="s">
        <v>3</v>
      </c>
      <c r="D203" s="3"/>
      <c r="E203" s="3"/>
      <c r="F203" s="3"/>
      <c r="G203" s="3"/>
      <c r="H203" s="210">
        <f>IFERROR(H194-H195+SUM(H196:H199)-H200-H201,0)</f>
        <v>0</v>
      </c>
      <c r="I203" s="3"/>
      <c r="J203" s="3"/>
      <c r="K203" s="210">
        <f>IFERROR(K194-K195+SUM(K196:K199)-K200-K201,0)</f>
        <v>0</v>
      </c>
      <c r="M203" s="15"/>
    </row>
    <row r="204" spans="2:13" ht="6.75" hidden="1" customHeight="1" x14ac:dyDescent="0.2">
      <c r="B204" s="14"/>
      <c r="M204" s="15"/>
    </row>
    <row r="205" spans="2:13" ht="21" hidden="1" customHeight="1" x14ac:dyDescent="0.2">
      <c r="B205" s="12">
        <v>36</v>
      </c>
      <c r="C205" s="287" t="s">
        <v>16</v>
      </c>
      <c r="D205" s="287"/>
      <c r="E205" s="287"/>
      <c r="F205" s="287"/>
      <c r="G205" s="287"/>
      <c r="H205" s="262"/>
      <c r="I205" s="2"/>
      <c r="J205" s="2"/>
      <c r="K205" s="262"/>
      <c r="M205" s="15"/>
    </row>
    <row r="206" spans="2:13" ht="6.75" hidden="1" customHeight="1" x14ac:dyDescent="0.2">
      <c r="B206" s="14"/>
      <c r="M206" s="15"/>
    </row>
    <row r="207" spans="2:13" hidden="1" x14ac:dyDescent="0.2">
      <c r="B207" s="16"/>
      <c r="C207" s="17" t="s">
        <v>93</v>
      </c>
      <c r="D207" s="3"/>
      <c r="E207" s="3"/>
      <c r="F207" s="3"/>
      <c r="G207" s="3"/>
      <c r="H207" s="210">
        <f>IFERROR(H203*H205,0)</f>
        <v>0</v>
      </c>
      <c r="I207" s="3"/>
      <c r="J207" s="3"/>
      <c r="K207" s="210">
        <f>IFERROR(K203*K205,0)</f>
        <v>0</v>
      </c>
      <c r="M207" s="15"/>
    </row>
    <row r="208" spans="2:13" ht="8.25" hidden="1" customHeight="1" thickBot="1" x14ac:dyDescent="0.25">
      <c r="B208" s="18"/>
      <c r="C208" s="19"/>
      <c r="D208" s="19"/>
      <c r="E208" s="19"/>
      <c r="F208" s="19"/>
      <c r="G208" s="19"/>
      <c r="H208" s="19"/>
      <c r="I208" s="19"/>
      <c r="J208" s="19"/>
      <c r="K208" s="19"/>
      <c r="L208" s="19"/>
      <c r="M208" s="20"/>
    </row>
    <row r="209" spans="1:14" ht="14" customHeight="1" thickBot="1" x14ac:dyDescent="0.25"/>
    <row r="210" spans="1:14" ht="21" customHeight="1" thickBot="1" x14ac:dyDescent="0.25">
      <c r="A210" s="2"/>
      <c r="B210" s="7" t="s">
        <v>2</v>
      </c>
      <c r="C210" s="293" t="s">
        <v>106</v>
      </c>
      <c r="D210" s="294"/>
      <c r="E210" s="295"/>
      <c r="F210" s="295"/>
      <c r="G210" s="295"/>
      <c r="H210" s="8">
        <f>IF(ISNUMBER($H$5),$H$5,"")</f>
        <v>2024</v>
      </c>
      <c r="I210" s="10"/>
      <c r="J210" s="10"/>
      <c r="K210" s="8">
        <f>IF(ISNUMBER($K$5),$K$5,"")</f>
        <v>2023</v>
      </c>
      <c r="L210" s="10"/>
      <c r="M210" s="11"/>
    </row>
    <row r="211" spans="1:14" ht="6.75" hidden="1" customHeight="1" x14ac:dyDescent="0.2">
      <c r="B211" s="22"/>
      <c r="C211" s="21"/>
      <c r="D211" s="21"/>
      <c r="E211" s="21"/>
      <c r="F211" s="21"/>
      <c r="G211" s="21"/>
      <c r="H211" s="21"/>
      <c r="I211" s="21"/>
      <c r="J211" s="21"/>
      <c r="K211" s="21"/>
      <c r="L211" s="21"/>
      <c r="M211" s="23"/>
    </row>
    <row r="212" spans="1:14" ht="20.5" hidden="1" customHeight="1" x14ac:dyDescent="0.2">
      <c r="B212" s="14"/>
      <c r="C212" s="76" t="s">
        <v>67</v>
      </c>
      <c r="M212" s="15"/>
    </row>
    <row r="213" spans="1:14" ht="6.75" hidden="1" customHeight="1" x14ac:dyDescent="0.2">
      <c r="B213" s="14"/>
      <c r="M213" s="15"/>
    </row>
    <row r="214" spans="1:14" ht="21" hidden="1" customHeight="1" x14ac:dyDescent="0.2">
      <c r="B214" s="12">
        <v>24</v>
      </c>
      <c r="C214" s="287" t="s">
        <v>130</v>
      </c>
      <c r="D214" s="287"/>
      <c r="E214" s="287"/>
      <c r="F214" s="287"/>
      <c r="H214" s="203"/>
      <c r="I214" s="2"/>
      <c r="J214" s="2"/>
      <c r="K214" s="203"/>
      <c r="M214" s="15"/>
    </row>
    <row r="215" spans="1:14" ht="21" hidden="1" customHeight="1" x14ac:dyDescent="0.2">
      <c r="B215" s="12">
        <v>25</v>
      </c>
      <c r="C215" s="287" t="s">
        <v>131</v>
      </c>
      <c r="D215" s="287"/>
      <c r="E215" s="287"/>
      <c r="F215" s="287"/>
      <c r="H215" s="203"/>
      <c r="I215" s="2"/>
      <c r="J215" s="2"/>
      <c r="K215" s="203"/>
      <c r="M215" s="15"/>
    </row>
    <row r="216" spans="1:14" ht="21" hidden="1" customHeight="1" x14ac:dyDescent="0.2">
      <c r="B216" s="12">
        <v>26</v>
      </c>
      <c r="C216" s="287" t="s">
        <v>265</v>
      </c>
      <c r="D216" s="287"/>
      <c r="E216" s="287"/>
      <c r="F216" s="287"/>
      <c r="H216" s="208"/>
      <c r="I216" s="2"/>
      <c r="J216" s="2"/>
      <c r="K216" s="208"/>
      <c r="M216" s="15"/>
    </row>
    <row r="217" spans="1:14" ht="6.75" hidden="1" customHeight="1" x14ac:dyDescent="0.2">
      <c r="B217" s="14"/>
      <c r="M217" s="15"/>
    </row>
    <row r="218" spans="1:14" hidden="1" x14ac:dyDescent="0.2">
      <c r="B218" s="16"/>
      <c r="C218" s="80" t="s">
        <v>3</v>
      </c>
      <c r="H218" s="210">
        <f>IFERROR(SUM(H214:H216),0)</f>
        <v>0</v>
      </c>
      <c r="I218" s="3"/>
      <c r="J218" s="3"/>
      <c r="K218" s="210">
        <f>IFERROR(SUM(K214:K216),0)</f>
        <v>0</v>
      </c>
      <c r="M218" s="15"/>
    </row>
    <row r="219" spans="1:14" ht="12.5" hidden="1" customHeight="1" x14ac:dyDescent="0.2">
      <c r="B219" s="14"/>
      <c r="M219" s="15"/>
    </row>
    <row r="220" spans="1:14" ht="20" hidden="1" customHeight="1" x14ac:dyDescent="0.2">
      <c r="B220" s="14"/>
      <c r="C220" s="76" t="s">
        <v>78</v>
      </c>
      <c r="M220" s="15"/>
    </row>
    <row r="221" spans="1:14" ht="6.75" hidden="1" customHeight="1" x14ac:dyDescent="0.2">
      <c r="B221" s="14"/>
      <c r="M221" s="15"/>
    </row>
    <row r="222" spans="1:14" s="2" customFormat="1" ht="21" hidden="1" customHeight="1" x14ac:dyDescent="0.2">
      <c r="B222" s="12">
        <v>27</v>
      </c>
      <c r="C222" s="287" t="s">
        <v>132</v>
      </c>
      <c r="D222" s="287"/>
      <c r="E222" s="287"/>
      <c r="F222"/>
      <c r="G222"/>
      <c r="H222" s="208"/>
      <c r="K222" s="208"/>
      <c r="M222" s="13"/>
      <c r="N222"/>
    </row>
    <row r="223" spans="1:14" ht="12.5" hidden="1" customHeight="1" x14ac:dyDescent="0.2">
      <c r="B223" s="14"/>
      <c r="M223" s="15"/>
    </row>
    <row r="224" spans="1:14" ht="20" hidden="1" customHeight="1" x14ac:dyDescent="0.2">
      <c r="B224" s="14"/>
      <c r="C224" s="76" t="s">
        <v>68</v>
      </c>
      <c r="M224" s="15"/>
    </row>
    <row r="225" spans="2:13" ht="8.25" hidden="1" customHeight="1" x14ac:dyDescent="0.2">
      <c r="B225" s="14"/>
      <c r="M225" s="15"/>
    </row>
    <row r="226" spans="2:13" ht="21" hidden="1" customHeight="1" x14ac:dyDescent="0.2">
      <c r="B226" s="12">
        <v>28</v>
      </c>
      <c r="C226" s="287" t="s">
        <v>133</v>
      </c>
      <c r="D226" s="287"/>
      <c r="E226" s="287"/>
      <c r="F226" s="287"/>
      <c r="H226" s="203"/>
      <c r="I226" s="2"/>
      <c r="J226" s="2"/>
      <c r="K226" s="203"/>
      <c r="M226" s="15"/>
    </row>
    <row r="227" spans="2:13" ht="21" hidden="1" customHeight="1" x14ac:dyDescent="0.2">
      <c r="B227" s="12">
        <v>29</v>
      </c>
      <c r="C227" s="287" t="s">
        <v>584</v>
      </c>
      <c r="D227" s="287"/>
      <c r="E227" s="287"/>
      <c r="F227" s="287"/>
      <c r="G227" s="24" t="s">
        <v>9</v>
      </c>
      <c r="H227" s="209"/>
      <c r="I227" s="25" t="s">
        <v>10</v>
      </c>
      <c r="J227" s="24" t="s">
        <v>9</v>
      </c>
      <c r="K227" s="209"/>
      <c r="L227" s="25" t="s">
        <v>10</v>
      </c>
      <c r="M227" s="15"/>
    </row>
    <row r="228" spans="2:13" ht="21" hidden="1" customHeight="1" x14ac:dyDescent="0.2">
      <c r="B228" s="12">
        <v>30</v>
      </c>
      <c r="C228" s="287" t="s">
        <v>134</v>
      </c>
      <c r="D228" s="287"/>
      <c r="E228" s="287"/>
      <c r="F228" s="287"/>
      <c r="H228" s="203"/>
      <c r="I228" s="2"/>
      <c r="J228" s="2"/>
      <c r="K228" s="203"/>
      <c r="M228" s="15"/>
    </row>
    <row r="229" spans="2:13" ht="21" hidden="1" customHeight="1" x14ac:dyDescent="0.2">
      <c r="B229" s="12">
        <v>31</v>
      </c>
      <c r="C229" s="287" t="s">
        <v>135</v>
      </c>
      <c r="D229" s="287"/>
      <c r="E229" s="287"/>
      <c r="F229" s="287"/>
      <c r="H229" s="203"/>
      <c r="I229" s="2"/>
      <c r="J229" s="2"/>
      <c r="K229" s="203"/>
      <c r="M229" s="15"/>
    </row>
    <row r="230" spans="2:13" ht="21" hidden="1" customHeight="1" x14ac:dyDescent="0.2">
      <c r="B230" s="12">
        <v>32</v>
      </c>
      <c r="C230" s="287" t="s">
        <v>136</v>
      </c>
      <c r="D230" s="287"/>
      <c r="E230" s="287"/>
      <c r="F230" s="287"/>
      <c r="H230" s="203"/>
      <c r="I230" s="2"/>
      <c r="J230" s="2"/>
      <c r="K230" s="203"/>
      <c r="M230" s="15"/>
    </row>
    <row r="231" spans="2:13" ht="21" hidden="1" customHeight="1" x14ac:dyDescent="0.2">
      <c r="B231" s="12">
        <v>33</v>
      </c>
      <c r="C231" s="287" t="s">
        <v>595</v>
      </c>
      <c r="D231" s="287"/>
      <c r="E231" s="287"/>
      <c r="F231" s="287"/>
      <c r="H231" s="203"/>
      <c r="I231" s="2"/>
      <c r="J231" s="2"/>
      <c r="K231" s="203"/>
      <c r="M231" s="15"/>
    </row>
    <row r="232" spans="2:13" ht="21" hidden="1" customHeight="1" x14ac:dyDescent="0.2">
      <c r="B232" s="12">
        <v>34</v>
      </c>
      <c r="C232" s="287" t="s">
        <v>137</v>
      </c>
      <c r="D232" s="287"/>
      <c r="E232" s="287"/>
      <c r="F232" s="287"/>
      <c r="G232" s="24" t="s">
        <v>9</v>
      </c>
      <c r="H232" s="209"/>
      <c r="I232" s="25" t="s">
        <v>10</v>
      </c>
      <c r="J232" s="24" t="s">
        <v>9</v>
      </c>
      <c r="K232" s="209"/>
      <c r="L232" s="25" t="s">
        <v>10</v>
      </c>
      <c r="M232" s="15"/>
    </row>
    <row r="233" spans="2:13" ht="21" hidden="1" customHeight="1" x14ac:dyDescent="0.2">
      <c r="B233" s="12">
        <v>35</v>
      </c>
      <c r="C233" s="287" t="s">
        <v>507</v>
      </c>
      <c r="D233" s="287"/>
      <c r="E233" s="287"/>
      <c r="F233" s="287"/>
      <c r="G233" s="24" t="s">
        <v>9</v>
      </c>
      <c r="H233" s="214"/>
      <c r="I233" s="25" t="s">
        <v>10</v>
      </c>
      <c r="J233" s="24" t="s">
        <v>9</v>
      </c>
      <c r="K233" s="214"/>
      <c r="L233" s="25" t="s">
        <v>10</v>
      </c>
      <c r="M233" s="15"/>
    </row>
    <row r="234" spans="2:13" ht="6.75" hidden="1" customHeight="1" x14ac:dyDescent="0.2">
      <c r="B234" s="14"/>
      <c r="M234" s="15"/>
    </row>
    <row r="235" spans="2:13" hidden="1" x14ac:dyDescent="0.2">
      <c r="B235" s="12"/>
      <c r="C235" s="36" t="s">
        <v>3</v>
      </c>
      <c r="D235" s="3"/>
      <c r="E235" s="3"/>
      <c r="F235" s="3"/>
      <c r="G235" s="3"/>
      <c r="H235" s="210">
        <f>IFERROR(H226-H227+SUM(H228:H231)-H232-H233,0)</f>
        <v>0</v>
      </c>
      <c r="I235" s="3"/>
      <c r="J235" s="3"/>
      <c r="K235" s="210">
        <f>IFERROR(K226-K227+SUM(K228:K231)-K232-K233,0)</f>
        <v>0</v>
      </c>
      <c r="M235" s="15"/>
    </row>
    <row r="236" spans="2:13" ht="6.75" hidden="1" customHeight="1" x14ac:dyDescent="0.2">
      <c r="B236" s="14"/>
      <c r="M236" s="15"/>
    </row>
    <row r="237" spans="2:13" ht="21" hidden="1" customHeight="1" x14ac:dyDescent="0.2">
      <c r="B237" s="12">
        <v>36</v>
      </c>
      <c r="C237" s="287" t="s">
        <v>16</v>
      </c>
      <c r="D237" s="287"/>
      <c r="E237" s="287"/>
      <c r="F237" s="287"/>
      <c r="G237" s="287"/>
      <c r="H237" s="262"/>
      <c r="I237" s="2"/>
      <c r="J237" s="2"/>
      <c r="K237" s="262"/>
      <c r="M237" s="15"/>
    </row>
    <row r="238" spans="2:13" ht="6.75" hidden="1" customHeight="1" x14ac:dyDescent="0.2">
      <c r="B238" s="14"/>
      <c r="M238" s="15"/>
    </row>
    <row r="239" spans="2:13" hidden="1" x14ac:dyDescent="0.2">
      <c r="B239" s="16"/>
      <c r="C239" s="17" t="s">
        <v>93</v>
      </c>
      <c r="D239" s="3"/>
      <c r="E239" s="3"/>
      <c r="F239" s="3"/>
      <c r="G239" s="3"/>
      <c r="H239" s="210">
        <f>IFERROR(H235*H237,0)</f>
        <v>0</v>
      </c>
      <c r="I239" s="3"/>
      <c r="J239" s="3"/>
      <c r="K239" s="210">
        <f>IFERROR(K235*K237,0)</f>
        <v>0</v>
      </c>
      <c r="M239" s="15"/>
    </row>
    <row r="240" spans="2:13" ht="8.25" hidden="1" customHeight="1" thickBot="1" x14ac:dyDescent="0.25">
      <c r="B240" s="18"/>
      <c r="C240" s="19"/>
      <c r="D240" s="19"/>
      <c r="E240" s="19"/>
      <c r="F240" s="19"/>
      <c r="G240" s="19"/>
      <c r="H240" s="19"/>
      <c r="I240" s="19"/>
      <c r="J240" s="19"/>
      <c r="K240" s="19"/>
      <c r="L240" s="19"/>
      <c r="M240" s="20"/>
    </row>
    <row r="241" spans="1:14" ht="14" customHeight="1" thickBot="1" x14ac:dyDescent="0.25"/>
    <row r="242" spans="1:14" ht="21" customHeight="1" thickBot="1" x14ac:dyDescent="0.25">
      <c r="A242" s="2"/>
      <c r="B242" s="7" t="s">
        <v>2</v>
      </c>
      <c r="C242" s="293" t="s">
        <v>106</v>
      </c>
      <c r="D242" s="294"/>
      <c r="E242" s="295"/>
      <c r="F242" s="295"/>
      <c r="G242" s="295"/>
      <c r="H242" s="8">
        <f>IF(ISNUMBER($H$5),$H$5,"")</f>
        <v>2024</v>
      </c>
      <c r="I242" s="10"/>
      <c r="J242" s="10"/>
      <c r="K242" s="8">
        <f>IF(ISNUMBER($K$5),$K$5,"")</f>
        <v>2023</v>
      </c>
      <c r="L242" s="10"/>
      <c r="M242" s="11"/>
    </row>
    <row r="243" spans="1:14" ht="6.75" hidden="1" customHeight="1" x14ac:dyDescent="0.2">
      <c r="B243" s="22"/>
      <c r="C243" s="21"/>
      <c r="D243" s="21"/>
      <c r="E243" s="21"/>
      <c r="F243" s="21"/>
      <c r="G243" s="21"/>
      <c r="H243" s="21"/>
      <c r="I243" s="21"/>
      <c r="J243" s="21"/>
      <c r="K243" s="21"/>
      <c r="L243" s="21"/>
      <c r="M243" s="23"/>
    </row>
    <row r="244" spans="1:14" ht="20.5" hidden="1" customHeight="1" x14ac:dyDescent="0.2">
      <c r="B244" s="14"/>
      <c r="C244" s="76" t="s">
        <v>67</v>
      </c>
      <c r="M244" s="15"/>
    </row>
    <row r="245" spans="1:14" ht="6.75" hidden="1" customHeight="1" x14ac:dyDescent="0.2">
      <c r="B245" s="14"/>
      <c r="M245" s="15"/>
    </row>
    <row r="246" spans="1:14" ht="21" hidden="1" customHeight="1" x14ac:dyDescent="0.2">
      <c r="B246" s="12">
        <v>24</v>
      </c>
      <c r="C246" s="287" t="s">
        <v>130</v>
      </c>
      <c r="D246" s="287"/>
      <c r="E246" s="287"/>
      <c r="F246" s="287"/>
      <c r="H246" s="203"/>
      <c r="I246" s="2"/>
      <c r="J246" s="2"/>
      <c r="K246" s="203"/>
      <c r="M246" s="15"/>
    </row>
    <row r="247" spans="1:14" ht="21" hidden="1" customHeight="1" x14ac:dyDescent="0.2">
      <c r="B247" s="12">
        <v>25</v>
      </c>
      <c r="C247" s="287" t="s">
        <v>131</v>
      </c>
      <c r="D247" s="287"/>
      <c r="E247" s="287"/>
      <c r="F247" s="287"/>
      <c r="H247" s="203"/>
      <c r="I247" s="2"/>
      <c r="J247" s="2"/>
      <c r="K247" s="203"/>
      <c r="M247" s="15"/>
    </row>
    <row r="248" spans="1:14" ht="21" hidden="1" customHeight="1" x14ac:dyDescent="0.2">
      <c r="B248" s="12">
        <v>26</v>
      </c>
      <c r="C248" s="287" t="s">
        <v>265</v>
      </c>
      <c r="D248" s="287"/>
      <c r="E248" s="287"/>
      <c r="F248" s="287"/>
      <c r="H248" s="208"/>
      <c r="I248" s="2"/>
      <c r="J248" s="2"/>
      <c r="K248" s="208"/>
      <c r="M248" s="15"/>
    </row>
    <row r="249" spans="1:14" ht="6.75" hidden="1" customHeight="1" x14ac:dyDescent="0.2">
      <c r="B249" s="14"/>
      <c r="M249" s="15"/>
    </row>
    <row r="250" spans="1:14" hidden="1" x14ac:dyDescent="0.2">
      <c r="B250" s="16"/>
      <c r="C250" s="80" t="s">
        <v>3</v>
      </c>
      <c r="H250" s="210">
        <f>IFERROR(SUM(H246:H248),0)</f>
        <v>0</v>
      </c>
      <c r="I250" s="3"/>
      <c r="J250" s="3"/>
      <c r="K250" s="210">
        <f>IFERROR(SUM(K246:K248),0)</f>
        <v>0</v>
      </c>
      <c r="M250" s="15"/>
    </row>
    <row r="251" spans="1:14" ht="12.5" hidden="1" customHeight="1" x14ac:dyDescent="0.2">
      <c r="B251" s="14"/>
      <c r="M251" s="15"/>
    </row>
    <row r="252" spans="1:14" ht="20" hidden="1" customHeight="1" x14ac:dyDescent="0.2">
      <c r="B252" s="14"/>
      <c r="C252" s="76" t="s">
        <v>78</v>
      </c>
      <c r="M252" s="15"/>
    </row>
    <row r="253" spans="1:14" ht="6.75" hidden="1" customHeight="1" x14ac:dyDescent="0.2">
      <c r="B253" s="14"/>
      <c r="M253" s="15"/>
    </row>
    <row r="254" spans="1:14" s="2" customFormat="1" ht="21" hidden="1" customHeight="1" x14ac:dyDescent="0.2">
      <c r="B254" s="12">
        <v>27</v>
      </c>
      <c r="C254" s="287" t="s">
        <v>132</v>
      </c>
      <c r="D254" s="287"/>
      <c r="E254" s="287"/>
      <c r="F254"/>
      <c r="G254"/>
      <c r="H254" s="208"/>
      <c r="K254" s="208"/>
      <c r="M254" s="13"/>
      <c r="N254"/>
    </row>
    <row r="255" spans="1:14" ht="12.5" hidden="1" customHeight="1" x14ac:dyDescent="0.2">
      <c r="B255" s="14"/>
      <c r="M255" s="15"/>
    </row>
    <row r="256" spans="1:14" ht="20" hidden="1" customHeight="1" x14ac:dyDescent="0.2">
      <c r="B256" s="14"/>
      <c r="C256" s="76" t="s">
        <v>68</v>
      </c>
      <c r="M256" s="15"/>
    </row>
    <row r="257" spans="2:13" ht="8.25" hidden="1" customHeight="1" x14ac:dyDescent="0.2">
      <c r="B257" s="14"/>
      <c r="M257" s="15"/>
    </row>
    <row r="258" spans="2:13" ht="21" hidden="1" customHeight="1" x14ac:dyDescent="0.2">
      <c r="B258" s="12">
        <v>28</v>
      </c>
      <c r="C258" s="287" t="s">
        <v>133</v>
      </c>
      <c r="D258" s="287"/>
      <c r="E258" s="287"/>
      <c r="F258" s="287"/>
      <c r="H258" s="203"/>
      <c r="I258" s="2"/>
      <c r="J258" s="2"/>
      <c r="K258" s="203"/>
      <c r="M258" s="15"/>
    </row>
    <row r="259" spans="2:13" ht="21" hidden="1" customHeight="1" x14ac:dyDescent="0.2">
      <c r="B259" s="12">
        <v>29</v>
      </c>
      <c r="C259" s="287" t="s">
        <v>584</v>
      </c>
      <c r="D259" s="287"/>
      <c r="E259" s="287"/>
      <c r="F259" s="287"/>
      <c r="G259" s="24" t="s">
        <v>9</v>
      </c>
      <c r="H259" s="209"/>
      <c r="I259" s="25" t="s">
        <v>10</v>
      </c>
      <c r="J259" s="24" t="s">
        <v>9</v>
      </c>
      <c r="K259" s="209"/>
      <c r="L259" s="25" t="s">
        <v>10</v>
      </c>
      <c r="M259" s="15"/>
    </row>
    <row r="260" spans="2:13" ht="21" hidden="1" customHeight="1" x14ac:dyDescent="0.2">
      <c r="B260" s="12">
        <v>30</v>
      </c>
      <c r="C260" s="287" t="s">
        <v>134</v>
      </c>
      <c r="D260" s="287"/>
      <c r="E260" s="287"/>
      <c r="F260" s="287"/>
      <c r="H260" s="203"/>
      <c r="I260" s="2"/>
      <c r="J260" s="2"/>
      <c r="K260" s="203"/>
      <c r="M260" s="15"/>
    </row>
    <row r="261" spans="2:13" ht="21" hidden="1" customHeight="1" x14ac:dyDescent="0.2">
      <c r="B261" s="12">
        <v>31</v>
      </c>
      <c r="C261" s="287" t="s">
        <v>135</v>
      </c>
      <c r="D261" s="287"/>
      <c r="E261" s="287"/>
      <c r="F261" s="287"/>
      <c r="H261" s="203"/>
      <c r="I261" s="2"/>
      <c r="J261" s="2"/>
      <c r="K261" s="203"/>
      <c r="M261" s="15"/>
    </row>
    <row r="262" spans="2:13" ht="21" hidden="1" customHeight="1" x14ac:dyDescent="0.2">
      <c r="B262" s="12">
        <v>32</v>
      </c>
      <c r="C262" s="287" t="s">
        <v>136</v>
      </c>
      <c r="D262" s="287"/>
      <c r="E262" s="287"/>
      <c r="F262" s="287"/>
      <c r="H262" s="203"/>
      <c r="I262" s="2"/>
      <c r="J262" s="2"/>
      <c r="K262" s="203"/>
      <c r="M262" s="15"/>
    </row>
    <row r="263" spans="2:13" ht="21" hidden="1" customHeight="1" x14ac:dyDescent="0.2">
      <c r="B263" s="12">
        <v>33</v>
      </c>
      <c r="C263" s="287" t="s">
        <v>595</v>
      </c>
      <c r="D263" s="287"/>
      <c r="E263" s="287"/>
      <c r="F263" s="287"/>
      <c r="H263" s="203"/>
      <c r="I263" s="2"/>
      <c r="J263" s="2"/>
      <c r="K263" s="203"/>
      <c r="M263" s="15"/>
    </row>
    <row r="264" spans="2:13" ht="21" hidden="1" customHeight="1" x14ac:dyDescent="0.2">
      <c r="B264" s="12">
        <v>34</v>
      </c>
      <c r="C264" s="287" t="s">
        <v>137</v>
      </c>
      <c r="D264" s="287"/>
      <c r="E264" s="287"/>
      <c r="F264" s="287"/>
      <c r="G264" s="24" t="s">
        <v>9</v>
      </c>
      <c r="H264" s="209"/>
      <c r="I264" s="25" t="s">
        <v>10</v>
      </c>
      <c r="J264" s="24" t="s">
        <v>9</v>
      </c>
      <c r="K264" s="209"/>
      <c r="L264" s="25" t="s">
        <v>10</v>
      </c>
      <c r="M264" s="15"/>
    </row>
    <row r="265" spans="2:13" ht="21" hidden="1" customHeight="1" x14ac:dyDescent="0.2">
      <c r="B265" s="12">
        <v>35</v>
      </c>
      <c r="C265" s="287" t="s">
        <v>507</v>
      </c>
      <c r="D265" s="287"/>
      <c r="E265" s="287"/>
      <c r="F265" s="287"/>
      <c r="G265" s="24" t="s">
        <v>9</v>
      </c>
      <c r="H265" s="214"/>
      <c r="I265" s="25" t="s">
        <v>10</v>
      </c>
      <c r="J265" s="24" t="s">
        <v>9</v>
      </c>
      <c r="K265" s="214"/>
      <c r="L265" s="25" t="s">
        <v>10</v>
      </c>
      <c r="M265" s="15"/>
    </row>
    <row r="266" spans="2:13" ht="6.75" hidden="1" customHeight="1" x14ac:dyDescent="0.2">
      <c r="B266" s="14"/>
      <c r="M266" s="15"/>
    </row>
    <row r="267" spans="2:13" hidden="1" x14ac:dyDescent="0.2">
      <c r="B267" s="12"/>
      <c r="C267" s="36" t="s">
        <v>3</v>
      </c>
      <c r="D267" s="3"/>
      <c r="E267" s="3"/>
      <c r="F267" s="3"/>
      <c r="G267" s="3"/>
      <c r="H267" s="210">
        <f>IFERROR(H258-H259+SUM(H260:H263)-H264-H265,0)</f>
        <v>0</v>
      </c>
      <c r="I267" s="3"/>
      <c r="J267" s="3"/>
      <c r="K267" s="210">
        <f>IFERROR(K258-K259+SUM(K260:K263)-K264-K265,0)</f>
        <v>0</v>
      </c>
      <c r="M267" s="15"/>
    </row>
    <row r="268" spans="2:13" ht="6.75" hidden="1" customHeight="1" x14ac:dyDescent="0.2">
      <c r="B268" s="14"/>
      <c r="M268" s="15"/>
    </row>
    <row r="269" spans="2:13" ht="21" hidden="1" customHeight="1" x14ac:dyDescent="0.2">
      <c r="B269" s="12">
        <v>36</v>
      </c>
      <c r="C269" s="287" t="s">
        <v>16</v>
      </c>
      <c r="D269" s="287"/>
      <c r="E269" s="287"/>
      <c r="F269" s="287"/>
      <c r="G269" s="287"/>
      <c r="H269" s="262"/>
      <c r="I269" s="2"/>
      <c r="J269" s="2"/>
      <c r="K269" s="262"/>
      <c r="M269" s="15"/>
    </row>
    <row r="270" spans="2:13" ht="6.75" hidden="1" customHeight="1" x14ac:dyDescent="0.2">
      <c r="B270" s="14"/>
      <c r="M270" s="15"/>
    </row>
    <row r="271" spans="2:13" hidden="1" x14ac:dyDescent="0.2">
      <c r="B271" s="16"/>
      <c r="C271" s="17" t="s">
        <v>93</v>
      </c>
      <c r="D271" s="3"/>
      <c r="E271" s="3"/>
      <c r="F271" s="3"/>
      <c r="G271" s="3"/>
      <c r="H271" s="210">
        <f>IFERROR(H267*H269,0)</f>
        <v>0</v>
      </c>
      <c r="I271" s="3"/>
      <c r="J271" s="3"/>
      <c r="K271" s="210">
        <f>IFERROR(K267*K269,0)</f>
        <v>0</v>
      </c>
      <c r="M271" s="15"/>
    </row>
    <row r="272" spans="2:13" ht="8.25" hidden="1" customHeight="1" thickBot="1" x14ac:dyDescent="0.25">
      <c r="B272" s="18"/>
      <c r="C272" s="19"/>
      <c r="D272" s="19"/>
      <c r="E272" s="19"/>
      <c r="F272" s="19"/>
      <c r="G272" s="19"/>
      <c r="H272" s="19"/>
      <c r="I272" s="19"/>
      <c r="J272" s="19"/>
      <c r="K272" s="19"/>
      <c r="L272" s="19"/>
      <c r="M272" s="20"/>
    </row>
    <row r="273" spans="1:14" ht="14" customHeight="1" thickBot="1" x14ac:dyDescent="0.25"/>
    <row r="274" spans="1:14" ht="21" customHeight="1" thickBot="1" x14ac:dyDescent="0.25">
      <c r="A274" s="2"/>
      <c r="B274" s="7" t="s">
        <v>2</v>
      </c>
      <c r="C274" s="293" t="s">
        <v>106</v>
      </c>
      <c r="D274" s="294"/>
      <c r="E274" s="295"/>
      <c r="F274" s="295"/>
      <c r="G274" s="295"/>
      <c r="H274" s="8">
        <f>IF(ISNUMBER($H$5),$H$5,"")</f>
        <v>2024</v>
      </c>
      <c r="I274" s="10"/>
      <c r="J274" s="10"/>
      <c r="K274" s="8">
        <f>IF(ISNUMBER($K$5),$K$5,"")</f>
        <v>2023</v>
      </c>
      <c r="L274" s="10"/>
      <c r="M274" s="11"/>
    </row>
    <row r="275" spans="1:14" ht="6.75" hidden="1" customHeight="1" x14ac:dyDescent="0.2">
      <c r="B275" s="22"/>
      <c r="C275" s="21"/>
      <c r="D275" s="21"/>
      <c r="E275" s="21"/>
      <c r="F275" s="21"/>
      <c r="G275" s="21"/>
      <c r="H275" s="21"/>
      <c r="I275" s="21"/>
      <c r="J275" s="21"/>
      <c r="K275" s="21"/>
      <c r="L275" s="21"/>
      <c r="M275" s="23"/>
    </row>
    <row r="276" spans="1:14" ht="20.5" hidden="1" customHeight="1" x14ac:dyDescent="0.2">
      <c r="B276" s="14"/>
      <c r="C276" s="76" t="s">
        <v>67</v>
      </c>
      <c r="M276" s="15"/>
    </row>
    <row r="277" spans="1:14" ht="6.75" hidden="1" customHeight="1" x14ac:dyDescent="0.2">
      <c r="B277" s="14"/>
      <c r="M277" s="15"/>
    </row>
    <row r="278" spans="1:14" ht="21" hidden="1" customHeight="1" x14ac:dyDescent="0.2">
      <c r="B278" s="12">
        <v>24</v>
      </c>
      <c r="C278" s="287" t="s">
        <v>130</v>
      </c>
      <c r="D278" s="287"/>
      <c r="E278" s="287"/>
      <c r="F278" s="287"/>
      <c r="H278" s="203"/>
      <c r="I278" s="2"/>
      <c r="J278" s="2"/>
      <c r="K278" s="203"/>
      <c r="M278" s="15"/>
    </row>
    <row r="279" spans="1:14" ht="21" hidden="1" customHeight="1" x14ac:dyDescent="0.2">
      <c r="B279" s="12">
        <v>25</v>
      </c>
      <c r="C279" s="287" t="s">
        <v>131</v>
      </c>
      <c r="D279" s="287"/>
      <c r="E279" s="287"/>
      <c r="F279" s="287"/>
      <c r="H279" s="203"/>
      <c r="I279" s="2"/>
      <c r="J279" s="2"/>
      <c r="K279" s="203"/>
      <c r="M279" s="15"/>
    </row>
    <row r="280" spans="1:14" ht="21" hidden="1" customHeight="1" x14ac:dyDescent="0.2">
      <c r="B280" s="12">
        <v>26</v>
      </c>
      <c r="C280" s="287" t="s">
        <v>265</v>
      </c>
      <c r="D280" s="287"/>
      <c r="E280" s="287"/>
      <c r="F280" s="287"/>
      <c r="H280" s="208"/>
      <c r="I280" s="2"/>
      <c r="J280" s="2"/>
      <c r="K280" s="208"/>
      <c r="M280" s="15"/>
    </row>
    <row r="281" spans="1:14" ht="6.75" hidden="1" customHeight="1" x14ac:dyDescent="0.2">
      <c r="B281" s="14"/>
      <c r="M281" s="15"/>
    </row>
    <row r="282" spans="1:14" hidden="1" x14ac:dyDescent="0.2">
      <c r="B282" s="16"/>
      <c r="C282" s="80" t="s">
        <v>3</v>
      </c>
      <c r="H282" s="210">
        <f>IFERROR(SUM(H278:H280),0)</f>
        <v>0</v>
      </c>
      <c r="I282" s="3"/>
      <c r="J282" s="3"/>
      <c r="K282" s="210">
        <f>IFERROR(SUM(K278:K280),0)</f>
        <v>0</v>
      </c>
      <c r="M282" s="15"/>
    </row>
    <row r="283" spans="1:14" ht="12.5" hidden="1" customHeight="1" x14ac:dyDescent="0.2">
      <c r="B283" s="14"/>
      <c r="M283" s="15"/>
    </row>
    <row r="284" spans="1:14" ht="20" hidden="1" customHeight="1" x14ac:dyDescent="0.2">
      <c r="B284" s="14"/>
      <c r="C284" s="76" t="s">
        <v>78</v>
      </c>
      <c r="M284" s="15"/>
    </row>
    <row r="285" spans="1:14" ht="6.75" hidden="1" customHeight="1" x14ac:dyDescent="0.2">
      <c r="B285" s="14"/>
      <c r="M285" s="15"/>
    </row>
    <row r="286" spans="1:14" s="2" customFormat="1" ht="21" hidden="1" customHeight="1" x14ac:dyDescent="0.2">
      <c r="B286" s="12">
        <v>27</v>
      </c>
      <c r="C286" s="287" t="s">
        <v>132</v>
      </c>
      <c r="D286" s="287"/>
      <c r="E286" s="287"/>
      <c r="F286"/>
      <c r="G286"/>
      <c r="H286" s="208"/>
      <c r="K286" s="208"/>
      <c r="M286" s="13"/>
      <c r="N286"/>
    </row>
    <row r="287" spans="1:14" ht="12.5" hidden="1" customHeight="1" x14ac:dyDescent="0.2">
      <c r="B287" s="14"/>
      <c r="M287" s="15"/>
    </row>
    <row r="288" spans="1:14" ht="20" hidden="1" customHeight="1" x14ac:dyDescent="0.2">
      <c r="B288" s="14"/>
      <c r="C288" s="76" t="s">
        <v>68</v>
      </c>
      <c r="M288" s="15"/>
    </row>
    <row r="289" spans="2:13" ht="8.25" hidden="1" customHeight="1" x14ac:dyDescent="0.2">
      <c r="B289" s="14"/>
      <c r="M289" s="15"/>
    </row>
    <row r="290" spans="2:13" ht="21" hidden="1" customHeight="1" x14ac:dyDescent="0.2">
      <c r="B290" s="12">
        <v>28</v>
      </c>
      <c r="C290" s="287" t="s">
        <v>133</v>
      </c>
      <c r="D290" s="287"/>
      <c r="E290" s="287"/>
      <c r="F290" s="287"/>
      <c r="H290" s="203"/>
      <c r="I290" s="2"/>
      <c r="J290" s="2"/>
      <c r="K290" s="203"/>
      <c r="M290" s="15"/>
    </row>
    <row r="291" spans="2:13" ht="21" hidden="1" customHeight="1" x14ac:dyDescent="0.2">
      <c r="B291" s="12">
        <v>29</v>
      </c>
      <c r="C291" s="287" t="s">
        <v>584</v>
      </c>
      <c r="D291" s="287"/>
      <c r="E291" s="287"/>
      <c r="F291" s="287"/>
      <c r="G291" s="24" t="s">
        <v>9</v>
      </c>
      <c r="H291" s="209"/>
      <c r="I291" s="25" t="s">
        <v>10</v>
      </c>
      <c r="J291" s="24" t="s">
        <v>9</v>
      </c>
      <c r="K291" s="209"/>
      <c r="L291" s="25" t="s">
        <v>10</v>
      </c>
      <c r="M291" s="15"/>
    </row>
    <row r="292" spans="2:13" ht="21" hidden="1" customHeight="1" x14ac:dyDescent="0.2">
      <c r="B292" s="12">
        <v>30</v>
      </c>
      <c r="C292" s="287" t="s">
        <v>134</v>
      </c>
      <c r="D292" s="287"/>
      <c r="E292" s="287"/>
      <c r="F292" s="287"/>
      <c r="H292" s="203"/>
      <c r="I292" s="2"/>
      <c r="J292" s="2"/>
      <c r="K292" s="203"/>
      <c r="M292" s="15"/>
    </row>
    <row r="293" spans="2:13" ht="21" hidden="1" customHeight="1" x14ac:dyDescent="0.2">
      <c r="B293" s="12">
        <v>31</v>
      </c>
      <c r="C293" s="287" t="s">
        <v>135</v>
      </c>
      <c r="D293" s="287"/>
      <c r="E293" s="287"/>
      <c r="F293" s="287"/>
      <c r="H293" s="203"/>
      <c r="I293" s="2"/>
      <c r="J293" s="2"/>
      <c r="K293" s="203"/>
      <c r="M293" s="15"/>
    </row>
    <row r="294" spans="2:13" ht="21" hidden="1" customHeight="1" x14ac:dyDescent="0.2">
      <c r="B294" s="12">
        <v>32</v>
      </c>
      <c r="C294" s="287" t="s">
        <v>136</v>
      </c>
      <c r="D294" s="287"/>
      <c r="E294" s="287"/>
      <c r="F294" s="287"/>
      <c r="H294" s="203"/>
      <c r="I294" s="2"/>
      <c r="J294" s="2"/>
      <c r="K294" s="203"/>
      <c r="M294" s="15"/>
    </row>
    <row r="295" spans="2:13" ht="21" hidden="1" customHeight="1" x14ac:dyDescent="0.2">
      <c r="B295" s="12">
        <v>33</v>
      </c>
      <c r="C295" s="287" t="s">
        <v>595</v>
      </c>
      <c r="D295" s="287"/>
      <c r="E295" s="287"/>
      <c r="F295" s="287"/>
      <c r="H295" s="203"/>
      <c r="I295" s="2"/>
      <c r="J295" s="2"/>
      <c r="K295" s="203"/>
      <c r="M295" s="15"/>
    </row>
    <row r="296" spans="2:13" ht="21" hidden="1" customHeight="1" x14ac:dyDescent="0.2">
      <c r="B296" s="12">
        <v>34</v>
      </c>
      <c r="C296" s="287" t="s">
        <v>137</v>
      </c>
      <c r="D296" s="287"/>
      <c r="E296" s="287"/>
      <c r="F296" s="287"/>
      <c r="G296" s="24" t="s">
        <v>9</v>
      </c>
      <c r="H296" s="209"/>
      <c r="I296" s="25" t="s">
        <v>10</v>
      </c>
      <c r="J296" s="24" t="s">
        <v>9</v>
      </c>
      <c r="K296" s="209"/>
      <c r="L296" s="25" t="s">
        <v>10</v>
      </c>
      <c r="M296" s="15"/>
    </row>
    <row r="297" spans="2:13" ht="21" hidden="1" customHeight="1" x14ac:dyDescent="0.2">
      <c r="B297" s="12">
        <v>35</v>
      </c>
      <c r="C297" s="287" t="s">
        <v>507</v>
      </c>
      <c r="D297" s="287"/>
      <c r="E297" s="287"/>
      <c r="F297" s="287"/>
      <c r="G297" s="24" t="s">
        <v>9</v>
      </c>
      <c r="H297" s="214"/>
      <c r="I297" s="25" t="s">
        <v>10</v>
      </c>
      <c r="J297" s="24" t="s">
        <v>9</v>
      </c>
      <c r="K297" s="214"/>
      <c r="L297" s="25" t="s">
        <v>10</v>
      </c>
      <c r="M297" s="15"/>
    </row>
    <row r="298" spans="2:13" ht="6.75" hidden="1" customHeight="1" x14ac:dyDescent="0.2">
      <c r="B298" s="14"/>
      <c r="M298" s="15"/>
    </row>
    <row r="299" spans="2:13" hidden="1" x14ac:dyDescent="0.2">
      <c r="B299" s="12"/>
      <c r="C299" s="36" t="s">
        <v>3</v>
      </c>
      <c r="D299" s="3"/>
      <c r="E299" s="3"/>
      <c r="F299" s="3"/>
      <c r="G299" s="3"/>
      <c r="H299" s="210">
        <f>IFERROR(H290-H291+SUM(H292:H295)-H296-H297,0)</f>
        <v>0</v>
      </c>
      <c r="I299" s="3"/>
      <c r="J299" s="3"/>
      <c r="K299" s="210">
        <f>IFERROR(K290-K291+SUM(K292:K295)-K296-K297,0)</f>
        <v>0</v>
      </c>
      <c r="M299" s="15"/>
    </row>
    <row r="300" spans="2:13" ht="6.75" hidden="1" customHeight="1" x14ac:dyDescent="0.2">
      <c r="B300" s="14"/>
      <c r="M300" s="15"/>
    </row>
    <row r="301" spans="2:13" ht="21" hidden="1" customHeight="1" x14ac:dyDescent="0.2">
      <c r="B301" s="12">
        <v>36</v>
      </c>
      <c r="C301" s="287" t="s">
        <v>16</v>
      </c>
      <c r="D301" s="287"/>
      <c r="E301" s="287"/>
      <c r="F301" s="287"/>
      <c r="G301" s="287"/>
      <c r="H301" s="262"/>
      <c r="I301" s="2"/>
      <c r="J301" s="2"/>
      <c r="K301" s="262"/>
      <c r="M301" s="15"/>
    </row>
    <row r="302" spans="2:13" ht="6.75" hidden="1" customHeight="1" x14ac:dyDescent="0.2">
      <c r="B302" s="14"/>
      <c r="M302" s="15"/>
    </row>
    <row r="303" spans="2:13" hidden="1" x14ac:dyDescent="0.2">
      <c r="B303" s="16"/>
      <c r="C303" s="17" t="s">
        <v>93</v>
      </c>
      <c r="D303" s="3"/>
      <c r="E303" s="3"/>
      <c r="F303" s="3"/>
      <c r="G303" s="3"/>
      <c r="H303" s="210">
        <f>IFERROR(H299*H301,0)</f>
        <v>0</v>
      </c>
      <c r="I303" s="3"/>
      <c r="J303" s="3"/>
      <c r="K303" s="210">
        <f>IFERROR(K299*K301,0)</f>
        <v>0</v>
      </c>
      <c r="M303" s="15"/>
    </row>
    <row r="304" spans="2:13" ht="8.25" hidden="1" customHeight="1" thickBot="1" x14ac:dyDescent="0.25">
      <c r="B304" s="18"/>
      <c r="C304" s="19"/>
      <c r="D304" s="19"/>
      <c r="E304" s="19"/>
      <c r="F304" s="19"/>
      <c r="G304" s="19"/>
      <c r="H304" s="19"/>
      <c r="I304" s="19"/>
      <c r="J304" s="19"/>
      <c r="K304" s="19"/>
      <c r="L304" s="19"/>
      <c r="M304" s="20"/>
    </row>
    <row r="305" spans="1:14" ht="23.5" customHeight="1" x14ac:dyDescent="0.2"/>
    <row r="306" spans="1:14" s="2" customFormat="1" ht="29.5" customHeight="1" x14ac:dyDescent="0.2">
      <c r="B306" s="34"/>
      <c r="C306" s="75" t="s">
        <v>17</v>
      </c>
      <c r="D306" s="34"/>
      <c r="E306" s="34"/>
      <c r="F306" s="34"/>
      <c r="G306" s="34"/>
      <c r="H306" s="34"/>
      <c r="I306" s="34"/>
      <c r="J306" s="34"/>
      <c r="K306" s="34"/>
      <c r="L306" s="34"/>
      <c r="M306" s="34"/>
    </row>
    <row r="307" spans="1:14" s="2" customFormat="1" ht="22.5" customHeight="1" thickBot="1" x14ac:dyDescent="0.25">
      <c r="C307" s="35" t="s">
        <v>105</v>
      </c>
    </row>
    <row r="308" spans="1:14" ht="21" customHeight="1" thickBot="1" x14ac:dyDescent="0.25">
      <c r="A308" s="2"/>
      <c r="B308" s="7" t="s">
        <v>2</v>
      </c>
      <c r="C308" s="293" t="s">
        <v>107</v>
      </c>
      <c r="D308" s="294"/>
      <c r="E308" s="295" t="s">
        <v>598</v>
      </c>
      <c r="F308" s="295"/>
      <c r="G308" s="295"/>
      <c r="H308" s="8">
        <f>IF(ISNUMBER($H$5),$H$5,"")</f>
        <v>2024</v>
      </c>
      <c r="I308" s="10"/>
      <c r="J308" s="10"/>
      <c r="K308" s="8">
        <f>IF(ISNUMBER($K$5),$K$5,"")</f>
        <v>2023</v>
      </c>
      <c r="L308" s="10"/>
      <c r="M308" s="11"/>
    </row>
    <row r="309" spans="1:14" ht="6.75" customHeight="1" x14ac:dyDescent="0.2">
      <c r="B309" s="22"/>
      <c r="C309" s="21"/>
      <c r="D309" s="21"/>
      <c r="E309" s="21"/>
      <c r="F309" s="21"/>
      <c r="G309" s="21"/>
      <c r="H309" s="21"/>
      <c r="I309" s="21"/>
      <c r="J309" s="21"/>
      <c r="K309" s="21"/>
      <c r="L309" s="21"/>
      <c r="M309" s="23"/>
    </row>
    <row r="310" spans="1:14" ht="20.5" customHeight="1" x14ac:dyDescent="0.2">
      <c r="B310" s="14"/>
      <c r="C310" s="76" t="s">
        <v>67</v>
      </c>
      <c r="M310" s="15"/>
    </row>
    <row r="311" spans="1:14" ht="6.75" customHeight="1" x14ac:dyDescent="0.2">
      <c r="B311" s="14"/>
      <c r="M311" s="15"/>
    </row>
    <row r="312" spans="1:14" ht="21" customHeight="1" x14ac:dyDescent="0.2">
      <c r="B312" s="12">
        <v>37</v>
      </c>
      <c r="C312" s="287" t="s">
        <v>130</v>
      </c>
      <c r="D312" s="287"/>
      <c r="E312" s="287"/>
      <c r="F312" s="287"/>
      <c r="H312" s="203">
        <v>207297</v>
      </c>
      <c r="I312" s="2"/>
      <c r="J312" s="2"/>
      <c r="K312" s="203">
        <v>83125</v>
      </c>
      <c r="M312" s="15"/>
    </row>
    <row r="313" spans="1:14" ht="21" customHeight="1" x14ac:dyDescent="0.2">
      <c r="B313" s="12">
        <v>38</v>
      </c>
      <c r="C313" s="287" t="s">
        <v>131</v>
      </c>
      <c r="D313" s="287"/>
      <c r="E313" s="287"/>
      <c r="F313" s="287"/>
      <c r="H313" s="208"/>
      <c r="I313" s="2"/>
      <c r="J313" s="2"/>
      <c r="K313" s="208"/>
      <c r="M313" s="15"/>
    </row>
    <row r="314" spans="1:14" ht="6.75" customHeight="1" x14ac:dyDescent="0.2">
      <c r="B314" s="14"/>
      <c r="M314" s="15"/>
    </row>
    <row r="315" spans="1:14" x14ac:dyDescent="0.2">
      <c r="B315" s="16"/>
      <c r="C315" s="182" t="s">
        <v>3</v>
      </c>
      <c r="D315" s="17"/>
      <c r="E315" s="17"/>
      <c r="F315" s="17"/>
      <c r="G315" s="3"/>
      <c r="H315" s="210">
        <f>IFERROR(SUM(H312:H313),0)</f>
        <v>207297</v>
      </c>
      <c r="I315" s="3"/>
      <c r="J315" s="3"/>
      <c r="K315" s="210">
        <f>IFERROR(SUM(K312:K313),0)</f>
        <v>83125</v>
      </c>
      <c r="M315" s="15"/>
    </row>
    <row r="316" spans="1:14" ht="12.5" customHeight="1" x14ac:dyDescent="0.2">
      <c r="B316" s="14"/>
      <c r="M316" s="15"/>
    </row>
    <row r="317" spans="1:14" ht="20" customHeight="1" x14ac:dyDescent="0.2">
      <c r="B317" s="14"/>
      <c r="C317" s="76" t="s">
        <v>78</v>
      </c>
      <c r="M317" s="15"/>
    </row>
    <row r="318" spans="1:14" ht="6.75" customHeight="1" x14ac:dyDescent="0.2">
      <c r="B318" s="14"/>
      <c r="M318" s="15"/>
    </row>
    <row r="319" spans="1:14" s="2" customFormat="1" ht="21" customHeight="1" x14ac:dyDescent="0.2">
      <c r="B319" s="12">
        <v>39</v>
      </c>
      <c r="C319" s="287" t="s">
        <v>132</v>
      </c>
      <c r="D319" s="287"/>
      <c r="E319" s="287"/>
      <c r="F319" s="287"/>
      <c r="H319" s="208">
        <v>69000</v>
      </c>
      <c r="K319" s="208">
        <v>21000</v>
      </c>
      <c r="M319" s="13"/>
      <c r="N319"/>
    </row>
    <row r="320" spans="1:14" ht="12.5" customHeight="1" x14ac:dyDescent="0.2">
      <c r="B320" s="14"/>
      <c r="M320" s="15"/>
    </row>
    <row r="321" spans="2:13" ht="20" customHeight="1" x14ac:dyDescent="0.2">
      <c r="B321" s="14"/>
      <c r="C321" s="76" t="s">
        <v>72</v>
      </c>
      <c r="M321" s="15"/>
    </row>
    <row r="322" spans="2:13" ht="8.25" customHeight="1" x14ac:dyDescent="0.2">
      <c r="B322" s="14"/>
      <c r="M322" s="15"/>
    </row>
    <row r="323" spans="2:13" ht="21" customHeight="1" x14ac:dyDescent="0.2">
      <c r="B323" s="12">
        <v>40</v>
      </c>
      <c r="C323" s="287" t="s">
        <v>585</v>
      </c>
      <c r="D323" s="287"/>
      <c r="E323" s="287"/>
      <c r="F323" s="287"/>
      <c r="G323" s="24" t="s">
        <v>9</v>
      </c>
      <c r="H323" s="209"/>
      <c r="I323" s="25" t="s">
        <v>10</v>
      </c>
      <c r="J323" s="24" t="s">
        <v>9</v>
      </c>
      <c r="K323" s="209"/>
      <c r="L323" s="25" t="s">
        <v>10</v>
      </c>
      <c r="M323" s="15"/>
    </row>
    <row r="324" spans="2:13" ht="21" customHeight="1" x14ac:dyDescent="0.2">
      <c r="B324" s="12">
        <v>41</v>
      </c>
      <c r="C324" s="287" t="s">
        <v>138</v>
      </c>
      <c r="D324" s="287"/>
      <c r="E324" s="287"/>
      <c r="F324" s="287"/>
      <c r="H324" s="203"/>
      <c r="I324" s="2"/>
      <c r="J324" s="2"/>
      <c r="K324" s="203"/>
      <c r="M324" s="15"/>
    </row>
    <row r="325" spans="2:13" ht="21" customHeight="1" x14ac:dyDescent="0.2">
      <c r="B325" s="12">
        <v>42</v>
      </c>
      <c r="C325" s="287" t="s">
        <v>135</v>
      </c>
      <c r="D325" s="287"/>
      <c r="E325" s="287"/>
      <c r="F325" s="287"/>
      <c r="H325" s="203"/>
      <c r="I325" s="2"/>
      <c r="J325" s="2"/>
      <c r="K325" s="203"/>
      <c r="M325" s="15"/>
    </row>
    <row r="326" spans="2:13" ht="21" customHeight="1" x14ac:dyDescent="0.2">
      <c r="B326" s="12">
        <v>43</v>
      </c>
      <c r="C326" s="287" t="s">
        <v>139</v>
      </c>
      <c r="D326" s="287"/>
      <c r="E326" s="287"/>
      <c r="F326" s="287"/>
      <c r="H326" s="203"/>
      <c r="I326" s="2"/>
      <c r="J326" s="2"/>
      <c r="K326" s="203"/>
      <c r="M326" s="15"/>
    </row>
    <row r="327" spans="2:13" ht="21" customHeight="1" x14ac:dyDescent="0.2">
      <c r="B327" s="12">
        <v>44</v>
      </c>
      <c r="C327" s="287" t="s">
        <v>596</v>
      </c>
      <c r="D327" s="287"/>
      <c r="E327" s="287"/>
      <c r="F327" s="287"/>
      <c r="H327" s="203"/>
      <c r="I327" s="2"/>
      <c r="J327" s="2"/>
      <c r="K327" s="203"/>
      <c r="M327" s="15"/>
    </row>
    <row r="328" spans="2:13" ht="21" customHeight="1" x14ac:dyDescent="0.2">
      <c r="B328" s="12">
        <v>45</v>
      </c>
      <c r="C328" s="287" t="s">
        <v>140</v>
      </c>
      <c r="D328" s="287"/>
      <c r="E328" s="287"/>
      <c r="F328" s="287"/>
      <c r="G328" s="24" t="s">
        <v>9</v>
      </c>
      <c r="H328" s="209"/>
      <c r="I328" s="25" t="s">
        <v>10</v>
      </c>
      <c r="J328" s="24" t="s">
        <v>9</v>
      </c>
      <c r="K328" s="209"/>
      <c r="L328" s="25" t="s">
        <v>10</v>
      </c>
      <c r="M328" s="15"/>
    </row>
    <row r="329" spans="2:13" ht="21" customHeight="1" x14ac:dyDescent="0.2">
      <c r="B329" s="12">
        <v>46</v>
      </c>
      <c r="C329" s="287" t="s">
        <v>508</v>
      </c>
      <c r="D329" s="287"/>
      <c r="E329" s="287"/>
      <c r="F329" s="287"/>
      <c r="G329" s="24" t="s">
        <v>9</v>
      </c>
      <c r="H329" s="214"/>
      <c r="I329" s="25" t="s">
        <v>10</v>
      </c>
      <c r="J329" s="24" t="s">
        <v>9</v>
      </c>
      <c r="K329" s="214"/>
      <c r="L329" s="25" t="s">
        <v>10</v>
      </c>
      <c r="M329" s="15"/>
    </row>
    <row r="330" spans="2:13" ht="6.75" customHeight="1" x14ac:dyDescent="0.2">
      <c r="B330" s="14"/>
      <c r="M330" s="15"/>
    </row>
    <row r="331" spans="2:13" x14ac:dyDescent="0.2">
      <c r="B331" s="12"/>
      <c r="C331" s="36" t="s">
        <v>3</v>
      </c>
      <c r="D331" s="3"/>
      <c r="E331" s="3"/>
      <c r="F331" s="3"/>
      <c r="G331" s="3"/>
      <c r="H331" s="210">
        <f>IFERROR(-H323+SUM(H324:H327)-H328-H329,0)</f>
        <v>0</v>
      </c>
      <c r="I331" s="3"/>
      <c r="J331" s="3"/>
      <c r="K331" s="210">
        <f>IFERROR(-K323+SUM(K324:K327)-K328-K329,0)</f>
        <v>0</v>
      </c>
      <c r="M331" s="15"/>
    </row>
    <row r="332" spans="2:13" ht="6.75" customHeight="1" x14ac:dyDescent="0.2">
      <c r="B332" s="14"/>
      <c r="M332" s="15"/>
    </row>
    <row r="333" spans="2:13" ht="21" customHeight="1" x14ac:dyDescent="0.2">
      <c r="B333" s="12">
        <v>47</v>
      </c>
      <c r="C333" s="287" t="s">
        <v>16</v>
      </c>
      <c r="D333" s="287"/>
      <c r="E333" s="287"/>
      <c r="F333" s="287"/>
      <c r="G333" s="17"/>
      <c r="H333" s="262">
        <v>1</v>
      </c>
      <c r="I333" s="2"/>
      <c r="J333" s="2"/>
      <c r="K333" s="262">
        <v>1</v>
      </c>
      <c r="M333" s="15"/>
    </row>
    <row r="334" spans="2:13" ht="6.75" customHeight="1" x14ac:dyDescent="0.2">
      <c r="B334" s="14"/>
      <c r="M334" s="15"/>
    </row>
    <row r="335" spans="2:13" x14ac:dyDescent="0.2">
      <c r="B335" s="16"/>
      <c r="C335" s="17" t="s">
        <v>18</v>
      </c>
      <c r="D335" s="3"/>
      <c r="E335" s="3"/>
      <c r="F335" s="3"/>
      <c r="G335" s="3"/>
      <c r="H335" s="210">
        <f>IFERROR(H331*H333,0)</f>
        <v>0</v>
      </c>
      <c r="I335" s="3"/>
      <c r="J335" s="3"/>
      <c r="K335" s="210">
        <f>IFERROR(K331*K333,0)</f>
        <v>0</v>
      </c>
      <c r="M335" s="15"/>
    </row>
    <row r="336" spans="2:13" ht="12" customHeight="1" thickBot="1" x14ac:dyDescent="0.25">
      <c r="B336" s="18"/>
      <c r="C336" s="19"/>
      <c r="D336" s="19"/>
      <c r="E336" s="19"/>
      <c r="F336" s="19"/>
      <c r="G336" s="19"/>
      <c r="H336" s="19"/>
      <c r="I336" s="19"/>
      <c r="J336" s="19"/>
      <c r="K336" s="19"/>
      <c r="L336" s="19"/>
      <c r="M336" s="20"/>
    </row>
    <row r="337" spans="1:14" ht="14" customHeight="1" thickBot="1" x14ac:dyDescent="0.25"/>
    <row r="338" spans="1:14" ht="21" customHeight="1" thickBot="1" x14ac:dyDescent="0.25">
      <c r="A338" s="2"/>
      <c r="B338" s="7" t="s">
        <v>2</v>
      </c>
      <c r="C338" s="293" t="s">
        <v>107</v>
      </c>
      <c r="D338" s="294"/>
      <c r="E338" s="295"/>
      <c r="F338" s="295"/>
      <c r="G338" s="295"/>
      <c r="H338" s="8">
        <f>IF(ISNUMBER($H$5),$H$5,"")</f>
        <v>2024</v>
      </c>
      <c r="I338" s="10"/>
      <c r="J338" s="10"/>
      <c r="K338" s="8">
        <f>IF(ISNUMBER($K$5),$K$5,"")</f>
        <v>2023</v>
      </c>
      <c r="L338" s="10"/>
      <c r="M338" s="11"/>
    </row>
    <row r="339" spans="1:14" ht="6.75" hidden="1" customHeight="1" x14ac:dyDescent="0.2">
      <c r="B339" s="22"/>
      <c r="C339" s="21"/>
      <c r="D339" s="21"/>
      <c r="E339" s="21"/>
      <c r="F339" s="21"/>
      <c r="G339" s="21"/>
      <c r="H339" s="21"/>
      <c r="I339" s="21"/>
      <c r="J339" s="21"/>
      <c r="K339" s="21"/>
      <c r="L339" s="21"/>
      <c r="M339" s="23"/>
    </row>
    <row r="340" spans="1:14" ht="20.5" hidden="1" customHeight="1" x14ac:dyDescent="0.2">
      <c r="B340" s="14"/>
      <c r="C340" s="76" t="s">
        <v>67</v>
      </c>
      <c r="M340" s="15"/>
    </row>
    <row r="341" spans="1:14" ht="6.75" hidden="1" customHeight="1" x14ac:dyDescent="0.2">
      <c r="B341" s="14"/>
      <c r="M341" s="15"/>
    </row>
    <row r="342" spans="1:14" ht="21" hidden="1" customHeight="1" x14ac:dyDescent="0.2">
      <c r="B342" s="12">
        <v>37</v>
      </c>
      <c r="C342" s="287" t="s">
        <v>130</v>
      </c>
      <c r="D342" s="287"/>
      <c r="E342" s="287"/>
      <c r="F342" s="287"/>
      <c r="H342" s="203"/>
      <c r="I342" s="2"/>
      <c r="J342" s="2"/>
      <c r="K342" s="203"/>
      <c r="M342" s="15"/>
    </row>
    <row r="343" spans="1:14" ht="21" hidden="1" customHeight="1" x14ac:dyDescent="0.2">
      <c r="B343" s="12">
        <v>38</v>
      </c>
      <c r="C343" s="287" t="s">
        <v>131</v>
      </c>
      <c r="D343" s="287"/>
      <c r="E343" s="287"/>
      <c r="F343" s="287"/>
      <c r="H343" s="208"/>
      <c r="I343" s="2"/>
      <c r="J343" s="2"/>
      <c r="K343" s="208"/>
      <c r="M343" s="15"/>
    </row>
    <row r="344" spans="1:14" ht="6.75" hidden="1" customHeight="1" x14ac:dyDescent="0.2">
      <c r="B344" s="14"/>
      <c r="M344" s="15"/>
    </row>
    <row r="345" spans="1:14" hidden="1" x14ac:dyDescent="0.2">
      <c r="B345" s="16"/>
      <c r="C345" s="182" t="s">
        <v>3</v>
      </c>
      <c r="D345" s="17"/>
      <c r="E345" s="17"/>
      <c r="F345" s="17"/>
      <c r="G345" s="3"/>
      <c r="H345" s="210">
        <f>IFERROR(SUM(H342:H343),0)</f>
        <v>0</v>
      </c>
      <c r="I345" s="3"/>
      <c r="J345" s="3"/>
      <c r="K345" s="210">
        <f>IFERROR(SUM(K342:K343),0)</f>
        <v>0</v>
      </c>
      <c r="M345" s="15"/>
    </row>
    <row r="346" spans="1:14" ht="12.5" hidden="1" customHeight="1" x14ac:dyDescent="0.2">
      <c r="B346" s="14"/>
      <c r="M346" s="15"/>
    </row>
    <row r="347" spans="1:14" ht="20" hidden="1" customHeight="1" x14ac:dyDescent="0.2">
      <c r="B347" s="14"/>
      <c r="C347" s="76" t="s">
        <v>78</v>
      </c>
      <c r="M347" s="15"/>
    </row>
    <row r="348" spans="1:14" ht="6.75" hidden="1" customHeight="1" x14ac:dyDescent="0.2">
      <c r="B348" s="14"/>
      <c r="M348" s="15"/>
    </row>
    <row r="349" spans="1:14" s="2" customFormat="1" ht="21" hidden="1" customHeight="1" x14ac:dyDescent="0.2">
      <c r="B349" s="12">
        <v>39</v>
      </c>
      <c r="C349" s="287" t="s">
        <v>132</v>
      </c>
      <c r="D349" s="287"/>
      <c r="E349" s="287"/>
      <c r="F349" s="287"/>
      <c r="H349" s="208"/>
      <c r="K349" s="208"/>
      <c r="M349" s="13"/>
      <c r="N349"/>
    </row>
    <row r="350" spans="1:14" ht="12.5" hidden="1" customHeight="1" x14ac:dyDescent="0.2">
      <c r="B350" s="14"/>
      <c r="M350" s="15"/>
    </row>
    <row r="351" spans="1:14" ht="20" hidden="1" customHeight="1" x14ac:dyDescent="0.2">
      <c r="B351" s="14"/>
      <c r="C351" s="76" t="s">
        <v>72</v>
      </c>
      <c r="M351" s="15"/>
    </row>
    <row r="352" spans="1:14" ht="8.25" hidden="1" customHeight="1" x14ac:dyDescent="0.2">
      <c r="B352" s="14"/>
      <c r="M352" s="15"/>
    </row>
    <row r="353" spans="1:13" ht="21" hidden="1" customHeight="1" x14ac:dyDescent="0.2">
      <c r="B353" s="12">
        <v>40</v>
      </c>
      <c r="C353" s="287" t="s">
        <v>585</v>
      </c>
      <c r="D353" s="287"/>
      <c r="E353" s="287"/>
      <c r="F353" s="287"/>
      <c r="G353" s="24" t="s">
        <v>9</v>
      </c>
      <c r="H353" s="209"/>
      <c r="I353" s="25" t="s">
        <v>10</v>
      </c>
      <c r="J353" s="24" t="s">
        <v>9</v>
      </c>
      <c r="K353" s="209"/>
      <c r="L353" s="25" t="s">
        <v>10</v>
      </c>
      <c r="M353" s="15"/>
    </row>
    <row r="354" spans="1:13" ht="21" hidden="1" customHeight="1" x14ac:dyDescent="0.2">
      <c r="B354" s="12">
        <v>41</v>
      </c>
      <c r="C354" s="287" t="s">
        <v>138</v>
      </c>
      <c r="D354" s="287"/>
      <c r="E354" s="287"/>
      <c r="F354" s="287"/>
      <c r="H354" s="203"/>
      <c r="I354" s="2"/>
      <c r="J354" s="2"/>
      <c r="K354" s="203"/>
      <c r="M354" s="15"/>
    </row>
    <row r="355" spans="1:13" ht="21" hidden="1" customHeight="1" x14ac:dyDescent="0.2">
      <c r="B355" s="12">
        <v>42</v>
      </c>
      <c r="C355" s="287" t="s">
        <v>135</v>
      </c>
      <c r="D355" s="287"/>
      <c r="E355" s="287"/>
      <c r="F355" s="287"/>
      <c r="H355" s="203"/>
      <c r="I355" s="2"/>
      <c r="J355" s="2"/>
      <c r="K355" s="203"/>
      <c r="M355" s="15"/>
    </row>
    <row r="356" spans="1:13" ht="21" hidden="1" customHeight="1" x14ac:dyDescent="0.2">
      <c r="B356" s="12">
        <v>43</v>
      </c>
      <c r="C356" s="287" t="s">
        <v>139</v>
      </c>
      <c r="D356" s="287"/>
      <c r="E356" s="287"/>
      <c r="F356" s="287"/>
      <c r="H356" s="203"/>
      <c r="I356" s="2"/>
      <c r="J356" s="2"/>
      <c r="K356" s="203"/>
      <c r="M356" s="15"/>
    </row>
    <row r="357" spans="1:13" ht="21" hidden="1" customHeight="1" x14ac:dyDescent="0.2">
      <c r="B357" s="12">
        <v>44</v>
      </c>
      <c r="C357" s="287" t="s">
        <v>596</v>
      </c>
      <c r="D357" s="287"/>
      <c r="E357" s="287"/>
      <c r="F357" s="287"/>
      <c r="H357" s="203"/>
      <c r="I357" s="2"/>
      <c r="J357" s="2"/>
      <c r="K357" s="203"/>
      <c r="M357" s="15"/>
    </row>
    <row r="358" spans="1:13" ht="21" hidden="1" customHeight="1" x14ac:dyDescent="0.2">
      <c r="B358" s="12">
        <v>45</v>
      </c>
      <c r="C358" s="287" t="s">
        <v>140</v>
      </c>
      <c r="D358" s="287"/>
      <c r="E358" s="287"/>
      <c r="F358" s="287"/>
      <c r="G358" s="24" t="s">
        <v>9</v>
      </c>
      <c r="H358" s="209"/>
      <c r="I358" s="25" t="s">
        <v>10</v>
      </c>
      <c r="J358" s="24" t="s">
        <v>9</v>
      </c>
      <c r="K358" s="209"/>
      <c r="L358" s="25" t="s">
        <v>10</v>
      </c>
      <c r="M358" s="15"/>
    </row>
    <row r="359" spans="1:13" ht="21" hidden="1" customHeight="1" x14ac:dyDescent="0.2">
      <c r="B359" s="12">
        <v>46</v>
      </c>
      <c r="C359" s="287" t="s">
        <v>508</v>
      </c>
      <c r="D359" s="287"/>
      <c r="E359" s="287"/>
      <c r="F359" s="287"/>
      <c r="G359" s="24" t="s">
        <v>9</v>
      </c>
      <c r="H359" s="214"/>
      <c r="I359" s="25" t="s">
        <v>10</v>
      </c>
      <c r="J359" s="24" t="s">
        <v>9</v>
      </c>
      <c r="K359" s="214"/>
      <c r="L359" s="25" t="s">
        <v>10</v>
      </c>
      <c r="M359" s="15"/>
    </row>
    <row r="360" spans="1:13" ht="6.75" hidden="1" customHeight="1" x14ac:dyDescent="0.2">
      <c r="B360" s="14"/>
      <c r="M360" s="15"/>
    </row>
    <row r="361" spans="1:13" hidden="1" x14ac:dyDescent="0.2">
      <c r="B361" s="12"/>
      <c r="C361" s="36" t="s">
        <v>3</v>
      </c>
      <c r="D361" s="3"/>
      <c r="E361" s="3"/>
      <c r="F361" s="3"/>
      <c r="G361" s="3"/>
      <c r="H361" s="210">
        <f>IFERROR(-H353+SUM(H354:H357)-H358-H359,0)</f>
        <v>0</v>
      </c>
      <c r="I361" s="3"/>
      <c r="J361" s="3"/>
      <c r="K361" s="210">
        <f>IFERROR(-K353+SUM(K354:K357)-K358-K359,0)</f>
        <v>0</v>
      </c>
      <c r="M361" s="15"/>
    </row>
    <row r="362" spans="1:13" ht="6.75" hidden="1" customHeight="1" x14ac:dyDescent="0.2">
      <c r="B362" s="14"/>
      <c r="M362" s="15"/>
    </row>
    <row r="363" spans="1:13" ht="21" hidden="1" customHeight="1" x14ac:dyDescent="0.2">
      <c r="B363" s="12">
        <v>47</v>
      </c>
      <c r="C363" s="287" t="s">
        <v>16</v>
      </c>
      <c r="D363" s="287"/>
      <c r="E363" s="287"/>
      <c r="F363" s="287"/>
      <c r="G363" s="17"/>
      <c r="H363" s="262"/>
      <c r="I363" s="2"/>
      <c r="J363" s="2"/>
      <c r="K363" s="262"/>
      <c r="M363" s="15"/>
    </row>
    <row r="364" spans="1:13" ht="6.75" hidden="1" customHeight="1" x14ac:dyDescent="0.2">
      <c r="B364" s="14"/>
      <c r="M364" s="15"/>
    </row>
    <row r="365" spans="1:13" hidden="1" x14ac:dyDescent="0.2">
      <c r="B365" s="16"/>
      <c r="C365" s="17" t="s">
        <v>18</v>
      </c>
      <c r="D365" s="3"/>
      <c r="E365" s="3"/>
      <c r="F365" s="3"/>
      <c r="G365" s="3"/>
      <c r="H365" s="210">
        <f>IFERROR(H361*H363,0)</f>
        <v>0</v>
      </c>
      <c r="I365" s="3"/>
      <c r="J365" s="3"/>
      <c r="K365" s="210">
        <f>IFERROR(K361*K363,0)</f>
        <v>0</v>
      </c>
      <c r="M365" s="15"/>
    </row>
    <row r="366" spans="1:13" ht="12" hidden="1" customHeight="1" thickBot="1" x14ac:dyDescent="0.25">
      <c r="B366" s="18"/>
      <c r="C366" s="19"/>
      <c r="D366" s="19"/>
      <c r="E366" s="19"/>
      <c r="F366" s="19"/>
      <c r="G366" s="19"/>
      <c r="H366" s="19"/>
      <c r="I366" s="19"/>
      <c r="J366" s="19"/>
      <c r="K366" s="19"/>
      <c r="L366" s="19"/>
      <c r="M366" s="20"/>
    </row>
    <row r="367" spans="1:13" ht="14" customHeight="1" thickBot="1" x14ac:dyDescent="0.25"/>
    <row r="368" spans="1:13" ht="21" customHeight="1" thickBot="1" x14ac:dyDescent="0.25">
      <c r="A368" s="2"/>
      <c r="B368" s="7" t="s">
        <v>2</v>
      </c>
      <c r="C368" s="293" t="s">
        <v>107</v>
      </c>
      <c r="D368" s="294"/>
      <c r="E368" s="295"/>
      <c r="F368" s="295"/>
      <c r="G368" s="295"/>
      <c r="H368" s="8">
        <f>IF(ISNUMBER($H$5),$H$5,"")</f>
        <v>2024</v>
      </c>
      <c r="I368" s="10"/>
      <c r="J368" s="10"/>
      <c r="K368" s="8">
        <f>IF(ISNUMBER($K$5),$K$5,"")</f>
        <v>2023</v>
      </c>
      <c r="L368" s="10"/>
      <c r="M368" s="11"/>
    </row>
    <row r="369" spans="2:13" ht="6.75" hidden="1" customHeight="1" x14ac:dyDescent="0.2">
      <c r="B369" s="22"/>
      <c r="C369" s="21"/>
      <c r="D369" s="21"/>
      <c r="E369" s="21"/>
      <c r="F369" s="21"/>
      <c r="G369" s="21"/>
      <c r="H369" s="21"/>
      <c r="I369" s="21"/>
      <c r="J369" s="21"/>
      <c r="K369" s="21"/>
      <c r="L369" s="21"/>
      <c r="M369" s="23"/>
    </row>
    <row r="370" spans="2:13" ht="20.5" hidden="1" customHeight="1" x14ac:dyDescent="0.2">
      <c r="B370" s="14"/>
      <c r="C370" s="76" t="s">
        <v>67</v>
      </c>
      <c r="M370" s="15"/>
    </row>
    <row r="371" spans="2:13" ht="6.75" hidden="1" customHeight="1" x14ac:dyDescent="0.2">
      <c r="B371" s="14"/>
      <c r="M371" s="15"/>
    </row>
    <row r="372" spans="2:13" ht="21" hidden="1" customHeight="1" x14ac:dyDescent="0.2">
      <c r="B372" s="12">
        <v>37</v>
      </c>
      <c r="C372" s="287" t="s">
        <v>130</v>
      </c>
      <c r="D372" s="287"/>
      <c r="E372" s="287"/>
      <c r="F372" s="287"/>
      <c r="H372" s="203"/>
      <c r="I372" s="2"/>
      <c r="J372" s="2"/>
      <c r="K372" s="203"/>
      <c r="M372" s="15"/>
    </row>
    <row r="373" spans="2:13" ht="21" hidden="1" customHeight="1" x14ac:dyDescent="0.2">
      <c r="B373" s="12">
        <v>38</v>
      </c>
      <c r="C373" s="287" t="s">
        <v>131</v>
      </c>
      <c r="D373" s="287"/>
      <c r="E373" s="287"/>
      <c r="F373" s="287"/>
      <c r="H373" s="208"/>
      <c r="I373" s="2"/>
      <c r="J373" s="2"/>
      <c r="K373" s="208"/>
      <c r="M373" s="15"/>
    </row>
    <row r="374" spans="2:13" ht="6.75" hidden="1" customHeight="1" x14ac:dyDescent="0.2">
      <c r="B374" s="14"/>
      <c r="M374" s="15"/>
    </row>
    <row r="375" spans="2:13" hidden="1" x14ac:dyDescent="0.2">
      <c r="B375" s="16"/>
      <c r="C375" s="182" t="s">
        <v>3</v>
      </c>
      <c r="D375" s="17"/>
      <c r="E375" s="17"/>
      <c r="F375" s="17"/>
      <c r="G375" s="3"/>
      <c r="H375" s="210">
        <f>IFERROR(SUM(H372:H373),0)</f>
        <v>0</v>
      </c>
      <c r="I375" s="3"/>
      <c r="J375" s="3"/>
      <c r="K375" s="210">
        <f>IFERROR(SUM(K372:K373),0)</f>
        <v>0</v>
      </c>
      <c r="M375" s="15"/>
    </row>
    <row r="376" spans="2:13" ht="12.5" hidden="1" customHeight="1" x14ac:dyDescent="0.2">
      <c r="B376" s="14"/>
      <c r="M376" s="15"/>
    </row>
    <row r="377" spans="2:13" ht="20" hidden="1" customHeight="1" x14ac:dyDescent="0.2">
      <c r="B377" s="14"/>
      <c r="C377" s="76" t="s">
        <v>78</v>
      </c>
      <c r="M377" s="15"/>
    </row>
    <row r="378" spans="2:13" ht="6.75" hidden="1" customHeight="1" x14ac:dyDescent="0.2">
      <c r="B378" s="14"/>
      <c r="M378" s="15"/>
    </row>
    <row r="379" spans="2:13" s="2" customFormat="1" ht="21" hidden="1" customHeight="1" x14ac:dyDescent="0.2">
      <c r="B379" s="12">
        <v>39</v>
      </c>
      <c r="C379" s="287" t="s">
        <v>132</v>
      </c>
      <c r="D379" s="287"/>
      <c r="E379" s="287"/>
      <c r="F379" s="287"/>
      <c r="H379" s="208"/>
      <c r="K379" s="208"/>
      <c r="M379" s="13"/>
    </row>
    <row r="380" spans="2:13" ht="12.5" hidden="1" customHeight="1" x14ac:dyDescent="0.2">
      <c r="B380" s="14"/>
      <c r="M380" s="15"/>
    </row>
    <row r="381" spans="2:13" ht="20" hidden="1" customHeight="1" x14ac:dyDescent="0.2">
      <c r="B381" s="14"/>
      <c r="C381" s="76" t="s">
        <v>72</v>
      </c>
      <c r="M381" s="15"/>
    </row>
    <row r="382" spans="2:13" ht="8.25" hidden="1" customHeight="1" x14ac:dyDescent="0.2">
      <c r="B382" s="14"/>
      <c r="M382" s="15"/>
    </row>
    <row r="383" spans="2:13" ht="21" hidden="1" customHeight="1" x14ac:dyDescent="0.2">
      <c r="B383" s="12">
        <v>40</v>
      </c>
      <c r="C383" s="287" t="s">
        <v>585</v>
      </c>
      <c r="D383" s="287"/>
      <c r="E383" s="287"/>
      <c r="F383" s="287"/>
      <c r="G383" s="24" t="s">
        <v>9</v>
      </c>
      <c r="H383" s="209"/>
      <c r="I383" s="25" t="s">
        <v>10</v>
      </c>
      <c r="J383" s="24" t="s">
        <v>9</v>
      </c>
      <c r="K383" s="209"/>
      <c r="L383" s="25" t="s">
        <v>10</v>
      </c>
      <c r="M383" s="15"/>
    </row>
    <row r="384" spans="2:13" ht="21" hidden="1" customHeight="1" x14ac:dyDescent="0.2">
      <c r="B384" s="12">
        <v>41</v>
      </c>
      <c r="C384" s="287" t="s">
        <v>138</v>
      </c>
      <c r="D384" s="287"/>
      <c r="E384" s="287"/>
      <c r="F384" s="287"/>
      <c r="H384" s="203"/>
      <c r="I384" s="2"/>
      <c r="J384" s="2"/>
      <c r="K384" s="203"/>
      <c r="M384" s="15"/>
    </row>
    <row r="385" spans="1:13" ht="21" hidden="1" customHeight="1" x14ac:dyDescent="0.2">
      <c r="B385" s="12">
        <v>42</v>
      </c>
      <c r="C385" s="287" t="s">
        <v>135</v>
      </c>
      <c r="D385" s="287"/>
      <c r="E385" s="287"/>
      <c r="F385" s="287"/>
      <c r="H385" s="203"/>
      <c r="I385" s="2"/>
      <c r="J385" s="2"/>
      <c r="K385" s="203"/>
      <c r="M385" s="15"/>
    </row>
    <row r="386" spans="1:13" ht="21" hidden="1" customHeight="1" x14ac:dyDescent="0.2">
      <c r="B386" s="12">
        <v>43</v>
      </c>
      <c r="C386" s="287" t="s">
        <v>139</v>
      </c>
      <c r="D386" s="287"/>
      <c r="E386" s="287"/>
      <c r="F386" s="287"/>
      <c r="H386" s="203"/>
      <c r="I386" s="2"/>
      <c r="J386" s="2"/>
      <c r="K386" s="203"/>
      <c r="M386" s="15"/>
    </row>
    <row r="387" spans="1:13" ht="21" hidden="1" customHeight="1" x14ac:dyDescent="0.2">
      <c r="B387" s="12">
        <v>44</v>
      </c>
      <c r="C387" s="287" t="s">
        <v>596</v>
      </c>
      <c r="D387" s="287"/>
      <c r="E387" s="287"/>
      <c r="F387" s="287"/>
      <c r="H387" s="203"/>
      <c r="I387" s="2"/>
      <c r="J387" s="2"/>
      <c r="K387" s="203"/>
      <c r="M387" s="15"/>
    </row>
    <row r="388" spans="1:13" ht="21" hidden="1" customHeight="1" x14ac:dyDescent="0.2">
      <c r="B388" s="12">
        <v>45</v>
      </c>
      <c r="C388" s="287" t="s">
        <v>140</v>
      </c>
      <c r="D388" s="287"/>
      <c r="E388" s="287"/>
      <c r="F388" s="287"/>
      <c r="G388" s="24" t="s">
        <v>9</v>
      </c>
      <c r="H388" s="209"/>
      <c r="I388" s="25" t="s">
        <v>10</v>
      </c>
      <c r="J388" s="24" t="s">
        <v>9</v>
      </c>
      <c r="K388" s="209"/>
      <c r="L388" s="25" t="s">
        <v>10</v>
      </c>
      <c r="M388" s="15"/>
    </row>
    <row r="389" spans="1:13" ht="21" hidden="1" customHeight="1" x14ac:dyDescent="0.2">
      <c r="B389" s="12">
        <v>46</v>
      </c>
      <c r="C389" s="287" t="s">
        <v>508</v>
      </c>
      <c r="D389" s="287"/>
      <c r="E389" s="287"/>
      <c r="F389" s="287"/>
      <c r="G389" s="24" t="s">
        <v>9</v>
      </c>
      <c r="H389" s="214"/>
      <c r="I389" s="25" t="s">
        <v>10</v>
      </c>
      <c r="J389" s="24" t="s">
        <v>9</v>
      </c>
      <c r="K389" s="214"/>
      <c r="L389" s="25" t="s">
        <v>10</v>
      </c>
      <c r="M389" s="15"/>
    </row>
    <row r="390" spans="1:13" ht="6.75" hidden="1" customHeight="1" x14ac:dyDescent="0.2">
      <c r="B390" s="14"/>
      <c r="M390" s="15"/>
    </row>
    <row r="391" spans="1:13" hidden="1" x14ac:dyDescent="0.2">
      <c r="B391" s="12"/>
      <c r="C391" s="36" t="s">
        <v>3</v>
      </c>
      <c r="D391" s="3"/>
      <c r="E391" s="3"/>
      <c r="F391" s="3"/>
      <c r="G391" s="3"/>
      <c r="H391" s="210">
        <f>IFERROR(-H383+SUM(H384:H387)-H388-H389,0)</f>
        <v>0</v>
      </c>
      <c r="I391" s="3"/>
      <c r="J391" s="3"/>
      <c r="K391" s="210">
        <f>IFERROR(-K383+SUM(K384:K387)-K388-K389,0)</f>
        <v>0</v>
      </c>
      <c r="M391" s="15"/>
    </row>
    <row r="392" spans="1:13" ht="6.75" hidden="1" customHeight="1" x14ac:dyDescent="0.2">
      <c r="B392" s="14"/>
      <c r="M392" s="15"/>
    </row>
    <row r="393" spans="1:13" ht="21" hidden="1" customHeight="1" x14ac:dyDescent="0.2">
      <c r="B393" s="12">
        <v>47</v>
      </c>
      <c r="C393" s="287" t="s">
        <v>16</v>
      </c>
      <c r="D393" s="287"/>
      <c r="E393" s="287"/>
      <c r="F393" s="287"/>
      <c r="G393" s="17"/>
      <c r="H393" s="262"/>
      <c r="I393" s="2"/>
      <c r="J393" s="2"/>
      <c r="K393" s="262"/>
      <c r="M393" s="15"/>
    </row>
    <row r="394" spans="1:13" ht="6.75" hidden="1" customHeight="1" x14ac:dyDescent="0.2">
      <c r="B394" s="14"/>
      <c r="M394" s="15"/>
    </row>
    <row r="395" spans="1:13" hidden="1" x14ac:dyDescent="0.2">
      <c r="B395" s="16"/>
      <c r="C395" s="17" t="s">
        <v>18</v>
      </c>
      <c r="D395" s="3"/>
      <c r="E395" s="3"/>
      <c r="F395" s="3"/>
      <c r="G395" s="3"/>
      <c r="H395" s="210">
        <f>IFERROR(H391*H393,0)</f>
        <v>0</v>
      </c>
      <c r="I395" s="3"/>
      <c r="J395" s="3"/>
      <c r="K395" s="210">
        <f>IFERROR(K391*K393,0)</f>
        <v>0</v>
      </c>
      <c r="M395" s="15"/>
    </row>
    <row r="396" spans="1:13" ht="12" hidden="1" customHeight="1" thickBot="1" x14ac:dyDescent="0.25">
      <c r="B396" s="18"/>
      <c r="C396" s="19"/>
      <c r="D396" s="19"/>
      <c r="E396" s="19"/>
      <c r="F396" s="19"/>
      <c r="G396" s="19"/>
      <c r="H396" s="19"/>
      <c r="I396" s="19"/>
      <c r="J396" s="19"/>
      <c r="K396" s="19"/>
      <c r="L396" s="19"/>
      <c r="M396" s="20"/>
    </row>
    <row r="397" spans="1:13" ht="14" customHeight="1" thickBot="1" x14ac:dyDescent="0.25"/>
    <row r="398" spans="1:13" ht="21" customHeight="1" thickBot="1" x14ac:dyDescent="0.25">
      <c r="A398" s="2"/>
      <c r="B398" s="7" t="s">
        <v>2</v>
      </c>
      <c r="C398" s="293" t="s">
        <v>107</v>
      </c>
      <c r="D398" s="294"/>
      <c r="E398" s="295"/>
      <c r="F398" s="295"/>
      <c r="G398" s="295"/>
      <c r="H398" s="8">
        <f>IF(ISNUMBER($H$5),$H$5,"")</f>
        <v>2024</v>
      </c>
      <c r="I398" s="10"/>
      <c r="J398" s="10"/>
      <c r="K398" s="8">
        <f>IF(ISNUMBER($K$5),$K$5,"")</f>
        <v>2023</v>
      </c>
      <c r="L398" s="10"/>
      <c r="M398" s="11"/>
    </row>
    <row r="399" spans="1:13" ht="6.75" hidden="1" customHeight="1" x14ac:dyDescent="0.2">
      <c r="B399" s="22"/>
      <c r="C399" s="21"/>
      <c r="D399" s="21"/>
      <c r="E399" s="21"/>
      <c r="F399" s="21"/>
      <c r="G399" s="21"/>
      <c r="H399" s="21"/>
      <c r="I399" s="21"/>
      <c r="J399" s="21"/>
      <c r="K399" s="21"/>
      <c r="L399" s="21"/>
      <c r="M399" s="23"/>
    </row>
    <row r="400" spans="1:13" ht="20.5" hidden="1" customHeight="1" x14ac:dyDescent="0.2">
      <c r="B400" s="14"/>
      <c r="C400" s="76" t="s">
        <v>67</v>
      </c>
      <c r="M400" s="15"/>
    </row>
    <row r="401" spans="2:13" ht="6.75" hidden="1" customHeight="1" x14ac:dyDescent="0.2">
      <c r="B401" s="14"/>
      <c r="M401" s="15"/>
    </row>
    <row r="402" spans="2:13" ht="21" hidden="1" customHeight="1" x14ac:dyDescent="0.2">
      <c r="B402" s="12">
        <v>37</v>
      </c>
      <c r="C402" s="287" t="s">
        <v>130</v>
      </c>
      <c r="D402" s="287"/>
      <c r="E402" s="287"/>
      <c r="F402" s="287"/>
      <c r="H402" s="203"/>
      <c r="I402" s="2"/>
      <c r="J402" s="2"/>
      <c r="K402" s="203"/>
      <c r="M402" s="15"/>
    </row>
    <row r="403" spans="2:13" ht="21" hidden="1" customHeight="1" x14ac:dyDescent="0.2">
      <c r="B403" s="12">
        <v>38</v>
      </c>
      <c r="C403" s="287" t="s">
        <v>131</v>
      </c>
      <c r="D403" s="287"/>
      <c r="E403" s="287"/>
      <c r="F403" s="287"/>
      <c r="H403" s="208"/>
      <c r="I403" s="2"/>
      <c r="J403" s="2"/>
      <c r="K403" s="208"/>
      <c r="M403" s="15"/>
    </row>
    <row r="404" spans="2:13" ht="6.75" hidden="1" customHeight="1" x14ac:dyDescent="0.2">
      <c r="B404" s="14"/>
      <c r="M404" s="15"/>
    </row>
    <row r="405" spans="2:13" hidden="1" x14ac:dyDescent="0.2">
      <c r="B405" s="16"/>
      <c r="C405" s="182" t="s">
        <v>3</v>
      </c>
      <c r="D405" s="17"/>
      <c r="E405" s="17"/>
      <c r="F405" s="17"/>
      <c r="G405" s="3"/>
      <c r="H405" s="210">
        <f>IFERROR(SUM(H402:H403),0)</f>
        <v>0</v>
      </c>
      <c r="I405" s="3"/>
      <c r="J405" s="3"/>
      <c r="K405" s="210">
        <f>IFERROR(SUM(K402:K403),0)</f>
        <v>0</v>
      </c>
      <c r="M405" s="15"/>
    </row>
    <row r="406" spans="2:13" ht="12.5" hidden="1" customHeight="1" x14ac:dyDescent="0.2">
      <c r="B406" s="14"/>
      <c r="M406" s="15"/>
    </row>
    <row r="407" spans="2:13" ht="20" hidden="1" customHeight="1" x14ac:dyDescent="0.2">
      <c r="B407" s="14"/>
      <c r="C407" s="76" t="s">
        <v>78</v>
      </c>
      <c r="M407" s="15"/>
    </row>
    <row r="408" spans="2:13" ht="6.75" hidden="1" customHeight="1" x14ac:dyDescent="0.2">
      <c r="B408" s="14"/>
      <c r="M408" s="15"/>
    </row>
    <row r="409" spans="2:13" s="2" customFormat="1" ht="21" hidden="1" customHeight="1" x14ac:dyDescent="0.2">
      <c r="B409" s="12">
        <v>39</v>
      </c>
      <c r="C409" s="287" t="s">
        <v>132</v>
      </c>
      <c r="D409" s="287"/>
      <c r="E409" s="287"/>
      <c r="F409" s="287"/>
      <c r="H409" s="208"/>
      <c r="K409" s="208"/>
      <c r="M409" s="13"/>
    </row>
    <row r="410" spans="2:13" ht="12.5" hidden="1" customHeight="1" x14ac:dyDescent="0.2">
      <c r="B410" s="14"/>
      <c r="M410" s="15"/>
    </row>
    <row r="411" spans="2:13" ht="20" hidden="1" customHeight="1" x14ac:dyDescent="0.2">
      <c r="B411" s="14"/>
      <c r="C411" s="76" t="s">
        <v>72</v>
      </c>
      <c r="M411" s="15"/>
    </row>
    <row r="412" spans="2:13" ht="8.25" hidden="1" customHeight="1" x14ac:dyDescent="0.2">
      <c r="B412" s="14"/>
      <c r="M412" s="15"/>
    </row>
    <row r="413" spans="2:13" ht="21" hidden="1" customHeight="1" x14ac:dyDescent="0.2">
      <c r="B413" s="12">
        <v>40</v>
      </c>
      <c r="C413" s="287" t="s">
        <v>585</v>
      </c>
      <c r="D413" s="287"/>
      <c r="E413" s="287"/>
      <c r="F413" s="287"/>
      <c r="G413" s="24" t="s">
        <v>9</v>
      </c>
      <c r="H413" s="209"/>
      <c r="I413" s="25" t="s">
        <v>10</v>
      </c>
      <c r="J413" s="24" t="s">
        <v>9</v>
      </c>
      <c r="K413" s="209"/>
      <c r="L413" s="25" t="s">
        <v>10</v>
      </c>
      <c r="M413" s="15"/>
    </row>
    <row r="414" spans="2:13" ht="21" hidden="1" customHeight="1" x14ac:dyDescent="0.2">
      <c r="B414" s="12">
        <v>41</v>
      </c>
      <c r="C414" s="287" t="s">
        <v>138</v>
      </c>
      <c r="D414" s="287"/>
      <c r="E414" s="287"/>
      <c r="F414" s="287"/>
      <c r="H414" s="203"/>
      <c r="I414" s="2"/>
      <c r="J414" s="2"/>
      <c r="K414" s="203"/>
      <c r="M414" s="15"/>
    </row>
    <row r="415" spans="2:13" ht="21" hidden="1" customHeight="1" x14ac:dyDescent="0.2">
      <c r="B415" s="12">
        <v>42</v>
      </c>
      <c r="C415" s="287" t="s">
        <v>135</v>
      </c>
      <c r="D415" s="287"/>
      <c r="E415" s="287"/>
      <c r="F415" s="287"/>
      <c r="H415" s="203"/>
      <c r="I415" s="2"/>
      <c r="J415" s="2"/>
      <c r="K415" s="203"/>
      <c r="M415" s="15"/>
    </row>
    <row r="416" spans="2:13" ht="21" hidden="1" customHeight="1" x14ac:dyDescent="0.2">
      <c r="B416" s="12">
        <v>43</v>
      </c>
      <c r="C416" s="287" t="s">
        <v>139</v>
      </c>
      <c r="D416" s="287"/>
      <c r="E416" s="287"/>
      <c r="F416" s="287"/>
      <c r="H416" s="203"/>
      <c r="I416" s="2"/>
      <c r="J416" s="2"/>
      <c r="K416" s="203"/>
      <c r="M416" s="15"/>
    </row>
    <row r="417" spans="1:13" ht="21" hidden="1" customHeight="1" x14ac:dyDescent="0.2">
      <c r="B417" s="12">
        <v>44</v>
      </c>
      <c r="C417" s="287" t="s">
        <v>596</v>
      </c>
      <c r="D417" s="287"/>
      <c r="E417" s="287"/>
      <c r="F417" s="287"/>
      <c r="H417" s="203"/>
      <c r="I417" s="2"/>
      <c r="J417" s="2"/>
      <c r="K417" s="203"/>
      <c r="M417" s="15"/>
    </row>
    <row r="418" spans="1:13" ht="21" hidden="1" customHeight="1" x14ac:dyDescent="0.2">
      <c r="B418" s="12">
        <v>45</v>
      </c>
      <c r="C418" s="287" t="s">
        <v>140</v>
      </c>
      <c r="D418" s="287"/>
      <c r="E418" s="287"/>
      <c r="F418" s="287"/>
      <c r="G418" s="24" t="s">
        <v>9</v>
      </c>
      <c r="H418" s="209"/>
      <c r="I418" s="25" t="s">
        <v>10</v>
      </c>
      <c r="J418" s="24" t="s">
        <v>9</v>
      </c>
      <c r="K418" s="209"/>
      <c r="L418" s="25" t="s">
        <v>10</v>
      </c>
      <c r="M418" s="15"/>
    </row>
    <row r="419" spans="1:13" ht="21" hidden="1" customHeight="1" x14ac:dyDescent="0.2">
      <c r="B419" s="12">
        <v>46</v>
      </c>
      <c r="C419" s="287" t="s">
        <v>508</v>
      </c>
      <c r="D419" s="287"/>
      <c r="E419" s="287"/>
      <c r="F419" s="287"/>
      <c r="G419" s="24" t="s">
        <v>9</v>
      </c>
      <c r="H419" s="214"/>
      <c r="I419" s="25" t="s">
        <v>10</v>
      </c>
      <c r="J419" s="24" t="s">
        <v>9</v>
      </c>
      <c r="K419" s="214"/>
      <c r="L419" s="25" t="s">
        <v>10</v>
      </c>
      <c r="M419" s="15"/>
    </row>
    <row r="420" spans="1:13" ht="6.75" hidden="1" customHeight="1" x14ac:dyDescent="0.2">
      <c r="B420" s="14"/>
      <c r="M420" s="15"/>
    </row>
    <row r="421" spans="1:13" hidden="1" x14ac:dyDescent="0.2">
      <c r="B421" s="12"/>
      <c r="C421" s="36" t="s">
        <v>3</v>
      </c>
      <c r="D421" s="3"/>
      <c r="E421" s="3"/>
      <c r="F421" s="3"/>
      <c r="G421" s="3"/>
      <c r="H421" s="210">
        <f>IFERROR(-H413+SUM(H414:H417)-H418-H419,0)</f>
        <v>0</v>
      </c>
      <c r="I421" s="3"/>
      <c r="J421" s="3"/>
      <c r="K421" s="210">
        <f>IFERROR(-K413+SUM(K414:K417)-K418-K419,0)</f>
        <v>0</v>
      </c>
      <c r="M421" s="15"/>
    </row>
    <row r="422" spans="1:13" ht="6.75" hidden="1" customHeight="1" x14ac:dyDescent="0.2">
      <c r="B422" s="14"/>
      <c r="M422" s="15"/>
    </row>
    <row r="423" spans="1:13" ht="21" hidden="1" customHeight="1" x14ac:dyDescent="0.2">
      <c r="B423" s="12">
        <v>47</v>
      </c>
      <c r="C423" s="287" t="s">
        <v>16</v>
      </c>
      <c r="D423" s="287"/>
      <c r="E423" s="287"/>
      <c r="F423" s="287"/>
      <c r="G423" s="17"/>
      <c r="H423" s="262"/>
      <c r="I423" s="2"/>
      <c r="J423" s="2"/>
      <c r="K423" s="262"/>
      <c r="M423" s="15"/>
    </row>
    <row r="424" spans="1:13" ht="6.75" hidden="1" customHeight="1" x14ac:dyDescent="0.2">
      <c r="B424" s="14"/>
      <c r="M424" s="15"/>
    </row>
    <row r="425" spans="1:13" hidden="1" x14ac:dyDescent="0.2">
      <c r="B425" s="16"/>
      <c r="C425" s="17" t="s">
        <v>18</v>
      </c>
      <c r="D425" s="3"/>
      <c r="E425" s="3"/>
      <c r="F425" s="3"/>
      <c r="G425" s="3"/>
      <c r="H425" s="210">
        <f>IFERROR(H421*H423,0)</f>
        <v>0</v>
      </c>
      <c r="I425" s="3"/>
      <c r="J425" s="3"/>
      <c r="K425" s="210">
        <f>IFERROR(K421*K423,0)</f>
        <v>0</v>
      </c>
      <c r="M425" s="15"/>
    </row>
    <row r="426" spans="1:13" ht="12" hidden="1" customHeight="1" thickBot="1" x14ac:dyDescent="0.25">
      <c r="B426" s="18"/>
      <c r="C426" s="19"/>
      <c r="D426" s="19"/>
      <c r="E426" s="19"/>
      <c r="F426" s="19"/>
      <c r="G426" s="19"/>
      <c r="H426" s="19"/>
      <c r="I426" s="19"/>
      <c r="J426" s="19"/>
      <c r="K426" s="19"/>
      <c r="L426" s="19"/>
      <c r="M426" s="20"/>
    </row>
    <row r="427" spans="1:13" ht="14" customHeight="1" thickBot="1" x14ac:dyDescent="0.25"/>
    <row r="428" spans="1:13" ht="21" customHeight="1" thickBot="1" x14ac:dyDescent="0.25">
      <c r="A428" s="2"/>
      <c r="B428" s="7" t="s">
        <v>2</v>
      </c>
      <c r="C428" s="293" t="s">
        <v>107</v>
      </c>
      <c r="D428" s="294"/>
      <c r="E428" s="295"/>
      <c r="F428" s="295"/>
      <c r="G428" s="295"/>
      <c r="H428" s="8">
        <f>IF(ISNUMBER($H$5),$H$5,"")</f>
        <v>2024</v>
      </c>
      <c r="I428" s="10"/>
      <c r="J428" s="10"/>
      <c r="K428" s="8">
        <f>IF(ISNUMBER($K$5),$K$5,"")</f>
        <v>2023</v>
      </c>
      <c r="L428" s="10"/>
      <c r="M428" s="11"/>
    </row>
    <row r="429" spans="1:13" ht="6.75" hidden="1" customHeight="1" x14ac:dyDescent="0.2">
      <c r="B429" s="22"/>
      <c r="C429" s="21"/>
      <c r="D429" s="21"/>
      <c r="E429" s="21"/>
      <c r="F429" s="21"/>
      <c r="G429" s="21"/>
      <c r="H429" s="21"/>
      <c r="I429" s="21"/>
      <c r="J429" s="21"/>
      <c r="K429" s="21"/>
      <c r="L429" s="21"/>
      <c r="M429" s="23"/>
    </row>
    <row r="430" spans="1:13" ht="20.5" hidden="1" customHeight="1" x14ac:dyDescent="0.2">
      <c r="B430" s="14"/>
      <c r="C430" s="76" t="s">
        <v>67</v>
      </c>
      <c r="M430" s="15"/>
    </row>
    <row r="431" spans="1:13" ht="6.75" hidden="1" customHeight="1" x14ac:dyDescent="0.2">
      <c r="B431" s="14"/>
      <c r="M431" s="15"/>
    </row>
    <row r="432" spans="1:13" ht="21" hidden="1" customHeight="1" x14ac:dyDescent="0.2">
      <c r="B432" s="12">
        <v>37</v>
      </c>
      <c r="C432" s="287" t="s">
        <v>130</v>
      </c>
      <c r="D432" s="287"/>
      <c r="E432" s="287"/>
      <c r="F432" s="287"/>
      <c r="H432" s="203"/>
      <c r="I432" s="2"/>
      <c r="J432" s="2"/>
      <c r="K432" s="203"/>
      <c r="M432" s="15"/>
    </row>
    <row r="433" spans="2:13" ht="21" hidden="1" customHeight="1" x14ac:dyDescent="0.2">
      <c r="B433" s="12">
        <v>38</v>
      </c>
      <c r="C433" s="287" t="s">
        <v>131</v>
      </c>
      <c r="D433" s="287"/>
      <c r="E433" s="287"/>
      <c r="F433" s="287"/>
      <c r="H433" s="208"/>
      <c r="I433" s="2"/>
      <c r="J433" s="2"/>
      <c r="K433" s="208"/>
      <c r="M433" s="15"/>
    </row>
    <row r="434" spans="2:13" ht="6.75" hidden="1" customHeight="1" x14ac:dyDescent="0.2">
      <c r="B434" s="14"/>
      <c r="M434" s="15"/>
    </row>
    <row r="435" spans="2:13" hidden="1" x14ac:dyDescent="0.2">
      <c r="B435" s="16"/>
      <c r="C435" s="182" t="s">
        <v>3</v>
      </c>
      <c r="D435" s="17"/>
      <c r="E435" s="17"/>
      <c r="F435" s="17"/>
      <c r="G435" s="3"/>
      <c r="H435" s="210">
        <f>IFERROR(SUM(H432:H433),0)</f>
        <v>0</v>
      </c>
      <c r="I435" s="3"/>
      <c r="J435" s="3"/>
      <c r="K435" s="210">
        <f>IFERROR(SUM(K432:K433),0)</f>
        <v>0</v>
      </c>
      <c r="M435" s="15"/>
    </row>
    <row r="436" spans="2:13" ht="12.5" hidden="1" customHeight="1" x14ac:dyDescent="0.2">
      <c r="B436" s="14"/>
      <c r="M436" s="15"/>
    </row>
    <row r="437" spans="2:13" ht="20" hidden="1" customHeight="1" x14ac:dyDescent="0.2">
      <c r="B437" s="14"/>
      <c r="C437" s="76" t="s">
        <v>78</v>
      </c>
      <c r="M437" s="15"/>
    </row>
    <row r="438" spans="2:13" ht="6.75" hidden="1" customHeight="1" x14ac:dyDescent="0.2">
      <c r="B438" s="14"/>
      <c r="M438" s="15"/>
    </row>
    <row r="439" spans="2:13" s="2" customFormat="1" ht="21" hidden="1" customHeight="1" x14ac:dyDescent="0.2">
      <c r="B439" s="12">
        <v>39</v>
      </c>
      <c r="C439" s="287" t="s">
        <v>132</v>
      </c>
      <c r="D439" s="287"/>
      <c r="E439" s="287"/>
      <c r="F439" s="287"/>
      <c r="H439" s="208"/>
      <c r="K439" s="208"/>
      <c r="M439" s="13"/>
    </row>
    <row r="440" spans="2:13" ht="12.5" hidden="1" customHeight="1" x14ac:dyDescent="0.2">
      <c r="B440" s="14"/>
      <c r="M440" s="15"/>
    </row>
    <row r="441" spans="2:13" ht="20" hidden="1" customHeight="1" x14ac:dyDescent="0.2">
      <c r="B441" s="14"/>
      <c r="C441" s="76" t="s">
        <v>72</v>
      </c>
      <c r="M441" s="15"/>
    </row>
    <row r="442" spans="2:13" ht="8.25" hidden="1" customHeight="1" x14ac:dyDescent="0.2">
      <c r="B442" s="14"/>
      <c r="M442" s="15"/>
    </row>
    <row r="443" spans="2:13" ht="21" hidden="1" customHeight="1" x14ac:dyDescent="0.2">
      <c r="B443" s="12">
        <v>40</v>
      </c>
      <c r="C443" s="287" t="s">
        <v>585</v>
      </c>
      <c r="D443" s="287"/>
      <c r="E443" s="287"/>
      <c r="F443" s="287"/>
      <c r="G443" s="24" t="s">
        <v>9</v>
      </c>
      <c r="H443" s="209"/>
      <c r="I443" s="25" t="s">
        <v>10</v>
      </c>
      <c r="J443" s="24" t="s">
        <v>9</v>
      </c>
      <c r="K443" s="209"/>
      <c r="L443" s="25" t="s">
        <v>10</v>
      </c>
      <c r="M443" s="15"/>
    </row>
    <row r="444" spans="2:13" ht="21" hidden="1" customHeight="1" x14ac:dyDescent="0.2">
      <c r="B444" s="12">
        <v>41</v>
      </c>
      <c r="C444" s="287" t="s">
        <v>138</v>
      </c>
      <c r="D444" s="287"/>
      <c r="E444" s="287"/>
      <c r="F444" s="287"/>
      <c r="H444" s="203"/>
      <c r="I444" s="2"/>
      <c r="J444" s="2"/>
      <c r="K444" s="203"/>
      <c r="M444" s="15"/>
    </row>
    <row r="445" spans="2:13" ht="21" hidden="1" customHeight="1" x14ac:dyDescent="0.2">
      <c r="B445" s="12">
        <v>42</v>
      </c>
      <c r="C445" s="287" t="s">
        <v>135</v>
      </c>
      <c r="D445" s="287"/>
      <c r="E445" s="287"/>
      <c r="F445" s="287"/>
      <c r="H445" s="203"/>
      <c r="I445" s="2"/>
      <c r="J445" s="2"/>
      <c r="K445" s="203"/>
      <c r="M445" s="15"/>
    </row>
    <row r="446" spans="2:13" ht="21" hidden="1" customHeight="1" x14ac:dyDescent="0.2">
      <c r="B446" s="12">
        <v>43</v>
      </c>
      <c r="C446" s="287" t="s">
        <v>139</v>
      </c>
      <c r="D446" s="287"/>
      <c r="E446" s="287"/>
      <c r="F446" s="287"/>
      <c r="H446" s="203"/>
      <c r="I446" s="2"/>
      <c r="J446" s="2"/>
      <c r="K446" s="203"/>
      <c r="M446" s="15"/>
    </row>
    <row r="447" spans="2:13" ht="21" hidden="1" customHeight="1" x14ac:dyDescent="0.2">
      <c r="B447" s="12">
        <v>44</v>
      </c>
      <c r="C447" s="287" t="s">
        <v>596</v>
      </c>
      <c r="D447" s="287"/>
      <c r="E447" s="287"/>
      <c r="F447" s="287"/>
      <c r="H447" s="203"/>
      <c r="I447" s="2"/>
      <c r="J447" s="2"/>
      <c r="K447" s="203"/>
      <c r="M447" s="15"/>
    </row>
    <row r="448" spans="2:13" ht="21" hidden="1" customHeight="1" x14ac:dyDescent="0.2">
      <c r="B448" s="12">
        <v>45</v>
      </c>
      <c r="C448" s="287" t="s">
        <v>140</v>
      </c>
      <c r="D448" s="287"/>
      <c r="E448" s="287"/>
      <c r="F448" s="287"/>
      <c r="G448" s="24" t="s">
        <v>9</v>
      </c>
      <c r="H448" s="209"/>
      <c r="I448" s="25" t="s">
        <v>10</v>
      </c>
      <c r="J448" s="24" t="s">
        <v>9</v>
      </c>
      <c r="K448" s="209"/>
      <c r="L448" s="25" t="s">
        <v>10</v>
      </c>
      <c r="M448" s="15"/>
    </row>
    <row r="449" spans="1:13" ht="21" hidden="1" customHeight="1" x14ac:dyDescent="0.2">
      <c r="B449" s="12">
        <v>46</v>
      </c>
      <c r="C449" s="287" t="s">
        <v>508</v>
      </c>
      <c r="D449" s="287"/>
      <c r="E449" s="287"/>
      <c r="F449" s="287"/>
      <c r="G449" s="24" t="s">
        <v>9</v>
      </c>
      <c r="H449" s="214"/>
      <c r="I449" s="25" t="s">
        <v>10</v>
      </c>
      <c r="J449" s="24" t="s">
        <v>9</v>
      </c>
      <c r="K449" s="214"/>
      <c r="L449" s="25" t="s">
        <v>10</v>
      </c>
      <c r="M449" s="15"/>
    </row>
    <row r="450" spans="1:13" ht="6.75" hidden="1" customHeight="1" x14ac:dyDescent="0.2">
      <c r="B450" s="14"/>
      <c r="M450" s="15"/>
    </row>
    <row r="451" spans="1:13" hidden="1" x14ac:dyDescent="0.2">
      <c r="B451" s="12"/>
      <c r="C451" s="36" t="s">
        <v>3</v>
      </c>
      <c r="D451" s="3"/>
      <c r="E451" s="3"/>
      <c r="F451" s="3"/>
      <c r="G451" s="3"/>
      <c r="H451" s="210">
        <f>IFERROR(-H443+SUM(H444:H447)-H448-H449,0)</f>
        <v>0</v>
      </c>
      <c r="I451" s="3"/>
      <c r="J451" s="3"/>
      <c r="K451" s="210">
        <f>IFERROR(-K443+SUM(K444:K447)-K448-K449,0)</f>
        <v>0</v>
      </c>
      <c r="M451" s="15"/>
    </row>
    <row r="452" spans="1:13" ht="6.75" hidden="1" customHeight="1" x14ac:dyDescent="0.2">
      <c r="B452" s="14"/>
      <c r="M452" s="15"/>
    </row>
    <row r="453" spans="1:13" ht="21" hidden="1" customHeight="1" x14ac:dyDescent="0.2">
      <c r="B453" s="12">
        <v>47</v>
      </c>
      <c r="C453" s="287" t="s">
        <v>16</v>
      </c>
      <c r="D453" s="287"/>
      <c r="E453" s="287"/>
      <c r="F453" s="287"/>
      <c r="G453" s="17"/>
      <c r="H453" s="262"/>
      <c r="I453" s="2"/>
      <c r="J453" s="2"/>
      <c r="K453" s="262"/>
      <c r="M453" s="15"/>
    </row>
    <row r="454" spans="1:13" ht="6.75" hidden="1" customHeight="1" x14ac:dyDescent="0.2">
      <c r="B454" s="14"/>
      <c r="M454" s="15"/>
    </row>
    <row r="455" spans="1:13" hidden="1" x14ac:dyDescent="0.2">
      <c r="B455" s="16"/>
      <c r="C455" s="17" t="s">
        <v>18</v>
      </c>
      <c r="D455" s="3"/>
      <c r="E455" s="3"/>
      <c r="F455" s="3"/>
      <c r="G455" s="3"/>
      <c r="H455" s="210">
        <f>IFERROR(H451*H453,0)</f>
        <v>0</v>
      </c>
      <c r="I455" s="3"/>
      <c r="J455" s="3"/>
      <c r="K455" s="210">
        <f>IFERROR(K451*K453,0)</f>
        <v>0</v>
      </c>
      <c r="M455" s="15"/>
    </row>
    <row r="456" spans="1:13" ht="12" hidden="1" customHeight="1" thickBot="1" x14ac:dyDescent="0.25">
      <c r="B456" s="18"/>
      <c r="C456" s="19"/>
      <c r="D456" s="19"/>
      <c r="E456" s="19"/>
      <c r="F456" s="19"/>
      <c r="G456" s="19"/>
      <c r="H456" s="19"/>
      <c r="I456" s="19"/>
      <c r="J456" s="19"/>
      <c r="K456" s="19"/>
      <c r="L456" s="19"/>
      <c r="M456" s="20"/>
    </row>
    <row r="457" spans="1:13" ht="14" customHeight="1" thickBot="1" x14ac:dyDescent="0.25"/>
    <row r="458" spans="1:13" ht="21" customHeight="1" thickBot="1" x14ac:dyDescent="0.25">
      <c r="A458" s="2"/>
      <c r="B458" s="7" t="s">
        <v>2</v>
      </c>
      <c r="C458" s="293" t="s">
        <v>107</v>
      </c>
      <c r="D458" s="294"/>
      <c r="E458" s="295"/>
      <c r="F458" s="295"/>
      <c r="G458" s="295"/>
      <c r="H458" s="8">
        <f>IF(ISNUMBER($H$5),$H$5,"")</f>
        <v>2024</v>
      </c>
      <c r="I458" s="10"/>
      <c r="J458" s="10"/>
      <c r="K458" s="8">
        <f>IF(ISNUMBER($K$5),$K$5,"")</f>
        <v>2023</v>
      </c>
      <c r="L458" s="10"/>
      <c r="M458" s="11"/>
    </row>
    <row r="459" spans="1:13" ht="6.75" hidden="1" customHeight="1" x14ac:dyDescent="0.2">
      <c r="B459" s="22"/>
      <c r="C459" s="21"/>
      <c r="D459" s="21"/>
      <c r="E459" s="21"/>
      <c r="F459" s="21"/>
      <c r="G459" s="21"/>
      <c r="H459" s="21"/>
      <c r="I459" s="21"/>
      <c r="J459" s="21"/>
      <c r="K459" s="21"/>
      <c r="L459" s="21"/>
      <c r="M459" s="23"/>
    </row>
    <row r="460" spans="1:13" ht="20.5" hidden="1" customHeight="1" x14ac:dyDescent="0.2">
      <c r="B460" s="14"/>
      <c r="C460" s="76" t="s">
        <v>67</v>
      </c>
      <c r="M460" s="15"/>
    </row>
    <row r="461" spans="1:13" ht="6.75" hidden="1" customHeight="1" x14ac:dyDescent="0.2">
      <c r="B461" s="14"/>
      <c r="M461" s="15"/>
    </row>
    <row r="462" spans="1:13" ht="21" hidden="1" customHeight="1" x14ac:dyDescent="0.2">
      <c r="B462" s="12">
        <v>37</v>
      </c>
      <c r="C462" s="287" t="s">
        <v>130</v>
      </c>
      <c r="D462" s="287"/>
      <c r="E462" s="287"/>
      <c r="F462" s="287"/>
      <c r="H462" s="203"/>
      <c r="I462" s="2"/>
      <c r="J462" s="2"/>
      <c r="K462" s="203"/>
      <c r="M462" s="15"/>
    </row>
    <row r="463" spans="1:13" ht="21" hidden="1" customHeight="1" x14ac:dyDescent="0.2">
      <c r="B463" s="12">
        <v>38</v>
      </c>
      <c r="C463" s="287" t="s">
        <v>131</v>
      </c>
      <c r="D463" s="287"/>
      <c r="E463" s="287"/>
      <c r="F463" s="287"/>
      <c r="H463" s="208"/>
      <c r="I463" s="2"/>
      <c r="J463" s="2"/>
      <c r="K463" s="208"/>
      <c r="M463" s="15"/>
    </row>
    <row r="464" spans="1:13" ht="6.75" hidden="1" customHeight="1" x14ac:dyDescent="0.2">
      <c r="B464" s="14"/>
      <c r="M464" s="15"/>
    </row>
    <row r="465" spans="2:14" hidden="1" x14ac:dyDescent="0.2">
      <c r="B465" s="16"/>
      <c r="C465" s="182" t="s">
        <v>3</v>
      </c>
      <c r="D465" s="17"/>
      <c r="E465" s="17"/>
      <c r="F465" s="17"/>
      <c r="G465" s="3"/>
      <c r="H465" s="210">
        <f>IFERROR(SUM(H462:H463),0)</f>
        <v>0</v>
      </c>
      <c r="I465" s="3"/>
      <c r="J465" s="3"/>
      <c r="K465" s="210">
        <f>IFERROR(SUM(K462:K463),0)</f>
        <v>0</v>
      </c>
      <c r="M465" s="15"/>
    </row>
    <row r="466" spans="2:14" ht="12.5" hidden="1" customHeight="1" x14ac:dyDescent="0.2">
      <c r="B466" s="14"/>
      <c r="M466" s="15"/>
    </row>
    <row r="467" spans="2:14" ht="20" hidden="1" customHeight="1" x14ac:dyDescent="0.2">
      <c r="B467" s="14"/>
      <c r="C467" s="76" t="s">
        <v>78</v>
      </c>
      <c r="M467" s="15"/>
    </row>
    <row r="468" spans="2:14" ht="6.75" hidden="1" customHeight="1" x14ac:dyDescent="0.2">
      <c r="B468" s="14"/>
      <c r="M468" s="15"/>
    </row>
    <row r="469" spans="2:14" s="2" customFormat="1" ht="21" hidden="1" customHeight="1" x14ac:dyDescent="0.2">
      <c r="B469" s="12">
        <v>39</v>
      </c>
      <c r="C469" s="287" t="s">
        <v>132</v>
      </c>
      <c r="D469" s="287"/>
      <c r="E469" s="287"/>
      <c r="F469" s="287"/>
      <c r="H469" s="208"/>
      <c r="K469" s="208"/>
      <c r="M469" s="13"/>
      <c r="N469"/>
    </row>
    <row r="470" spans="2:14" ht="12.5" hidden="1" customHeight="1" x14ac:dyDescent="0.2">
      <c r="B470" s="14"/>
      <c r="M470" s="15"/>
    </row>
    <row r="471" spans="2:14" ht="20" hidden="1" customHeight="1" x14ac:dyDescent="0.2">
      <c r="B471" s="14"/>
      <c r="C471" s="76" t="s">
        <v>72</v>
      </c>
      <c r="M471" s="15"/>
    </row>
    <row r="472" spans="2:14" ht="8.25" hidden="1" customHeight="1" x14ac:dyDescent="0.2">
      <c r="B472" s="14"/>
      <c r="M472" s="15"/>
    </row>
    <row r="473" spans="2:14" ht="21" hidden="1" customHeight="1" x14ac:dyDescent="0.2">
      <c r="B473" s="12">
        <v>40</v>
      </c>
      <c r="C473" s="287" t="s">
        <v>585</v>
      </c>
      <c r="D473" s="287"/>
      <c r="E473" s="287"/>
      <c r="F473" s="287"/>
      <c r="G473" s="24" t="s">
        <v>9</v>
      </c>
      <c r="H473" s="209"/>
      <c r="I473" s="25" t="s">
        <v>10</v>
      </c>
      <c r="J473" s="24" t="s">
        <v>9</v>
      </c>
      <c r="K473" s="209"/>
      <c r="L473" s="25" t="s">
        <v>10</v>
      </c>
      <c r="M473" s="15"/>
    </row>
    <row r="474" spans="2:14" ht="21" hidden="1" customHeight="1" x14ac:dyDescent="0.2">
      <c r="B474" s="12">
        <v>41</v>
      </c>
      <c r="C474" s="287" t="s">
        <v>138</v>
      </c>
      <c r="D474" s="287"/>
      <c r="E474" s="287"/>
      <c r="F474" s="287"/>
      <c r="H474" s="203"/>
      <c r="I474" s="2"/>
      <c r="J474" s="2"/>
      <c r="K474" s="203"/>
      <c r="M474" s="15"/>
    </row>
    <row r="475" spans="2:14" ht="21" hidden="1" customHeight="1" x14ac:dyDescent="0.2">
      <c r="B475" s="12">
        <v>42</v>
      </c>
      <c r="C475" s="287" t="s">
        <v>135</v>
      </c>
      <c r="D475" s="287"/>
      <c r="E475" s="287"/>
      <c r="F475" s="287"/>
      <c r="H475" s="203"/>
      <c r="I475" s="2"/>
      <c r="J475" s="2"/>
      <c r="K475" s="203"/>
      <c r="M475" s="15"/>
    </row>
    <row r="476" spans="2:14" ht="21" hidden="1" customHeight="1" x14ac:dyDescent="0.2">
      <c r="B476" s="12">
        <v>43</v>
      </c>
      <c r="C476" s="287" t="s">
        <v>139</v>
      </c>
      <c r="D476" s="287"/>
      <c r="E476" s="287"/>
      <c r="F476" s="287"/>
      <c r="H476" s="203"/>
      <c r="I476" s="2"/>
      <c r="J476" s="2"/>
      <c r="K476" s="203"/>
      <c r="M476" s="15"/>
    </row>
    <row r="477" spans="2:14" ht="21" hidden="1" customHeight="1" x14ac:dyDescent="0.2">
      <c r="B477" s="12">
        <v>44</v>
      </c>
      <c r="C477" s="287" t="s">
        <v>596</v>
      </c>
      <c r="D477" s="287"/>
      <c r="E477" s="287"/>
      <c r="F477" s="287"/>
      <c r="H477" s="203"/>
      <c r="I477" s="2"/>
      <c r="J477" s="2"/>
      <c r="K477" s="203"/>
      <c r="M477" s="15"/>
    </row>
    <row r="478" spans="2:14" ht="21" hidden="1" customHeight="1" x14ac:dyDescent="0.2">
      <c r="B478" s="12">
        <v>45</v>
      </c>
      <c r="C478" s="287" t="s">
        <v>140</v>
      </c>
      <c r="D478" s="287"/>
      <c r="E478" s="287"/>
      <c r="F478" s="287"/>
      <c r="G478" s="24" t="s">
        <v>9</v>
      </c>
      <c r="H478" s="209"/>
      <c r="I478" s="25" t="s">
        <v>10</v>
      </c>
      <c r="J478" s="24" t="s">
        <v>9</v>
      </c>
      <c r="K478" s="209"/>
      <c r="L478" s="25" t="s">
        <v>10</v>
      </c>
      <c r="M478" s="15"/>
    </row>
    <row r="479" spans="2:14" ht="21" hidden="1" customHeight="1" x14ac:dyDescent="0.2">
      <c r="B479" s="12">
        <v>46</v>
      </c>
      <c r="C479" s="287" t="s">
        <v>508</v>
      </c>
      <c r="D479" s="287"/>
      <c r="E479" s="287"/>
      <c r="F479" s="287"/>
      <c r="G479" s="24" t="s">
        <v>9</v>
      </c>
      <c r="H479" s="214"/>
      <c r="I479" s="25" t="s">
        <v>10</v>
      </c>
      <c r="J479" s="24" t="s">
        <v>9</v>
      </c>
      <c r="K479" s="214"/>
      <c r="L479" s="25" t="s">
        <v>10</v>
      </c>
      <c r="M479" s="15"/>
    </row>
    <row r="480" spans="2:14" ht="6.75" hidden="1" customHeight="1" x14ac:dyDescent="0.2">
      <c r="B480" s="14"/>
      <c r="M480" s="15"/>
    </row>
    <row r="481" spans="1:14" hidden="1" x14ac:dyDescent="0.2">
      <c r="B481" s="12"/>
      <c r="C481" s="36" t="s">
        <v>3</v>
      </c>
      <c r="D481" s="3"/>
      <c r="E481" s="3"/>
      <c r="F481" s="3"/>
      <c r="G481" s="3"/>
      <c r="H481" s="210">
        <f>IFERROR(-H473+SUM(H474:H477)-H478-H479,0)</f>
        <v>0</v>
      </c>
      <c r="I481" s="3"/>
      <c r="J481" s="3"/>
      <c r="K481" s="210">
        <f>IFERROR(-K473+SUM(K474:K477)-K478-K479,0)</f>
        <v>0</v>
      </c>
      <c r="M481" s="15"/>
    </row>
    <row r="482" spans="1:14" ht="6.75" hidden="1" customHeight="1" x14ac:dyDescent="0.2">
      <c r="B482" s="14"/>
      <c r="M482" s="15"/>
    </row>
    <row r="483" spans="1:14" ht="21" hidden="1" customHeight="1" x14ac:dyDescent="0.2">
      <c r="B483" s="12">
        <v>47</v>
      </c>
      <c r="C483" s="287" t="s">
        <v>16</v>
      </c>
      <c r="D483" s="287"/>
      <c r="E483" s="287"/>
      <c r="F483" s="287"/>
      <c r="G483" s="17"/>
      <c r="H483" s="262"/>
      <c r="I483" s="2"/>
      <c r="J483" s="2"/>
      <c r="K483" s="262"/>
      <c r="M483" s="15"/>
    </row>
    <row r="484" spans="1:14" ht="6.75" hidden="1" customHeight="1" x14ac:dyDescent="0.2">
      <c r="B484" s="14"/>
      <c r="M484" s="15"/>
    </row>
    <row r="485" spans="1:14" hidden="1" x14ac:dyDescent="0.2">
      <c r="B485" s="16"/>
      <c r="C485" s="17" t="s">
        <v>18</v>
      </c>
      <c r="D485" s="3"/>
      <c r="E485" s="3"/>
      <c r="F485" s="3"/>
      <c r="G485" s="3"/>
      <c r="H485" s="210">
        <f>IFERROR(H481*H483,0)</f>
        <v>0</v>
      </c>
      <c r="I485" s="3"/>
      <c r="J485" s="3"/>
      <c r="K485" s="210">
        <f>IFERROR(K481*K483,0)</f>
        <v>0</v>
      </c>
      <c r="M485" s="15"/>
    </row>
    <row r="486" spans="1:14" ht="12" hidden="1" customHeight="1" thickBot="1" x14ac:dyDescent="0.25">
      <c r="B486" s="18"/>
      <c r="C486" s="19"/>
      <c r="D486" s="19"/>
      <c r="E486" s="19"/>
      <c r="F486" s="19"/>
      <c r="G486" s="19"/>
      <c r="H486" s="19"/>
      <c r="I486" s="19"/>
      <c r="J486" s="19"/>
      <c r="K486" s="19"/>
      <c r="L486" s="19"/>
      <c r="M486" s="20"/>
    </row>
    <row r="487" spans="1:14" ht="23.5" customHeight="1" x14ac:dyDescent="0.2">
      <c r="I487" s="21"/>
      <c r="J487" s="21"/>
    </row>
    <row r="488" spans="1:14" s="2" customFormat="1" ht="28.25" customHeight="1" x14ac:dyDescent="0.2">
      <c r="B488" s="34"/>
      <c r="C488" s="75" t="s">
        <v>92</v>
      </c>
      <c r="D488" s="34"/>
      <c r="E488" s="34"/>
      <c r="F488" s="34"/>
      <c r="G488" s="34"/>
      <c r="H488" s="34"/>
      <c r="I488" s="34"/>
      <c r="J488" s="34"/>
      <c r="K488" s="34"/>
      <c r="L488" s="34"/>
      <c r="M488" s="34"/>
    </row>
    <row r="489" spans="1:14" ht="25.25" customHeight="1" thickBot="1" x14ac:dyDescent="0.25">
      <c r="C489" s="4" t="s">
        <v>105</v>
      </c>
    </row>
    <row r="490" spans="1:14" ht="21" customHeight="1" thickBot="1" x14ac:dyDescent="0.25">
      <c r="A490" s="2"/>
      <c r="B490" s="7" t="s">
        <v>2</v>
      </c>
      <c r="C490" s="293" t="s">
        <v>108</v>
      </c>
      <c r="D490" s="294"/>
      <c r="E490" s="295"/>
      <c r="F490" s="295"/>
      <c r="G490" s="295"/>
      <c r="H490" s="8">
        <f>IF(ISNUMBER($H$5),$H$5,"")</f>
        <v>2024</v>
      </c>
      <c r="I490" s="10"/>
      <c r="J490" s="10"/>
      <c r="K490" s="8">
        <f>IF(ISNUMBER($K$5),$K$5,"")</f>
        <v>2023</v>
      </c>
      <c r="L490" s="10"/>
      <c r="M490" s="11"/>
    </row>
    <row r="491" spans="1:14" ht="6.75" hidden="1" customHeight="1" x14ac:dyDescent="0.2">
      <c r="B491" s="22"/>
      <c r="C491" s="21"/>
      <c r="D491" s="21"/>
      <c r="E491" s="21"/>
      <c r="F491" s="21"/>
      <c r="G491" s="21"/>
      <c r="H491" s="21"/>
      <c r="I491" s="21"/>
      <c r="J491" s="21"/>
      <c r="K491" s="21"/>
      <c r="L491" s="21"/>
      <c r="M491" s="23"/>
    </row>
    <row r="492" spans="1:14" ht="20" hidden="1" customHeight="1" x14ac:dyDescent="0.2">
      <c r="B492" s="14"/>
      <c r="C492" s="76" t="s">
        <v>78</v>
      </c>
      <c r="M492" s="15"/>
    </row>
    <row r="493" spans="1:14" ht="6.75" hidden="1" customHeight="1" x14ac:dyDescent="0.2">
      <c r="B493" s="14"/>
      <c r="M493" s="15"/>
    </row>
    <row r="494" spans="1:14" s="2" customFormat="1" ht="21" hidden="1" customHeight="1" x14ac:dyDescent="0.2">
      <c r="B494" s="12">
        <v>48</v>
      </c>
      <c r="C494" s="287" t="s">
        <v>132</v>
      </c>
      <c r="D494" s="287"/>
      <c r="E494" s="287"/>
      <c r="F494" s="287"/>
      <c r="H494" s="208"/>
      <c r="K494" s="208"/>
      <c r="M494" s="13"/>
      <c r="N494"/>
    </row>
    <row r="495" spans="1:14" ht="12.5" hidden="1" customHeight="1" x14ac:dyDescent="0.2">
      <c r="B495" s="14"/>
      <c r="M495" s="15"/>
    </row>
    <row r="496" spans="1:14" ht="20" hidden="1" customHeight="1" x14ac:dyDescent="0.2">
      <c r="B496" s="14"/>
      <c r="C496" s="76" t="s">
        <v>79</v>
      </c>
      <c r="M496" s="15"/>
    </row>
    <row r="497" spans="2:15" ht="6.75" hidden="1" customHeight="1" x14ac:dyDescent="0.2">
      <c r="B497" s="14"/>
      <c r="M497" s="15"/>
      <c r="O497" s="2"/>
    </row>
    <row r="498" spans="2:15" ht="21" hidden="1" customHeight="1" x14ac:dyDescent="0.2">
      <c r="B498" s="12">
        <v>49</v>
      </c>
      <c r="C498" s="287" t="s">
        <v>141</v>
      </c>
      <c r="D498" s="287"/>
      <c r="E498" s="287"/>
      <c r="F498" s="287"/>
      <c r="H498" s="203"/>
      <c r="I498" s="2"/>
      <c r="J498" s="2"/>
      <c r="K498" s="203"/>
      <c r="M498" s="15"/>
    </row>
    <row r="499" spans="2:15" ht="21" hidden="1" customHeight="1" x14ac:dyDescent="0.2">
      <c r="B499" s="12">
        <v>50</v>
      </c>
      <c r="C499" s="287" t="s">
        <v>142</v>
      </c>
      <c r="D499" s="287"/>
      <c r="E499" s="287"/>
      <c r="F499" s="287"/>
      <c r="G499" s="24" t="s">
        <v>9</v>
      </c>
      <c r="H499" s="209"/>
      <c r="I499" s="25" t="s">
        <v>10</v>
      </c>
      <c r="J499" s="24" t="s">
        <v>9</v>
      </c>
      <c r="K499" s="209"/>
      <c r="L499" s="25" t="s">
        <v>10</v>
      </c>
      <c r="M499" s="15"/>
    </row>
    <row r="500" spans="2:15" ht="21" hidden="1" customHeight="1" x14ac:dyDescent="0.2">
      <c r="B500" s="12">
        <v>51</v>
      </c>
      <c r="C500" s="287" t="s">
        <v>143</v>
      </c>
      <c r="D500" s="287"/>
      <c r="E500" s="287"/>
      <c r="F500" s="287"/>
      <c r="H500" s="203"/>
      <c r="I500" s="2"/>
      <c r="J500" s="2"/>
      <c r="K500" s="203"/>
      <c r="M500" s="15"/>
      <c r="O500" s="2"/>
    </row>
    <row r="501" spans="2:15" ht="21" hidden="1" customHeight="1" x14ac:dyDescent="0.2">
      <c r="B501" s="12">
        <v>52</v>
      </c>
      <c r="C501" s="287" t="s">
        <v>586</v>
      </c>
      <c r="D501" s="287"/>
      <c r="E501" s="287"/>
      <c r="F501" s="287"/>
      <c r="G501" s="24" t="s">
        <v>9</v>
      </c>
      <c r="H501" s="209"/>
      <c r="I501" s="25" t="s">
        <v>10</v>
      </c>
      <c r="J501" s="24" t="s">
        <v>9</v>
      </c>
      <c r="K501" s="209"/>
      <c r="L501" s="25" t="s">
        <v>10</v>
      </c>
      <c r="M501" s="15"/>
    </row>
    <row r="502" spans="2:15" ht="21" hidden="1" customHeight="1" x14ac:dyDescent="0.2">
      <c r="B502" s="12">
        <v>53</v>
      </c>
      <c r="C502" s="287" t="s">
        <v>144</v>
      </c>
      <c r="D502" s="287"/>
      <c r="E502" s="287"/>
      <c r="F502" s="287"/>
      <c r="H502" s="203"/>
      <c r="I502" s="2"/>
      <c r="J502" s="2"/>
      <c r="K502" s="203"/>
      <c r="M502" s="15"/>
    </row>
    <row r="503" spans="2:15" ht="21" hidden="1" customHeight="1" x14ac:dyDescent="0.2">
      <c r="B503" s="12">
        <v>54</v>
      </c>
      <c r="C503" s="287" t="s">
        <v>145</v>
      </c>
      <c r="D503" s="287"/>
      <c r="E503" s="287"/>
      <c r="F503" s="287"/>
      <c r="H503" s="203"/>
      <c r="I503" s="2"/>
      <c r="J503" s="2"/>
      <c r="K503" s="203"/>
      <c r="M503" s="15"/>
      <c r="O503" s="2"/>
    </row>
    <row r="504" spans="2:15" ht="21" hidden="1" customHeight="1" x14ac:dyDescent="0.2">
      <c r="B504" s="12">
        <v>55</v>
      </c>
      <c r="C504" s="287" t="s">
        <v>597</v>
      </c>
      <c r="D504" s="287"/>
      <c r="E504" s="287"/>
      <c r="F504" s="287"/>
      <c r="H504" s="203"/>
      <c r="I504" s="2"/>
      <c r="J504" s="2"/>
      <c r="K504" s="203"/>
      <c r="M504" s="15"/>
    </row>
    <row r="505" spans="2:15" ht="21" hidden="1" customHeight="1" x14ac:dyDescent="0.2">
      <c r="B505" s="12">
        <v>56</v>
      </c>
      <c r="C505" s="287" t="s">
        <v>146</v>
      </c>
      <c r="D505" s="287"/>
      <c r="E505" s="287"/>
      <c r="F505" s="287"/>
      <c r="H505" s="203"/>
      <c r="I505" s="2"/>
      <c r="J505" s="2"/>
      <c r="K505" s="203"/>
      <c r="M505" s="15"/>
    </row>
    <row r="506" spans="2:15" ht="21" hidden="1" customHeight="1" x14ac:dyDescent="0.2">
      <c r="B506" s="12">
        <v>57</v>
      </c>
      <c r="C506" s="287" t="s">
        <v>140</v>
      </c>
      <c r="D506" s="287"/>
      <c r="E506" s="287"/>
      <c r="F506" s="287"/>
      <c r="G506" s="24" t="s">
        <v>9</v>
      </c>
      <c r="H506" s="209"/>
      <c r="I506" s="25" t="s">
        <v>10</v>
      </c>
      <c r="J506" s="24" t="s">
        <v>9</v>
      </c>
      <c r="K506" s="209"/>
      <c r="L506" s="25" t="s">
        <v>10</v>
      </c>
      <c r="M506" s="15"/>
      <c r="O506" s="2"/>
    </row>
    <row r="507" spans="2:15" ht="21" hidden="1" customHeight="1" x14ac:dyDescent="0.2">
      <c r="B507" s="12">
        <v>58</v>
      </c>
      <c r="C507" s="287" t="s">
        <v>509</v>
      </c>
      <c r="D507" s="287"/>
      <c r="E507" s="287"/>
      <c r="F507" s="287"/>
      <c r="G507" s="24" t="s">
        <v>9</v>
      </c>
      <c r="H507" s="214"/>
      <c r="I507" s="25" t="s">
        <v>10</v>
      </c>
      <c r="J507" s="24" t="s">
        <v>9</v>
      </c>
      <c r="K507" s="214"/>
      <c r="L507" s="25" t="s">
        <v>10</v>
      </c>
      <c r="M507" s="15"/>
    </row>
    <row r="508" spans="2:15" ht="6.75" hidden="1" customHeight="1" x14ac:dyDescent="0.2">
      <c r="B508" s="14"/>
      <c r="M508" s="15"/>
    </row>
    <row r="509" spans="2:15" hidden="1" x14ac:dyDescent="0.2">
      <c r="B509" s="12"/>
      <c r="C509" s="36" t="s">
        <v>3</v>
      </c>
      <c r="D509" s="3"/>
      <c r="E509" s="3"/>
      <c r="F509" s="3"/>
      <c r="G509" s="3"/>
      <c r="H509" s="210">
        <f>IFERROR(H498-H499+H500-H501+SUM(H502:H505)-H506-H507,0)</f>
        <v>0</v>
      </c>
      <c r="I509" s="3"/>
      <c r="J509" s="3"/>
      <c r="K509" s="210">
        <f>IFERROR(K498-K499+K500-K501+SUM(K502:K505)-K506-K507,0)</f>
        <v>0</v>
      </c>
      <c r="M509" s="15"/>
      <c r="O509" s="2"/>
    </row>
    <row r="510" spans="2:15" ht="6.75" hidden="1" customHeight="1" x14ac:dyDescent="0.2">
      <c r="B510" s="14"/>
      <c r="M510" s="15"/>
    </row>
    <row r="511" spans="2:15" ht="21" hidden="1" customHeight="1" x14ac:dyDescent="0.2">
      <c r="B511" s="12">
        <v>59</v>
      </c>
      <c r="C511" s="287" t="s">
        <v>16</v>
      </c>
      <c r="D511" s="287"/>
      <c r="E511" s="287"/>
      <c r="F511" s="287"/>
      <c r="G511" s="17"/>
      <c r="H511" s="261"/>
      <c r="I511" s="2"/>
      <c r="J511" s="2"/>
      <c r="K511" s="261"/>
      <c r="M511" s="15"/>
    </row>
    <row r="512" spans="2:15" ht="21" hidden="1" customHeight="1" x14ac:dyDescent="0.2">
      <c r="B512" s="12">
        <v>60</v>
      </c>
      <c r="C512" s="287" t="s">
        <v>147</v>
      </c>
      <c r="D512" s="287"/>
      <c r="E512" s="287"/>
      <c r="F512" s="287"/>
      <c r="G512" s="24" t="s">
        <v>9</v>
      </c>
      <c r="H512" s="214"/>
      <c r="I512" s="25" t="s">
        <v>10</v>
      </c>
      <c r="J512" s="24" t="s">
        <v>9</v>
      </c>
      <c r="K512" s="214"/>
      <c r="L512" s="25" t="s">
        <v>10</v>
      </c>
      <c r="M512" s="15"/>
      <c r="O512" s="2"/>
    </row>
    <row r="513" spans="1:15" ht="6.75" hidden="1" customHeight="1" thickBot="1" x14ac:dyDescent="0.25">
      <c r="B513" s="14"/>
      <c r="M513" s="15"/>
    </row>
    <row r="514" spans="1:15" hidden="1" x14ac:dyDescent="0.2">
      <c r="B514" s="16"/>
      <c r="C514" s="17" t="s">
        <v>80</v>
      </c>
      <c r="D514" s="3"/>
      <c r="E514" s="3"/>
      <c r="F514" s="3"/>
      <c r="G514" s="3"/>
      <c r="H514" s="211">
        <f>IFERROR((H509*H511)-H512,0)</f>
        <v>0</v>
      </c>
      <c r="I514" s="17"/>
      <c r="J514" s="17"/>
      <c r="K514" s="211">
        <f>IFERROR((K509*K511)-K512,0)</f>
        <v>0</v>
      </c>
      <c r="M514" s="15"/>
    </row>
    <row r="515" spans="1:15" ht="18.5" hidden="1" customHeight="1" thickBot="1" x14ac:dyDescent="0.25">
      <c r="B515" s="18"/>
      <c r="C515" s="19"/>
      <c r="D515" s="19"/>
      <c r="E515" s="19"/>
      <c r="F515" s="19"/>
      <c r="G515" s="19"/>
      <c r="H515" s="37"/>
      <c r="I515" s="19"/>
      <c r="J515" s="19"/>
      <c r="K515" s="37"/>
      <c r="L515" s="19"/>
      <c r="M515" s="20"/>
      <c r="O515" s="2"/>
    </row>
    <row r="516" spans="1:15" ht="14" customHeight="1" thickBot="1" x14ac:dyDescent="0.25"/>
    <row r="517" spans="1:15" ht="21" customHeight="1" thickBot="1" x14ac:dyDescent="0.25">
      <c r="A517" s="2"/>
      <c r="B517" s="7" t="s">
        <v>2</v>
      </c>
      <c r="C517" s="293" t="s">
        <v>108</v>
      </c>
      <c r="D517" s="294"/>
      <c r="E517" s="295"/>
      <c r="F517" s="295"/>
      <c r="G517" s="295"/>
      <c r="H517" s="8">
        <f>IF(ISNUMBER($H$5),$H$5,"")</f>
        <v>2024</v>
      </c>
      <c r="I517" s="10"/>
      <c r="J517" s="10"/>
      <c r="K517" s="8">
        <f>IF(ISNUMBER($K$5),$K$5,"")</f>
        <v>2023</v>
      </c>
      <c r="L517" s="10"/>
      <c r="M517" s="11"/>
    </row>
    <row r="518" spans="1:15" ht="6.75" hidden="1" customHeight="1" x14ac:dyDescent="0.2">
      <c r="B518" s="22"/>
      <c r="C518" s="21"/>
      <c r="D518" s="21"/>
      <c r="E518" s="21"/>
      <c r="F518" s="21"/>
      <c r="G518" s="21"/>
      <c r="H518" s="21"/>
      <c r="I518" s="21"/>
      <c r="J518" s="21"/>
      <c r="K518" s="21"/>
      <c r="L518" s="21"/>
      <c r="M518" s="23"/>
    </row>
    <row r="519" spans="1:15" ht="20" hidden="1" customHeight="1" x14ac:dyDescent="0.2">
      <c r="B519" s="14"/>
      <c r="C519" s="76" t="s">
        <v>78</v>
      </c>
      <c r="M519" s="15"/>
    </row>
    <row r="520" spans="1:15" ht="6.75" hidden="1" customHeight="1" x14ac:dyDescent="0.2">
      <c r="B520" s="14"/>
      <c r="M520" s="15"/>
    </row>
    <row r="521" spans="1:15" s="2" customFormat="1" ht="21" hidden="1" customHeight="1" x14ac:dyDescent="0.2">
      <c r="B521" s="12">
        <v>48</v>
      </c>
      <c r="C521" s="287" t="s">
        <v>132</v>
      </c>
      <c r="D521" s="287"/>
      <c r="E521" s="287"/>
      <c r="F521" s="287"/>
      <c r="H521" s="208"/>
      <c r="K521" s="208"/>
      <c r="M521" s="13"/>
      <c r="N521"/>
    </row>
    <row r="522" spans="1:15" ht="12.5" hidden="1" customHeight="1" x14ac:dyDescent="0.2">
      <c r="B522" s="14"/>
      <c r="M522" s="15"/>
    </row>
    <row r="523" spans="1:15" ht="20" hidden="1" customHeight="1" x14ac:dyDescent="0.2">
      <c r="B523" s="14"/>
      <c r="C523" s="76" t="s">
        <v>79</v>
      </c>
      <c r="M523" s="15"/>
    </row>
    <row r="524" spans="1:15" ht="6.75" hidden="1" customHeight="1" x14ac:dyDescent="0.2">
      <c r="B524" s="14"/>
      <c r="M524" s="15"/>
    </row>
    <row r="525" spans="1:15" ht="21" hidden="1" customHeight="1" x14ac:dyDescent="0.2">
      <c r="B525" s="12">
        <v>49</v>
      </c>
      <c r="C525" s="287" t="s">
        <v>141</v>
      </c>
      <c r="D525" s="287"/>
      <c r="E525" s="287"/>
      <c r="F525" s="287"/>
      <c r="H525" s="203"/>
      <c r="I525" s="2"/>
      <c r="J525" s="2"/>
      <c r="K525" s="203"/>
      <c r="M525" s="15"/>
    </row>
    <row r="526" spans="1:15" ht="21" hidden="1" customHeight="1" x14ac:dyDescent="0.2">
      <c r="B526" s="12">
        <v>50</v>
      </c>
      <c r="C526" s="287" t="s">
        <v>142</v>
      </c>
      <c r="D526" s="287"/>
      <c r="E526" s="287"/>
      <c r="F526" s="287"/>
      <c r="G526" s="24" t="s">
        <v>9</v>
      </c>
      <c r="H526" s="209"/>
      <c r="I526" s="25" t="s">
        <v>10</v>
      </c>
      <c r="J526" s="24" t="s">
        <v>9</v>
      </c>
      <c r="K526" s="209"/>
      <c r="L526" s="25" t="s">
        <v>10</v>
      </c>
      <c r="M526" s="15"/>
    </row>
    <row r="527" spans="1:15" ht="21" hidden="1" customHeight="1" x14ac:dyDescent="0.2">
      <c r="B527" s="12">
        <v>51</v>
      </c>
      <c r="C527" s="287" t="s">
        <v>143</v>
      </c>
      <c r="D527" s="287"/>
      <c r="E527" s="287"/>
      <c r="F527" s="287"/>
      <c r="H527" s="203"/>
      <c r="I527" s="2"/>
      <c r="J527" s="2"/>
      <c r="K527" s="203"/>
      <c r="M527" s="15"/>
    </row>
    <row r="528" spans="1:15" ht="21" hidden="1" customHeight="1" x14ac:dyDescent="0.2">
      <c r="B528" s="12">
        <v>52</v>
      </c>
      <c r="C528" s="287" t="s">
        <v>586</v>
      </c>
      <c r="D528" s="287"/>
      <c r="E528" s="287"/>
      <c r="F528" s="287"/>
      <c r="G528" s="24" t="s">
        <v>9</v>
      </c>
      <c r="H528" s="209"/>
      <c r="I528" s="25" t="s">
        <v>10</v>
      </c>
      <c r="J528" s="24" t="s">
        <v>9</v>
      </c>
      <c r="K528" s="209"/>
      <c r="L528" s="25" t="s">
        <v>10</v>
      </c>
      <c r="M528" s="15"/>
    </row>
    <row r="529" spans="1:13" ht="21" hidden="1" customHeight="1" x14ac:dyDescent="0.2">
      <c r="B529" s="12">
        <v>53</v>
      </c>
      <c r="C529" s="287" t="s">
        <v>144</v>
      </c>
      <c r="D529" s="287"/>
      <c r="E529" s="287"/>
      <c r="F529" s="287"/>
      <c r="H529" s="203"/>
      <c r="I529" s="2"/>
      <c r="J529" s="2"/>
      <c r="K529" s="203"/>
      <c r="M529" s="15"/>
    </row>
    <row r="530" spans="1:13" ht="21" hidden="1" customHeight="1" x14ac:dyDescent="0.2">
      <c r="B530" s="12">
        <v>54</v>
      </c>
      <c r="C530" s="287" t="s">
        <v>145</v>
      </c>
      <c r="D530" s="287"/>
      <c r="E530" s="287"/>
      <c r="F530" s="287"/>
      <c r="H530" s="203"/>
      <c r="I530" s="2"/>
      <c r="J530" s="2"/>
      <c r="K530" s="203"/>
      <c r="M530" s="15"/>
    </row>
    <row r="531" spans="1:13" ht="21" hidden="1" customHeight="1" x14ac:dyDescent="0.2">
      <c r="B531" s="12">
        <v>55</v>
      </c>
      <c r="C531" s="287" t="s">
        <v>597</v>
      </c>
      <c r="D531" s="287"/>
      <c r="E531" s="287"/>
      <c r="F531" s="287"/>
      <c r="H531" s="203"/>
      <c r="I531" s="2"/>
      <c r="J531" s="2"/>
      <c r="K531" s="203"/>
      <c r="M531" s="15"/>
    </row>
    <row r="532" spans="1:13" ht="21" hidden="1" customHeight="1" x14ac:dyDescent="0.2">
      <c r="B532" s="12">
        <v>56</v>
      </c>
      <c r="C532" s="287" t="s">
        <v>146</v>
      </c>
      <c r="D532" s="287"/>
      <c r="E532" s="287"/>
      <c r="F532" s="287"/>
      <c r="H532" s="203"/>
      <c r="I532" s="2"/>
      <c r="J532" s="2"/>
      <c r="K532" s="203"/>
      <c r="M532" s="15"/>
    </row>
    <row r="533" spans="1:13" ht="21" hidden="1" customHeight="1" x14ac:dyDescent="0.2">
      <c r="B533" s="12">
        <v>57</v>
      </c>
      <c r="C533" s="287" t="s">
        <v>140</v>
      </c>
      <c r="D533" s="287"/>
      <c r="E533" s="287"/>
      <c r="F533" s="287"/>
      <c r="G533" s="24" t="s">
        <v>9</v>
      </c>
      <c r="H533" s="209"/>
      <c r="I533" s="25" t="s">
        <v>10</v>
      </c>
      <c r="J533" s="24" t="s">
        <v>9</v>
      </c>
      <c r="K533" s="209"/>
      <c r="L533" s="25" t="s">
        <v>10</v>
      </c>
      <c r="M533" s="15"/>
    </row>
    <row r="534" spans="1:13" ht="21" hidden="1" customHeight="1" x14ac:dyDescent="0.2">
      <c r="B534" s="12">
        <v>58</v>
      </c>
      <c r="C534" s="287" t="s">
        <v>509</v>
      </c>
      <c r="D534" s="287"/>
      <c r="E534" s="287"/>
      <c r="F534" s="287"/>
      <c r="G534" s="24" t="s">
        <v>9</v>
      </c>
      <c r="H534" s="214"/>
      <c r="I534" s="25" t="s">
        <v>10</v>
      </c>
      <c r="J534" s="24" t="s">
        <v>9</v>
      </c>
      <c r="K534" s="214"/>
      <c r="L534" s="25" t="s">
        <v>10</v>
      </c>
      <c r="M534" s="15"/>
    </row>
    <row r="535" spans="1:13" ht="6.75" hidden="1" customHeight="1" x14ac:dyDescent="0.2">
      <c r="B535" s="14"/>
      <c r="M535" s="15"/>
    </row>
    <row r="536" spans="1:13" hidden="1" x14ac:dyDescent="0.2">
      <c r="B536" s="12"/>
      <c r="C536" s="36" t="s">
        <v>3</v>
      </c>
      <c r="D536" s="3"/>
      <c r="E536" s="3"/>
      <c r="F536" s="3"/>
      <c r="G536" s="3"/>
      <c r="H536" s="210">
        <f>IFERROR(H525-H526+H527-H528+SUM(H529:H532)-H533-H534,0)</f>
        <v>0</v>
      </c>
      <c r="I536" s="3"/>
      <c r="J536" s="3"/>
      <c r="K536" s="210">
        <f>IFERROR(K525-K526+K527-K528+SUM(K529:K532)-K533-K534,0)</f>
        <v>0</v>
      </c>
      <c r="M536" s="15"/>
    </row>
    <row r="537" spans="1:13" ht="6.75" hidden="1" customHeight="1" x14ac:dyDescent="0.2">
      <c r="B537" s="14"/>
      <c r="M537" s="15"/>
    </row>
    <row r="538" spans="1:13" ht="21" hidden="1" customHeight="1" x14ac:dyDescent="0.2">
      <c r="B538" s="12">
        <v>59</v>
      </c>
      <c r="C538" s="287" t="s">
        <v>16</v>
      </c>
      <c r="D538" s="287"/>
      <c r="E538" s="287"/>
      <c r="F538" s="287"/>
      <c r="G538" s="17"/>
      <c r="H538" s="261"/>
      <c r="I538" s="2"/>
      <c r="J538" s="2"/>
      <c r="K538" s="261"/>
      <c r="M538" s="15"/>
    </row>
    <row r="539" spans="1:13" ht="21" hidden="1" customHeight="1" x14ac:dyDescent="0.2">
      <c r="B539" s="12">
        <v>60</v>
      </c>
      <c r="C539" s="287" t="s">
        <v>147</v>
      </c>
      <c r="D539" s="287"/>
      <c r="E539" s="287"/>
      <c r="F539" s="287"/>
      <c r="G539" s="24" t="s">
        <v>9</v>
      </c>
      <c r="H539" s="214"/>
      <c r="I539" s="25" t="s">
        <v>10</v>
      </c>
      <c r="J539" s="24" t="s">
        <v>9</v>
      </c>
      <c r="K539" s="214"/>
      <c r="L539" s="25" t="s">
        <v>10</v>
      </c>
      <c r="M539" s="15"/>
    </row>
    <row r="540" spans="1:13" ht="6.75" hidden="1" customHeight="1" thickBot="1" x14ac:dyDescent="0.25">
      <c r="B540" s="14"/>
      <c r="M540" s="15"/>
    </row>
    <row r="541" spans="1:13" hidden="1" x14ac:dyDescent="0.2">
      <c r="B541" s="16"/>
      <c r="C541" s="17" t="s">
        <v>80</v>
      </c>
      <c r="D541" s="3"/>
      <c r="E541" s="3"/>
      <c r="F541" s="3"/>
      <c r="G541" s="3"/>
      <c r="H541" s="211">
        <f>IFERROR((H536*H538)-H539,0)</f>
        <v>0</v>
      </c>
      <c r="I541" s="17"/>
      <c r="J541" s="17"/>
      <c r="K541" s="211">
        <f>IFERROR((K536*K538)-K539,0)</f>
        <v>0</v>
      </c>
      <c r="M541" s="15"/>
    </row>
    <row r="542" spans="1:13" ht="18.5" hidden="1" customHeight="1" thickBot="1" x14ac:dyDescent="0.25">
      <c r="B542" s="18"/>
      <c r="C542" s="19"/>
      <c r="D542" s="19"/>
      <c r="E542" s="19"/>
      <c r="F542" s="19"/>
      <c r="G542" s="19"/>
      <c r="H542" s="37"/>
      <c r="I542" s="19"/>
      <c r="J542" s="19"/>
      <c r="K542" s="37"/>
      <c r="L542" s="19"/>
      <c r="M542" s="20"/>
    </row>
    <row r="543" spans="1:13" ht="14" customHeight="1" thickBot="1" x14ac:dyDescent="0.25"/>
    <row r="544" spans="1:13" ht="21" customHeight="1" thickBot="1" x14ac:dyDescent="0.25">
      <c r="A544" s="2"/>
      <c r="B544" s="7" t="s">
        <v>2</v>
      </c>
      <c r="C544" s="293" t="s">
        <v>108</v>
      </c>
      <c r="D544" s="294"/>
      <c r="E544" s="295"/>
      <c r="F544" s="295"/>
      <c r="G544" s="295"/>
      <c r="H544" s="8">
        <f>IF(ISNUMBER($H$5),$H$5,"")</f>
        <v>2024</v>
      </c>
      <c r="I544" s="10"/>
      <c r="J544" s="10"/>
      <c r="K544" s="8">
        <f>IF(ISNUMBER($K$5),$K$5,"")</f>
        <v>2023</v>
      </c>
      <c r="L544" s="10"/>
      <c r="M544" s="11"/>
    </row>
    <row r="545" spans="2:14" ht="6.75" hidden="1" customHeight="1" x14ac:dyDescent="0.2">
      <c r="B545" s="22"/>
      <c r="C545" s="21"/>
      <c r="D545" s="21"/>
      <c r="E545" s="21"/>
      <c r="F545" s="21"/>
      <c r="G545" s="21"/>
      <c r="H545" s="21"/>
      <c r="I545" s="21"/>
      <c r="J545" s="21"/>
      <c r="K545" s="21"/>
      <c r="L545" s="21"/>
      <c r="M545" s="23"/>
    </row>
    <row r="546" spans="2:14" ht="20" hidden="1" customHeight="1" x14ac:dyDescent="0.2">
      <c r="B546" s="14"/>
      <c r="C546" s="76" t="s">
        <v>78</v>
      </c>
      <c r="M546" s="15"/>
    </row>
    <row r="547" spans="2:14" ht="6.75" hidden="1" customHeight="1" x14ac:dyDescent="0.2">
      <c r="B547" s="14"/>
      <c r="M547" s="15"/>
    </row>
    <row r="548" spans="2:14" s="2" customFormat="1" ht="21" hidden="1" customHeight="1" x14ac:dyDescent="0.2">
      <c r="B548" s="12">
        <v>48</v>
      </c>
      <c r="C548" s="287" t="s">
        <v>132</v>
      </c>
      <c r="D548" s="287"/>
      <c r="E548" s="287"/>
      <c r="F548" s="287"/>
      <c r="H548" s="208"/>
      <c r="K548" s="208"/>
      <c r="M548" s="13"/>
      <c r="N548"/>
    </row>
    <row r="549" spans="2:14" ht="12.5" hidden="1" customHeight="1" x14ac:dyDescent="0.2">
      <c r="B549" s="14"/>
      <c r="M549" s="15"/>
    </row>
    <row r="550" spans="2:14" ht="20" hidden="1" customHeight="1" x14ac:dyDescent="0.2">
      <c r="B550" s="14"/>
      <c r="C550" s="76" t="s">
        <v>79</v>
      </c>
      <c r="M550" s="15"/>
    </row>
    <row r="551" spans="2:14" ht="6.75" hidden="1" customHeight="1" x14ac:dyDescent="0.2">
      <c r="B551" s="14"/>
      <c r="M551" s="15"/>
    </row>
    <row r="552" spans="2:14" ht="21" hidden="1" customHeight="1" x14ac:dyDescent="0.2">
      <c r="B552" s="12">
        <v>49</v>
      </c>
      <c r="C552" s="287" t="s">
        <v>141</v>
      </c>
      <c r="D552" s="287"/>
      <c r="E552" s="287"/>
      <c r="F552" s="287"/>
      <c r="H552" s="203"/>
      <c r="I552" s="2"/>
      <c r="J552" s="2"/>
      <c r="K552" s="203"/>
      <c r="M552" s="15"/>
    </row>
    <row r="553" spans="2:14" ht="21" hidden="1" customHeight="1" x14ac:dyDescent="0.2">
      <c r="B553" s="12">
        <v>50</v>
      </c>
      <c r="C553" s="287" t="s">
        <v>142</v>
      </c>
      <c r="D553" s="287"/>
      <c r="E553" s="287"/>
      <c r="F553" s="287"/>
      <c r="G553" s="24" t="s">
        <v>9</v>
      </c>
      <c r="H553" s="209"/>
      <c r="I553" s="25" t="s">
        <v>10</v>
      </c>
      <c r="J553" s="24" t="s">
        <v>9</v>
      </c>
      <c r="K553" s="209"/>
      <c r="L553" s="25" t="s">
        <v>10</v>
      </c>
      <c r="M553" s="15"/>
    </row>
    <row r="554" spans="2:14" ht="21" hidden="1" customHeight="1" x14ac:dyDescent="0.2">
      <c r="B554" s="12">
        <v>51</v>
      </c>
      <c r="C554" s="287" t="s">
        <v>143</v>
      </c>
      <c r="D554" s="287"/>
      <c r="E554" s="287"/>
      <c r="F554" s="287"/>
      <c r="H554" s="203"/>
      <c r="I554" s="2"/>
      <c r="J554" s="2"/>
      <c r="K554" s="203"/>
      <c r="M554" s="15"/>
    </row>
    <row r="555" spans="2:14" ht="21" hidden="1" customHeight="1" x14ac:dyDescent="0.2">
      <c r="B555" s="12">
        <v>52</v>
      </c>
      <c r="C555" s="287" t="s">
        <v>586</v>
      </c>
      <c r="D555" s="287"/>
      <c r="E555" s="287"/>
      <c r="F555" s="287"/>
      <c r="G555" s="24" t="s">
        <v>9</v>
      </c>
      <c r="H555" s="209"/>
      <c r="I555" s="25" t="s">
        <v>10</v>
      </c>
      <c r="J555" s="24" t="s">
        <v>9</v>
      </c>
      <c r="K555" s="209"/>
      <c r="L555" s="25" t="s">
        <v>10</v>
      </c>
      <c r="M555" s="15"/>
    </row>
    <row r="556" spans="2:14" ht="21" hidden="1" customHeight="1" x14ac:dyDescent="0.2">
      <c r="B556" s="12">
        <v>53</v>
      </c>
      <c r="C556" s="287" t="s">
        <v>144</v>
      </c>
      <c r="D556" s="287"/>
      <c r="E556" s="287"/>
      <c r="F556" s="287"/>
      <c r="H556" s="203"/>
      <c r="I556" s="2"/>
      <c r="J556" s="2"/>
      <c r="K556" s="203"/>
      <c r="M556" s="15"/>
    </row>
    <row r="557" spans="2:14" ht="21" hidden="1" customHeight="1" x14ac:dyDescent="0.2">
      <c r="B557" s="12">
        <v>54</v>
      </c>
      <c r="C557" s="287" t="s">
        <v>145</v>
      </c>
      <c r="D557" s="287"/>
      <c r="E557" s="287"/>
      <c r="F557" s="287"/>
      <c r="H557" s="203"/>
      <c r="I557" s="2"/>
      <c r="J557" s="2"/>
      <c r="K557" s="203"/>
      <c r="M557" s="15"/>
    </row>
    <row r="558" spans="2:14" ht="21" hidden="1" customHeight="1" x14ac:dyDescent="0.2">
      <c r="B558" s="12">
        <v>55</v>
      </c>
      <c r="C558" s="287" t="s">
        <v>597</v>
      </c>
      <c r="D558" s="287"/>
      <c r="E558" s="287"/>
      <c r="F558" s="287"/>
      <c r="H558" s="203"/>
      <c r="I558" s="2"/>
      <c r="J558" s="2"/>
      <c r="K558" s="203"/>
      <c r="M558" s="15"/>
    </row>
    <row r="559" spans="2:14" ht="21" hidden="1" customHeight="1" x14ac:dyDescent="0.2">
      <c r="B559" s="12">
        <v>56</v>
      </c>
      <c r="C559" s="287" t="s">
        <v>146</v>
      </c>
      <c r="D559" s="287"/>
      <c r="E559" s="287"/>
      <c r="F559" s="287"/>
      <c r="H559" s="203"/>
      <c r="I559" s="2"/>
      <c r="J559" s="2"/>
      <c r="K559" s="203"/>
      <c r="M559" s="15"/>
    </row>
    <row r="560" spans="2:14" ht="21" hidden="1" customHeight="1" x14ac:dyDescent="0.2">
      <c r="B560" s="12">
        <v>57</v>
      </c>
      <c r="C560" s="287" t="s">
        <v>140</v>
      </c>
      <c r="D560" s="287"/>
      <c r="E560" s="287"/>
      <c r="F560" s="287"/>
      <c r="G560" s="24" t="s">
        <v>9</v>
      </c>
      <c r="H560" s="209"/>
      <c r="I560" s="25" t="s">
        <v>10</v>
      </c>
      <c r="J560" s="24" t="s">
        <v>9</v>
      </c>
      <c r="K560" s="209"/>
      <c r="L560" s="25" t="s">
        <v>10</v>
      </c>
      <c r="M560" s="15"/>
    </row>
    <row r="561" spans="2:13" ht="21" hidden="1" customHeight="1" x14ac:dyDescent="0.2">
      <c r="B561" s="12">
        <v>58</v>
      </c>
      <c r="C561" s="287" t="s">
        <v>509</v>
      </c>
      <c r="D561" s="287"/>
      <c r="E561" s="287"/>
      <c r="F561" s="287"/>
      <c r="G561" s="24" t="s">
        <v>9</v>
      </c>
      <c r="H561" s="214"/>
      <c r="I561" s="25" t="s">
        <v>10</v>
      </c>
      <c r="J561" s="24" t="s">
        <v>9</v>
      </c>
      <c r="K561" s="214"/>
      <c r="L561" s="25" t="s">
        <v>10</v>
      </c>
      <c r="M561" s="15"/>
    </row>
    <row r="562" spans="2:13" ht="6.75" hidden="1" customHeight="1" x14ac:dyDescent="0.2">
      <c r="B562" s="14"/>
      <c r="M562" s="15"/>
    </row>
    <row r="563" spans="2:13" hidden="1" x14ac:dyDescent="0.2">
      <c r="B563" s="12"/>
      <c r="C563" s="36" t="s">
        <v>3</v>
      </c>
      <c r="D563" s="3"/>
      <c r="E563" s="3"/>
      <c r="F563" s="3"/>
      <c r="G563" s="3"/>
      <c r="H563" s="210">
        <f>IFERROR(H552-H553+H554-H555+SUM(H556:H559)-H560-H561,0)</f>
        <v>0</v>
      </c>
      <c r="I563" s="3"/>
      <c r="J563" s="3"/>
      <c r="K563" s="210">
        <f>IFERROR(K552-K553+K554-K555+SUM(K556:K559)-K560-K561,0)</f>
        <v>0</v>
      </c>
      <c r="M563" s="15"/>
    </row>
    <row r="564" spans="2:13" ht="6.75" hidden="1" customHeight="1" x14ac:dyDescent="0.2">
      <c r="B564" s="14"/>
      <c r="M564" s="15"/>
    </row>
    <row r="565" spans="2:13" ht="21" hidden="1" customHeight="1" x14ac:dyDescent="0.2">
      <c r="B565" s="12">
        <v>59</v>
      </c>
      <c r="C565" s="287" t="s">
        <v>16</v>
      </c>
      <c r="D565" s="287"/>
      <c r="E565" s="287"/>
      <c r="F565" s="287"/>
      <c r="G565" s="17"/>
      <c r="H565" s="261"/>
      <c r="I565" s="2"/>
      <c r="J565" s="2"/>
      <c r="K565" s="261"/>
      <c r="M565" s="15"/>
    </row>
    <row r="566" spans="2:13" ht="21" hidden="1" customHeight="1" x14ac:dyDescent="0.2">
      <c r="B566" s="12">
        <v>60</v>
      </c>
      <c r="C566" s="287" t="s">
        <v>147</v>
      </c>
      <c r="D566" s="287"/>
      <c r="E566" s="287"/>
      <c r="F566" s="287"/>
      <c r="G566" s="24" t="s">
        <v>9</v>
      </c>
      <c r="H566" s="214"/>
      <c r="I566" s="25" t="s">
        <v>10</v>
      </c>
      <c r="J566" s="24" t="s">
        <v>9</v>
      </c>
      <c r="K566" s="214"/>
      <c r="L566" s="25" t="s">
        <v>10</v>
      </c>
      <c r="M566" s="15"/>
    </row>
    <row r="567" spans="2:13" ht="6.75" hidden="1" customHeight="1" thickBot="1" x14ac:dyDescent="0.25">
      <c r="B567" s="14"/>
      <c r="M567" s="15"/>
    </row>
    <row r="568" spans="2:13" hidden="1" x14ac:dyDescent="0.2">
      <c r="B568" s="16"/>
      <c r="C568" s="17" t="s">
        <v>80</v>
      </c>
      <c r="D568" s="3"/>
      <c r="E568" s="3"/>
      <c r="F568" s="3"/>
      <c r="G568" s="3"/>
      <c r="H568" s="211">
        <f>IFERROR((H563*H565)-H566,0)</f>
        <v>0</v>
      </c>
      <c r="I568" s="17"/>
      <c r="J568" s="17"/>
      <c r="K568" s="211">
        <f>IFERROR((K563*K565)-K566,0)</f>
        <v>0</v>
      </c>
      <c r="M568" s="15"/>
    </row>
    <row r="569" spans="2:13" ht="18.5" hidden="1" customHeight="1" thickBot="1" x14ac:dyDescent="0.25">
      <c r="B569" s="18"/>
      <c r="C569" s="19"/>
      <c r="D569" s="19"/>
      <c r="E569" s="19"/>
      <c r="F569" s="19"/>
      <c r="G569" s="19"/>
      <c r="H569" s="37"/>
      <c r="I569" s="19"/>
      <c r="J569" s="19"/>
      <c r="K569" s="37"/>
      <c r="L569" s="19"/>
      <c r="M569" s="20"/>
    </row>
    <row r="570" spans="2:13" ht="23.5" customHeight="1" x14ac:dyDescent="0.2"/>
    <row r="571" spans="2:13" s="83" customFormat="1" ht="39.5" customHeight="1" thickBot="1" x14ac:dyDescent="0.25">
      <c r="B571" s="123"/>
      <c r="C571" s="126" t="s">
        <v>19</v>
      </c>
      <c r="D571" s="124"/>
      <c r="E571" s="125"/>
      <c r="F571" s="125"/>
      <c r="G571" s="125"/>
      <c r="H571" s="124"/>
      <c r="I571" s="124"/>
      <c r="J571" s="124"/>
      <c r="K571" s="124"/>
      <c r="L571" s="124"/>
      <c r="M571" s="124"/>
    </row>
    <row r="572" spans="2:13" ht="3.5" hidden="1" customHeight="1" x14ac:dyDescent="0.2"/>
    <row r="573" spans="2:13" s="2" customFormat="1" ht="25.25" hidden="1" customHeight="1" x14ac:dyDescent="0.2">
      <c r="C573" s="33"/>
    </row>
    <row r="574" spans="2:13" s="2" customFormat="1" ht="6.5" hidden="1" customHeight="1" x14ac:dyDescent="0.2">
      <c r="C574" s="33"/>
    </row>
    <row r="575" spans="2:13" s="2" customFormat="1" ht="6.75" customHeight="1" thickTop="1" x14ac:dyDescent="0.2">
      <c r="B575" s="113"/>
      <c r="C575" s="114"/>
      <c r="D575" s="113"/>
      <c r="E575" s="113"/>
      <c r="F575" s="113"/>
      <c r="G575" s="113"/>
      <c r="H575" s="113"/>
      <c r="I575" s="113"/>
      <c r="J575" s="113"/>
      <c r="K575" s="113"/>
      <c r="L575" s="113"/>
      <c r="M575" s="113"/>
    </row>
    <row r="576" spans="2:13" s="2" customFormat="1" ht="111" customHeight="1" x14ac:dyDescent="0.2">
      <c r="B576" s="113"/>
      <c r="C576" s="288" t="s">
        <v>579</v>
      </c>
      <c r="D576" s="289"/>
      <c r="E576" s="289"/>
      <c r="F576" s="289"/>
      <c r="G576" s="289"/>
      <c r="H576" s="289"/>
      <c r="I576" s="289"/>
      <c r="J576" s="289"/>
      <c r="K576" s="289"/>
      <c r="L576" s="289"/>
      <c r="M576" s="113"/>
    </row>
    <row r="577" spans="2:13" s="2" customFormat="1" ht="9.5" customHeight="1" x14ac:dyDescent="0.2">
      <c r="C577" s="38"/>
      <c r="D577" s="38"/>
      <c r="E577" s="38"/>
      <c r="F577" s="38"/>
      <c r="G577" s="38"/>
      <c r="H577" s="38"/>
      <c r="I577" s="38"/>
      <c r="J577" s="38"/>
      <c r="K577" s="38"/>
      <c r="L577" s="38"/>
    </row>
    <row r="578" spans="2:13" ht="21.5" customHeight="1" x14ac:dyDescent="0.2">
      <c r="B578" s="270" t="s">
        <v>20</v>
      </c>
      <c r="C578" s="270"/>
      <c r="D578" s="270"/>
      <c r="E578" s="291">
        <f>IF(ISNUMBER($H$5),$H$5,"")</f>
        <v>2024</v>
      </c>
      <c r="F578" s="291"/>
      <c r="G578" s="39"/>
      <c r="H578" s="291">
        <f>IF(ISNUMBER($K$5),$K$5,"")</f>
        <v>2023</v>
      </c>
      <c r="I578" s="291"/>
      <c r="J578" s="292" t="s">
        <v>22</v>
      </c>
      <c r="K578" s="292"/>
      <c r="L578" s="290" t="s">
        <v>21</v>
      </c>
      <c r="M578" s="290"/>
    </row>
    <row r="579" spans="2:13" ht="21.5" customHeight="1" x14ac:dyDescent="0.2">
      <c r="B579" s="81"/>
      <c r="C579" s="6"/>
      <c r="D579" s="6"/>
      <c r="E579" s="40" t="s">
        <v>25</v>
      </c>
      <c r="F579" s="40" t="s">
        <v>26</v>
      </c>
      <c r="G579" s="6"/>
      <c r="H579" s="40" t="s">
        <v>25</v>
      </c>
      <c r="I579" s="40" t="s">
        <v>26</v>
      </c>
      <c r="J579" s="292"/>
      <c r="K579" s="292"/>
      <c r="L579" s="290"/>
      <c r="M579" s="290"/>
    </row>
    <row r="580" spans="2:13" s="2" customFormat="1" ht="27.5" hidden="1" customHeight="1" x14ac:dyDescent="0.2">
      <c r="B580" s="41"/>
      <c r="C580" s="269" t="s">
        <v>28</v>
      </c>
      <c r="D580" s="269"/>
      <c r="E580" s="212">
        <f>H13</f>
        <v>0</v>
      </c>
      <c r="F580" s="55">
        <v>12</v>
      </c>
      <c r="G580" s="42"/>
      <c r="H580" s="212">
        <f>K13</f>
        <v>0</v>
      </c>
      <c r="I580" s="55">
        <v>12</v>
      </c>
      <c r="J580" s="267">
        <f t="shared" ref="J580:J587" si="1">IFERROR((IF(F580=0,0,E580)+IF(I580=0,0,H580))/L580,0)</f>
        <v>0</v>
      </c>
      <c r="K580" s="267"/>
      <c r="L580" s="268">
        <f t="shared" ref="L580:L587" si="2">IF(ISNUMBER(F580),F580,0)+IF(ISNUMBER(I580),I580,0)</f>
        <v>24</v>
      </c>
      <c r="M580" s="268"/>
    </row>
    <row r="581" spans="2:13" s="2" customFormat="1" ht="27.5" hidden="1" customHeight="1" x14ac:dyDescent="0.2">
      <c r="B581" s="41"/>
      <c r="C581" s="269" t="str">
        <f>"Schedule C   "&amp;D18</f>
        <v xml:space="preserve">Schedule C   </v>
      </c>
      <c r="D581" s="269"/>
      <c r="E581" s="212">
        <f>H31</f>
        <v>0</v>
      </c>
      <c r="F581" s="55">
        <v>12</v>
      </c>
      <c r="G581" s="42"/>
      <c r="H581" s="212">
        <f>K31</f>
        <v>0</v>
      </c>
      <c r="I581" s="55">
        <v>12</v>
      </c>
      <c r="J581" s="267">
        <f t="shared" si="1"/>
        <v>0</v>
      </c>
      <c r="K581" s="267"/>
      <c r="L581" s="268">
        <f t="shared" si="2"/>
        <v>24</v>
      </c>
      <c r="M581" s="268"/>
    </row>
    <row r="582" spans="2:13" s="2" customFormat="1" ht="27.5" hidden="1" customHeight="1" x14ac:dyDescent="0.2">
      <c r="B582" s="41"/>
      <c r="C582" s="269" t="str">
        <f>"Schedule C   "&amp;D33</f>
        <v xml:space="preserve">Schedule C   </v>
      </c>
      <c r="D582" s="269"/>
      <c r="E582" s="212">
        <f>H46</f>
        <v>0</v>
      </c>
      <c r="F582" s="55">
        <v>12</v>
      </c>
      <c r="G582" s="42"/>
      <c r="H582" s="212">
        <f>K46</f>
        <v>0</v>
      </c>
      <c r="I582" s="55">
        <v>12</v>
      </c>
      <c r="J582" s="267">
        <f t="shared" si="1"/>
        <v>0</v>
      </c>
      <c r="K582" s="267"/>
      <c r="L582" s="268">
        <f t="shared" si="2"/>
        <v>24</v>
      </c>
      <c r="M582" s="268"/>
    </row>
    <row r="583" spans="2:13" s="2" customFormat="1" ht="27.5" hidden="1" customHeight="1" x14ac:dyDescent="0.2">
      <c r="B583" s="41"/>
      <c r="C583" s="269" t="str">
        <f>"Schedule C   "&amp;D48</f>
        <v xml:space="preserve">Schedule C   </v>
      </c>
      <c r="D583" s="269"/>
      <c r="E583" s="212">
        <f>H61</f>
        <v>0</v>
      </c>
      <c r="F583" s="55">
        <v>12</v>
      </c>
      <c r="G583" s="42"/>
      <c r="H583" s="212">
        <f>K61</f>
        <v>0</v>
      </c>
      <c r="I583" s="55">
        <v>12</v>
      </c>
      <c r="J583" s="267">
        <f t="shared" si="1"/>
        <v>0</v>
      </c>
      <c r="K583" s="267"/>
      <c r="L583" s="268">
        <f t="shared" si="2"/>
        <v>24</v>
      </c>
      <c r="M583" s="268"/>
    </row>
    <row r="584" spans="2:13" s="2" customFormat="1" ht="27.5" hidden="1" customHeight="1" x14ac:dyDescent="0.2">
      <c r="B584" s="41"/>
      <c r="C584" s="269" t="str">
        <f>"Schedule C   "&amp;D66</f>
        <v xml:space="preserve">Schedule C   </v>
      </c>
      <c r="D584" s="269"/>
      <c r="E584" s="212">
        <f>H80</f>
        <v>0</v>
      </c>
      <c r="F584" s="55">
        <v>12</v>
      </c>
      <c r="G584" s="42"/>
      <c r="H584" s="212">
        <f>K80</f>
        <v>0</v>
      </c>
      <c r="I584" s="55">
        <v>12</v>
      </c>
      <c r="J584" s="267">
        <f t="shared" si="1"/>
        <v>0</v>
      </c>
      <c r="K584" s="267"/>
      <c r="L584" s="268">
        <f t="shared" si="2"/>
        <v>24</v>
      </c>
      <c r="M584" s="268"/>
    </row>
    <row r="585" spans="2:13" s="2" customFormat="1" ht="27.5" hidden="1" customHeight="1" x14ac:dyDescent="0.2">
      <c r="B585" s="41"/>
      <c r="C585" s="269" t="s">
        <v>31</v>
      </c>
      <c r="D585" s="269"/>
      <c r="E585" s="212">
        <f>H87</f>
        <v>0</v>
      </c>
      <c r="F585" s="55">
        <v>12</v>
      </c>
      <c r="G585" s="42"/>
      <c r="H585" s="212">
        <f>K87</f>
        <v>0</v>
      </c>
      <c r="I585" s="55">
        <v>12</v>
      </c>
      <c r="J585" s="267">
        <f t="shared" si="1"/>
        <v>0</v>
      </c>
      <c r="K585" s="267"/>
      <c r="L585" s="268">
        <f t="shared" si="2"/>
        <v>24</v>
      </c>
      <c r="M585" s="268"/>
    </row>
    <row r="586" spans="2:13" s="2" customFormat="1" ht="27.5" hidden="1" customHeight="1" x14ac:dyDescent="0.2">
      <c r="B586" s="41"/>
      <c r="C586" s="269" t="s">
        <v>32</v>
      </c>
      <c r="D586" s="269"/>
      <c r="E586" s="212">
        <f>H96</f>
        <v>0</v>
      </c>
      <c r="F586" s="55">
        <v>12</v>
      </c>
      <c r="G586" s="42"/>
      <c r="H586" s="212">
        <f>K96</f>
        <v>0</v>
      </c>
      <c r="I586" s="55">
        <v>12</v>
      </c>
      <c r="J586" s="267">
        <f t="shared" si="1"/>
        <v>0</v>
      </c>
      <c r="K586" s="267"/>
      <c r="L586" s="268">
        <f t="shared" si="2"/>
        <v>24</v>
      </c>
      <c r="M586" s="268"/>
    </row>
    <row r="587" spans="2:13" s="2" customFormat="1" ht="27.5" hidden="1" customHeight="1" x14ac:dyDescent="0.2">
      <c r="B587" s="41"/>
      <c r="C587" s="269" t="s">
        <v>33</v>
      </c>
      <c r="D587" s="269"/>
      <c r="E587" s="212">
        <f>H109</f>
        <v>0</v>
      </c>
      <c r="F587" s="55">
        <v>12</v>
      </c>
      <c r="G587" s="42"/>
      <c r="H587" s="212">
        <f>K109</f>
        <v>0</v>
      </c>
      <c r="I587" s="55">
        <v>12</v>
      </c>
      <c r="J587" s="267">
        <f t="shared" si="1"/>
        <v>0</v>
      </c>
      <c r="K587" s="267"/>
      <c r="L587" s="268">
        <f t="shared" si="2"/>
        <v>24</v>
      </c>
      <c r="M587" s="268"/>
    </row>
    <row r="588" spans="2:13" ht="30" customHeight="1" x14ac:dyDescent="0.2">
      <c r="B588" s="270" t="s">
        <v>37</v>
      </c>
      <c r="C588" s="270"/>
      <c r="D588" s="270"/>
      <c r="E588" s="270"/>
      <c r="F588" s="270"/>
      <c r="G588" s="5"/>
      <c r="H588" s="5"/>
      <c r="I588" s="5"/>
      <c r="J588" s="5"/>
      <c r="K588" s="5"/>
      <c r="L588" s="5"/>
      <c r="M588" s="5"/>
    </row>
    <row r="589" spans="2:13" s="2" customFormat="1" ht="27.5" hidden="1" customHeight="1" x14ac:dyDescent="0.2">
      <c r="B589" s="41"/>
      <c r="C589" s="269" t="str">
        <f>"Schedule K-1   "&amp;$E$114</f>
        <v xml:space="preserve">Schedule K-1   </v>
      </c>
      <c r="D589" s="269"/>
      <c r="E589" s="212">
        <f>$H$122</f>
        <v>0</v>
      </c>
      <c r="F589" s="55">
        <v>12</v>
      </c>
      <c r="G589" s="42"/>
      <c r="H589" s="212">
        <f>$K$122</f>
        <v>0</v>
      </c>
      <c r="I589" s="55">
        <v>12</v>
      </c>
      <c r="J589" s="267">
        <f t="shared" ref="J589:J603" si="3">IFERROR((IF(F589=0,0,E589)+IF(I589=0,0,H589))/L589,0)</f>
        <v>0</v>
      </c>
      <c r="K589" s="267"/>
      <c r="L589" s="268">
        <f t="shared" ref="L589:L603" si="4">IF(ISNUMBER(F589),F589,0)+IF(ISNUMBER(I589),I589,0)</f>
        <v>24</v>
      </c>
      <c r="M589" s="268"/>
    </row>
    <row r="590" spans="2:13" s="2" customFormat="1" ht="27.5" hidden="1" customHeight="1" x14ac:dyDescent="0.2">
      <c r="B590" s="41"/>
      <c r="C590" s="269" t="str">
        <f>"W-2 Wages   "&amp;$E$114</f>
        <v xml:space="preserve">W-2 Wages   </v>
      </c>
      <c r="D590" s="269"/>
      <c r="E590" s="212">
        <f>$H$126</f>
        <v>0</v>
      </c>
      <c r="F590" s="55">
        <v>12</v>
      </c>
      <c r="G590" s="42"/>
      <c r="H590" s="212">
        <f>$K$126</f>
        <v>0</v>
      </c>
      <c r="I590" s="55">
        <v>12</v>
      </c>
      <c r="J590" s="267">
        <f t="shared" ref="J590" si="5">IFERROR((IF(F590=0,0,E590)+IF(I590=0,0,H590))/L590,0)</f>
        <v>0</v>
      </c>
      <c r="K590" s="267"/>
      <c r="L590" s="268">
        <f t="shared" ref="L590" si="6">IF(ISNUMBER(F590),F590,0)+IF(ISNUMBER(I590),I590,0)</f>
        <v>24</v>
      </c>
      <c r="M590" s="268"/>
    </row>
    <row r="591" spans="2:13" s="2" customFormat="1" ht="27.5" hidden="1" customHeight="1" x14ac:dyDescent="0.2">
      <c r="B591" s="41"/>
      <c r="C591" s="269" t="str">
        <f>"Form 1065   "&amp;$E$114</f>
        <v xml:space="preserve">Form 1065   </v>
      </c>
      <c r="D591" s="269"/>
      <c r="E591" s="212">
        <f>$H$143</f>
        <v>0</v>
      </c>
      <c r="F591" s="55">
        <v>12</v>
      </c>
      <c r="G591" s="42"/>
      <c r="H591" s="212">
        <f>$K$143</f>
        <v>0</v>
      </c>
      <c r="I591" s="55">
        <v>12</v>
      </c>
      <c r="J591" s="267">
        <f t="shared" si="3"/>
        <v>0</v>
      </c>
      <c r="K591" s="267"/>
      <c r="L591" s="268">
        <f t="shared" si="4"/>
        <v>24</v>
      </c>
      <c r="M591" s="268"/>
    </row>
    <row r="592" spans="2:13" s="2" customFormat="1" ht="27.5" hidden="1" customHeight="1" x14ac:dyDescent="0.2">
      <c r="B592" s="41"/>
      <c r="C592" s="271" t="str">
        <f>"Partnership  "&amp;$E$114&amp;"  Subtotal"</f>
        <v>Partnership    Subtotal</v>
      </c>
      <c r="D592" s="272"/>
      <c r="E592" s="213">
        <f>IF(F589&gt;0,E589,0)+IF(F590&gt;0,E590,0)+IF(F591&gt;0,E591,0)</f>
        <v>0</v>
      </c>
      <c r="F592" s="68"/>
      <c r="G592" s="69"/>
      <c r="H592" s="213">
        <f>IF(I589&gt;0,H589,0)+IF(I590&gt;0,H590,0)+IF(I591&gt;0,H591,0)</f>
        <v>0</v>
      </c>
      <c r="I592" s="68"/>
      <c r="J592" s="266">
        <f>J589+J590+J591</f>
        <v>0</v>
      </c>
      <c r="K592" s="266"/>
      <c r="L592" s="273"/>
      <c r="M592" s="274"/>
    </row>
    <row r="593" spans="2:13" s="2" customFormat="1" ht="27.5" hidden="1" customHeight="1" x14ac:dyDescent="0.2">
      <c r="B593" s="41"/>
      <c r="C593" s="269" t="str">
        <f>"Schedule K-1   "&amp;$E$146</f>
        <v xml:space="preserve">Schedule K-1   </v>
      </c>
      <c r="D593" s="269"/>
      <c r="E593" s="212">
        <f>$H$154</f>
        <v>0</v>
      </c>
      <c r="F593" s="55">
        <v>12</v>
      </c>
      <c r="G593" s="42"/>
      <c r="H593" s="212">
        <f>$K$154</f>
        <v>0</v>
      </c>
      <c r="I593" s="55">
        <v>12</v>
      </c>
      <c r="J593" s="267">
        <f t="shared" si="3"/>
        <v>0</v>
      </c>
      <c r="K593" s="267"/>
      <c r="L593" s="268">
        <f t="shared" si="4"/>
        <v>24</v>
      </c>
      <c r="M593" s="268"/>
    </row>
    <row r="594" spans="2:13" s="2" customFormat="1" ht="27.5" hidden="1" customHeight="1" x14ac:dyDescent="0.2">
      <c r="B594" s="41"/>
      <c r="C594" s="269" t="str">
        <f>"W-2 Wages   "&amp;$E$146</f>
        <v xml:space="preserve">W-2 Wages   </v>
      </c>
      <c r="D594" s="269"/>
      <c r="E594" s="212">
        <f>$H$158</f>
        <v>0</v>
      </c>
      <c r="F594" s="55">
        <v>12</v>
      </c>
      <c r="G594" s="42"/>
      <c r="H594" s="212">
        <f>$K$158</f>
        <v>0</v>
      </c>
      <c r="I594" s="55">
        <v>12</v>
      </c>
      <c r="J594" s="267">
        <f t="shared" ref="J594" si="7">IFERROR((IF(F594=0,0,E594)+IF(I594=0,0,H594))/L594,0)</f>
        <v>0</v>
      </c>
      <c r="K594" s="267"/>
      <c r="L594" s="268">
        <f t="shared" ref="L594" si="8">IF(ISNUMBER(F594),F594,0)+IF(ISNUMBER(I594),I594,0)</f>
        <v>24</v>
      </c>
      <c r="M594" s="268"/>
    </row>
    <row r="595" spans="2:13" s="2" customFormat="1" ht="27.5" hidden="1" customHeight="1" x14ac:dyDescent="0.2">
      <c r="B595" s="41"/>
      <c r="C595" s="269" t="str">
        <f>"Form 1065   "&amp;$E$146</f>
        <v xml:space="preserve">Form 1065   </v>
      </c>
      <c r="D595" s="269"/>
      <c r="E595" s="212">
        <f>$H$175</f>
        <v>0</v>
      </c>
      <c r="F595" s="55">
        <v>12</v>
      </c>
      <c r="G595" s="42"/>
      <c r="H595" s="212">
        <f>$K$175</f>
        <v>0</v>
      </c>
      <c r="I595" s="55">
        <v>12</v>
      </c>
      <c r="J595" s="267">
        <f t="shared" si="3"/>
        <v>0</v>
      </c>
      <c r="K595" s="267"/>
      <c r="L595" s="268">
        <f t="shared" si="4"/>
        <v>24</v>
      </c>
      <c r="M595" s="268"/>
    </row>
    <row r="596" spans="2:13" s="2" customFormat="1" ht="27.5" hidden="1" customHeight="1" x14ac:dyDescent="0.2">
      <c r="B596" s="41"/>
      <c r="C596" s="271" t="str">
        <f>"Partnership  "&amp;$E$146&amp;"  Subtotal"</f>
        <v>Partnership    Subtotal</v>
      </c>
      <c r="D596" s="272"/>
      <c r="E596" s="213">
        <f>IF(F593&gt;0,E593,0)+IF(F594&gt;0,E594,0)+IF(F595&gt;0,E595,0)</f>
        <v>0</v>
      </c>
      <c r="F596" s="68"/>
      <c r="G596" s="69"/>
      <c r="H596" s="213">
        <f>IF(I593&gt;0,H593,0)+IF(I594&gt;0,H594,0)+IF(I595&gt;0,H595,0)</f>
        <v>0</v>
      </c>
      <c r="I596" s="68"/>
      <c r="J596" s="266">
        <f>J593+J594+J595</f>
        <v>0</v>
      </c>
      <c r="K596" s="266"/>
      <c r="L596" s="273"/>
      <c r="M596" s="274"/>
    </row>
    <row r="597" spans="2:13" s="2" customFormat="1" ht="27.5" hidden="1" customHeight="1" x14ac:dyDescent="0.2">
      <c r="B597" s="41"/>
      <c r="C597" s="269" t="str">
        <f>"Schedule K-1   "&amp;$E$178</f>
        <v xml:space="preserve">Schedule K-1   </v>
      </c>
      <c r="D597" s="269"/>
      <c r="E597" s="212">
        <f>$H$186</f>
        <v>0</v>
      </c>
      <c r="F597" s="55">
        <v>12</v>
      </c>
      <c r="G597" s="42"/>
      <c r="H597" s="212">
        <f>$K$186</f>
        <v>0</v>
      </c>
      <c r="I597" s="55">
        <v>12</v>
      </c>
      <c r="J597" s="267">
        <f t="shared" si="3"/>
        <v>0</v>
      </c>
      <c r="K597" s="267"/>
      <c r="L597" s="268">
        <f t="shared" si="4"/>
        <v>24</v>
      </c>
      <c r="M597" s="268"/>
    </row>
    <row r="598" spans="2:13" s="2" customFormat="1" ht="27.5" hidden="1" customHeight="1" x14ac:dyDescent="0.2">
      <c r="B598" s="41"/>
      <c r="C598" s="269" t="str">
        <f>"W-2 Wages   "&amp;$E$178</f>
        <v xml:space="preserve">W-2 Wages   </v>
      </c>
      <c r="D598" s="269"/>
      <c r="E598" s="212">
        <f>$H$190</f>
        <v>0</v>
      </c>
      <c r="F598" s="55">
        <v>12</v>
      </c>
      <c r="G598" s="42"/>
      <c r="H598" s="212">
        <f>$K$190</f>
        <v>0</v>
      </c>
      <c r="I598" s="55">
        <v>12</v>
      </c>
      <c r="J598" s="267">
        <f t="shared" ref="J598" si="9">IFERROR((IF(F598=0,0,E598)+IF(I598=0,0,H598))/L598,0)</f>
        <v>0</v>
      </c>
      <c r="K598" s="267"/>
      <c r="L598" s="268">
        <f t="shared" ref="L598" si="10">IF(ISNUMBER(F598),F598,0)+IF(ISNUMBER(I598),I598,0)</f>
        <v>24</v>
      </c>
      <c r="M598" s="268"/>
    </row>
    <row r="599" spans="2:13" s="2" customFormat="1" ht="27.5" hidden="1" customHeight="1" x14ac:dyDescent="0.2">
      <c r="B599" s="41"/>
      <c r="C599" s="269" t="str">
        <f>"Form 1065   "&amp;$E$178</f>
        <v xml:space="preserve">Form 1065   </v>
      </c>
      <c r="D599" s="269"/>
      <c r="E599" s="212">
        <f>$H$207</f>
        <v>0</v>
      </c>
      <c r="F599" s="55">
        <v>12</v>
      </c>
      <c r="G599" s="42"/>
      <c r="H599" s="212">
        <f>$K$207</f>
        <v>0</v>
      </c>
      <c r="I599" s="55">
        <v>12</v>
      </c>
      <c r="J599" s="267">
        <f t="shared" si="3"/>
        <v>0</v>
      </c>
      <c r="K599" s="267"/>
      <c r="L599" s="268">
        <f t="shared" si="4"/>
        <v>24</v>
      </c>
      <c r="M599" s="268"/>
    </row>
    <row r="600" spans="2:13" s="2" customFormat="1" ht="27.5" hidden="1" customHeight="1" x14ac:dyDescent="0.2">
      <c r="B600" s="41"/>
      <c r="C600" s="271" t="str">
        <f>"Partnership  "&amp;$E$178&amp;"  Subtotal"</f>
        <v>Partnership    Subtotal</v>
      </c>
      <c r="D600" s="272"/>
      <c r="E600" s="213">
        <f>IF(F597&gt;0,E597,0)+IF(F598&gt;0,E598,0)+IF(F599&gt;0,E599,0)</f>
        <v>0</v>
      </c>
      <c r="F600" s="68"/>
      <c r="G600" s="69"/>
      <c r="H600" s="213">
        <f>IF(I597&gt;0,H597,0)+IF(I598&gt;0,H598,0)+IF(I599&gt;0,H599,0)</f>
        <v>0</v>
      </c>
      <c r="I600" s="68"/>
      <c r="J600" s="266">
        <f>J597+J598+J599</f>
        <v>0</v>
      </c>
      <c r="K600" s="266"/>
      <c r="L600" s="273"/>
      <c r="M600" s="274"/>
    </row>
    <row r="601" spans="2:13" s="2" customFormat="1" ht="27.5" hidden="1" customHeight="1" x14ac:dyDescent="0.2">
      <c r="B601" s="41"/>
      <c r="C601" s="269" t="str">
        <f>"Schedule K-1   "&amp;$E$210</f>
        <v xml:space="preserve">Schedule K-1   </v>
      </c>
      <c r="D601" s="269"/>
      <c r="E601" s="212">
        <f>$H$218</f>
        <v>0</v>
      </c>
      <c r="F601" s="55">
        <v>12</v>
      </c>
      <c r="G601" s="42"/>
      <c r="H601" s="212">
        <f>$K$218</f>
        <v>0</v>
      </c>
      <c r="I601" s="55">
        <v>12</v>
      </c>
      <c r="J601" s="267">
        <f t="shared" si="3"/>
        <v>0</v>
      </c>
      <c r="K601" s="267"/>
      <c r="L601" s="268">
        <f t="shared" si="4"/>
        <v>24</v>
      </c>
      <c r="M601" s="268"/>
    </row>
    <row r="602" spans="2:13" s="2" customFormat="1" ht="27.5" hidden="1" customHeight="1" x14ac:dyDescent="0.2">
      <c r="B602" s="41"/>
      <c r="C602" s="269" t="str">
        <f>"W-2 Wages   "&amp;$E$210</f>
        <v xml:space="preserve">W-2 Wages   </v>
      </c>
      <c r="D602" s="269"/>
      <c r="E602" s="212">
        <f>$H$222</f>
        <v>0</v>
      </c>
      <c r="F602" s="55">
        <v>12</v>
      </c>
      <c r="G602" s="42"/>
      <c r="H602" s="212">
        <f>$K$222</f>
        <v>0</v>
      </c>
      <c r="I602" s="55">
        <v>12</v>
      </c>
      <c r="J602" s="267">
        <f t="shared" si="3"/>
        <v>0</v>
      </c>
      <c r="K602" s="267"/>
      <c r="L602" s="268">
        <f t="shared" si="4"/>
        <v>24</v>
      </c>
      <c r="M602" s="268"/>
    </row>
    <row r="603" spans="2:13" s="2" customFormat="1" ht="27.5" hidden="1" customHeight="1" x14ac:dyDescent="0.2">
      <c r="B603" s="41"/>
      <c r="C603" s="269" t="str">
        <f>"Form 1065   "&amp;$E$210</f>
        <v xml:space="preserve">Form 1065   </v>
      </c>
      <c r="D603" s="269"/>
      <c r="E603" s="212">
        <f>$H$239</f>
        <v>0</v>
      </c>
      <c r="F603" s="55">
        <v>12</v>
      </c>
      <c r="G603" s="42"/>
      <c r="H603" s="212">
        <f>$K$239</f>
        <v>0</v>
      </c>
      <c r="I603" s="55">
        <v>12</v>
      </c>
      <c r="J603" s="267">
        <f t="shared" si="3"/>
        <v>0</v>
      </c>
      <c r="K603" s="267"/>
      <c r="L603" s="268">
        <f t="shared" si="4"/>
        <v>24</v>
      </c>
      <c r="M603" s="268"/>
    </row>
    <row r="604" spans="2:13" s="2" customFormat="1" ht="27.5" hidden="1" customHeight="1" x14ac:dyDescent="0.2">
      <c r="B604" s="41"/>
      <c r="C604" s="271" t="str">
        <f>"Partnership  "&amp;$E$210&amp;"  Subtotal"</f>
        <v>Partnership    Subtotal</v>
      </c>
      <c r="D604" s="272"/>
      <c r="E604" s="213">
        <f>IF(F601&gt;0,E601,0)+IF(F602&gt;0,E602,0)+IF(F603&gt;0,E603,0)</f>
        <v>0</v>
      </c>
      <c r="F604" s="68"/>
      <c r="G604" s="69"/>
      <c r="H604" s="213">
        <f>IF(I601&gt;0,H601,0)+IF(I602&gt;0,H602,0)+IF(I603&gt;0,H603,0)</f>
        <v>0</v>
      </c>
      <c r="I604" s="68"/>
      <c r="J604" s="266">
        <f>J601+J602+J603</f>
        <v>0</v>
      </c>
      <c r="K604" s="266"/>
      <c r="L604" s="273"/>
      <c r="M604" s="274"/>
    </row>
    <row r="605" spans="2:13" s="2" customFormat="1" ht="27.5" hidden="1" customHeight="1" x14ac:dyDescent="0.2">
      <c r="B605" s="41"/>
      <c r="C605" s="269" t="str">
        <f>"Schedule K-1   "&amp;$E$242</f>
        <v xml:space="preserve">Schedule K-1   </v>
      </c>
      <c r="D605" s="269"/>
      <c r="E605" s="212">
        <f>$H$250</f>
        <v>0</v>
      </c>
      <c r="F605" s="55">
        <v>12</v>
      </c>
      <c r="G605" s="42"/>
      <c r="H605" s="212">
        <f>$K$250</f>
        <v>0</v>
      </c>
      <c r="I605" s="55">
        <v>12</v>
      </c>
      <c r="J605" s="267">
        <f t="shared" ref="J605:J611" si="11">IFERROR((IF(F605=0,0,E605)+IF(I605=0,0,H605))/L605,0)</f>
        <v>0</v>
      </c>
      <c r="K605" s="267"/>
      <c r="L605" s="268">
        <f t="shared" ref="L605:L611" si="12">IF(ISNUMBER(F605),F605,0)+IF(ISNUMBER(I605),I605,0)</f>
        <v>24</v>
      </c>
      <c r="M605" s="268"/>
    </row>
    <row r="606" spans="2:13" s="2" customFormat="1" ht="27.5" hidden="1" customHeight="1" x14ac:dyDescent="0.2">
      <c r="B606" s="41"/>
      <c r="C606" s="269" t="str">
        <f>"W-2 Wages   "&amp;$E$242</f>
        <v xml:space="preserve">W-2 Wages   </v>
      </c>
      <c r="D606" s="269"/>
      <c r="E606" s="212">
        <f>$H$254</f>
        <v>0</v>
      </c>
      <c r="F606" s="55">
        <v>12</v>
      </c>
      <c r="G606" s="42"/>
      <c r="H606" s="212">
        <f>$K$254</f>
        <v>0</v>
      </c>
      <c r="I606" s="55">
        <v>12</v>
      </c>
      <c r="J606" s="267">
        <f t="shared" si="11"/>
        <v>0</v>
      </c>
      <c r="K606" s="267"/>
      <c r="L606" s="268">
        <f t="shared" si="12"/>
        <v>24</v>
      </c>
      <c r="M606" s="268"/>
    </row>
    <row r="607" spans="2:13" s="2" customFormat="1" ht="27.5" hidden="1" customHeight="1" x14ac:dyDescent="0.2">
      <c r="B607" s="41"/>
      <c r="C607" s="269" t="str">
        <f>"Form 1065   "&amp;$E$242</f>
        <v xml:space="preserve">Form 1065   </v>
      </c>
      <c r="D607" s="269"/>
      <c r="E607" s="212">
        <f>$H$271</f>
        <v>0</v>
      </c>
      <c r="F607" s="55">
        <v>12</v>
      </c>
      <c r="G607" s="42"/>
      <c r="H607" s="212">
        <f>$K$271</f>
        <v>0</v>
      </c>
      <c r="I607" s="55">
        <v>12</v>
      </c>
      <c r="J607" s="267">
        <f t="shared" si="11"/>
        <v>0</v>
      </c>
      <c r="K607" s="267"/>
      <c r="L607" s="268">
        <f t="shared" si="12"/>
        <v>24</v>
      </c>
      <c r="M607" s="268"/>
    </row>
    <row r="608" spans="2:13" s="2" customFormat="1" ht="27.5" hidden="1" customHeight="1" x14ac:dyDescent="0.2">
      <c r="B608" s="41"/>
      <c r="C608" s="271" t="str">
        <f>"Partnership  "&amp;$E$242&amp;"  Subtotal"</f>
        <v>Partnership    Subtotal</v>
      </c>
      <c r="D608" s="272"/>
      <c r="E608" s="213">
        <f>IF(F605&gt;0,E605,0)+IF(F606&gt;0,E606,0)+IF(F607&gt;0,E607,0)</f>
        <v>0</v>
      </c>
      <c r="F608" s="68"/>
      <c r="G608" s="69"/>
      <c r="H608" s="213">
        <f>IF(I605&gt;0,H605,0)+IF(I606&gt;0,H606,0)+IF(I607&gt;0,H607,0)</f>
        <v>0</v>
      </c>
      <c r="I608" s="68"/>
      <c r="J608" s="266">
        <f>J605+J606+J607</f>
        <v>0</v>
      </c>
      <c r="K608" s="266"/>
      <c r="L608" s="273"/>
      <c r="M608" s="274"/>
    </row>
    <row r="609" spans="2:13" s="2" customFormat="1" ht="27.5" hidden="1" customHeight="1" x14ac:dyDescent="0.2">
      <c r="B609" s="41"/>
      <c r="C609" s="269" t="str">
        <f>"Schedule K-1   "&amp;$E$274</f>
        <v xml:space="preserve">Schedule K-1   </v>
      </c>
      <c r="D609" s="269"/>
      <c r="E609" s="212">
        <f>$H$282</f>
        <v>0</v>
      </c>
      <c r="F609" s="55">
        <v>12</v>
      </c>
      <c r="G609" s="42"/>
      <c r="H609" s="212">
        <f>$K$282</f>
        <v>0</v>
      </c>
      <c r="I609" s="55">
        <v>12</v>
      </c>
      <c r="J609" s="267">
        <f t="shared" si="11"/>
        <v>0</v>
      </c>
      <c r="K609" s="267"/>
      <c r="L609" s="268">
        <f t="shared" si="12"/>
        <v>24</v>
      </c>
      <c r="M609" s="268"/>
    </row>
    <row r="610" spans="2:13" s="2" customFormat="1" ht="27.5" hidden="1" customHeight="1" x14ac:dyDescent="0.2">
      <c r="B610" s="41"/>
      <c r="C610" s="269" t="str">
        <f>"W-2 Wages   "&amp;$E$274</f>
        <v xml:space="preserve">W-2 Wages   </v>
      </c>
      <c r="D610" s="269"/>
      <c r="E610" s="212">
        <f>$H$286</f>
        <v>0</v>
      </c>
      <c r="F610" s="55">
        <v>12</v>
      </c>
      <c r="G610" s="42"/>
      <c r="H610" s="212">
        <f>$K$286</f>
        <v>0</v>
      </c>
      <c r="I610" s="55">
        <v>12</v>
      </c>
      <c r="J610" s="267">
        <f t="shared" ref="J610" si="13">IFERROR((IF(F610=0,0,E610)+IF(I610=0,0,H610))/L610,0)</f>
        <v>0</v>
      </c>
      <c r="K610" s="267"/>
      <c r="L610" s="268">
        <f t="shared" ref="L610" si="14">IF(ISNUMBER(F610),F610,0)+IF(ISNUMBER(I610),I610,0)</f>
        <v>24</v>
      </c>
      <c r="M610" s="268"/>
    </row>
    <row r="611" spans="2:13" s="2" customFormat="1" ht="27.5" hidden="1" customHeight="1" x14ac:dyDescent="0.2">
      <c r="B611" s="41"/>
      <c r="C611" s="269" t="str">
        <f>"Form 1065   "&amp;$E$274</f>
        <v xml:space="preserve">Form 1065   </v>
      </c>
      <c r="D611" s="269"/>
      <c r="E611" s="212">
        <f>$H$303</f>
        <v>0</v>
      </c>
      <c r="F611" s="55">
        <v>12</v>
      </c>
      <c r="G611" s="42"/>
      <c r="H611" s="212">
        <f>$K$303</f>
        <v>0</v>
      </c>
      <c r="I611" s="55">
        <v>12</v>
      </c>
      <c r="J611" s="267">
        <f t="shared" si="11"/>
        <v>0</v>
      </c>
      <c r="K611" s="267"/>
      <c r="L611" s="268">
        <f t="shared" si="12"/>
        <v>24</v>
      </c>
      <c r="M611" s="268"/>
    </row>
    <row r="612" spans="2:13" s="2" customFormat="1" ht="27.5" hidden="1" customHeight="1" x14ac:dyDescent="0.2">
      <c r="B612" s="41"/>
      <c r="C612" s="271" t="str">
        <f>"Partnership  "&amp;$E$274&amp;"  Subtotal"</f>
        <v>Partnership    Subtotal</v>
      </c>
      <c r="D612" s="272"/>
      <c r="E612" s="213">
        <f>IF(F609&gt;0,E609,0)+IF(F610&gt;0,E610,0)+IF(F611&gt;0,E611,0)</f>
        <v>0</v>
      </c>
      <c r="F612" s="68"/>
      <c r="G612" s="69"/>
      <c r="H612" s="213">
        <f>IF(I609&gt;0,H609,0)+IF(I610&gt;0,H610,0)+IF(I611&gt;0,H611,0)</f>
        <v>0</v>
      </c>
      <c r="I612" s="68"/>
      <c r="J612" s="266">
        <f>J609+J610+J611</f>
        <v>0</v>
      </c>
      <c r="K612" s="266"/>
      <c r="L612" s="273"/>
      <c r="M612" s="274"/>
    </row>
    <row r="613" spans="2:13" s="2" customFormat="1" ht="27.5" customHeight="1" x14ac:dyDescent="0.2">
      <c r="B613" s="41"/>
      <c r="C613" s="269" t="str">
        <f>"Schedule K-1   "&amp;$E$308</f>
        <v>Schedule K-1   M Cars LLC</v>
      </c>
      <c r="D613" s="269"/>
      <c r="E613" s="212">
        <f>$H$315</f>
        <v>207297</v>
      </c>
      <c r="F613" s="55">
        <v>12</v>
      </c>
      <c r="G613" s="42"/>
      <c r="H613" s="212">
        <f>$K$315</f>
        <v>83125</v>
      </c>
      <c r="I613" s="55">
        <v>12</v>
      </c>
      <c r="J613" s="267">
        <f t="shared" ref="J613:J615" si="15">IFERROR((IF(F613=0,0,E613)+IF(I613=0,0,H613))/L613,0)</f>
        <v>12100.916666666666</v>
      </c>
      <c r="K613" s="267"/>
      <c r="L613" s="268">
        <f t="shared" ref="L613:L615" si="16">IF(ISNUMBER(F613),F613,0)+IF(ISNUMBER(I613),I613,0)</f>
        <v>24</v>
      </c>
      <c r="M613" s="268"/>
    </row>
    <row r="614" spans="2:13" s="2" customFormat="1" ht="27.5" customHeight="1" x14ac:dyDescent="0.2">
      <c r="B614" s="41"/>
      <c r="C614" s="269" t="str">
        <f>"W-2 Wages   "&amp;$E$308</f>
        <v>W-2 Wages   M Cars LLC</v>
      </c>
      <c r="D614" s="269"/>
      <c r="E614" s="212">
        <f>$H$319</f>
        <v>69000</v>
      </c>
      <c r="F614" s="55">
        <v>12</v>
      </c>
      <c r="G614" s="42"/>
      <c r="H614" s="212">
        <f>$K$319</f>
        <v>21000</v>
      </c>
      <c r="I614" s="55">
        <v>12</v>
      </c>
      <c r="J614" s="267">
        <f t="shared" ref="J614" si="17">IFERROR((IF(F614=0,0,E614)+IF(I614=0,0,H614))/L614,0)</f>
        <v>3750</v>
      </c>
      <c r="K614" s="267"/>
      <c r="L614" s="268">
        <f t="shared" ref="L614" si="18">IF(ISNUMBER(F614),F614,0)+IF(ISNUMBER(I614),I614,0)</f>
        <v>24</v>
      </c>
      <c r="M614" s="268"/>
    </row>
    <row r="615" spans="2:13" s="2" customFormat="1" ht="27.5" customHeight="1" x14ac:dyDescent="0.2">
      <c r="B615" s="41"/>
      <c r="C615" s="269" t="str">
        <f>"Form 1120S   "&amp;$E$308</f>
        <v>Form 1120S   M Cars LLC</v>
      </c>
      <c r="D615" s="269"/>
      <c r="E615" s="212">
        <f>$H$335</f>
        <v>0</v>
      </c>
      <c r="F615" s="55">
        <v>12</v>
      </c>
      <c r="G615" s="42"/>
      <c r="H615" s="212">
        <f>$K$335</f>
        <v>0</v>
      </c>
      <c r="I615" s="55">
        <v>12</v>
      </c>
      <c r="J615" s="267">
        <f t="shared" si="15"/>
        <v>0</v>
      </c>
      <c r="K615" s="267"/>
      <c r="L615" s="268">
        <f t="shared" si="16"/>
        <v>24</v>
      </c>
      <c r="M615" s="268"/>
    </row>
    <row r="616" spans="2:13" s="2" customFormat="1" ht="27.5" customHeight="1" x14ac:dyDescent="0.2">
      <c r="B616" s="41"/>
      <c r="C616" s="271" t="str">
        <f>"S Corporation  "&amp;$E$308&amp;"  Subtotal"</f>
        <v>S Corporation  M Cars LLC  Subtotal</v>
      </c>
      <c r="D616" s="272"/>
      <c r="E616" s="213">
        <f>IF(F613&gt;0,E613,0)+IF(F614&gt;0,E614,0)+IF(F615&gt;0,E615,0)</f>
        <v>276297</v>
      </c>
      <c r="F616" s="68"/>
      <c r="G616" s="69"/>
      <c r="H616" s="213">
        <f>IF(I613&gt;0,H613,0)+IF(I614&gt;0,H614,0)+IF(I615&gt;0,H615,0)</f>
        <v>104125</v>
      </c>
      <c r="I616" s="68"/>
      <c r="J616" s="266">
        <f>ROUND(J613,2)+ROUND(J614,2)+ROUND(J615,2)</f>
        <v>15850.92</v>
      </c>
      <c r="K616" s="266"/>
      <c r="L616" s="273"/>
      <c r="M616" s="274"/>
    </row>
    <row r="617" spans="2:13" s="2" customFormat="1" ht="27.5" hidden="1" customHeight="1" x14ac:dyDescent="0.2">
      <c r="B617" s="41"/>
      <c r="C617" s="269" t="str">
        <f>"Schedule K-1   "&amp;$E$338</f>
        <v xml:space="preserve">Schedule K-1   </v>
      </c>
      <c r="D617" s="269"/>
      <c r="E617" s="212">
        <f>$H$345</f>
        <v>0</v>
      </c>
      <c r="F617" s="55">
        <v>12</v>
      </c>
      <c r="G617" s="42"/>
      <c r="H617" s="212">
        <f>$K$345</f>
        <v>0</v>
      </c>
      <c r="I617" s="55">
        <v>12</v>
      </c>
      <c r="J617" s="267">
        <f t="shared" ref="J617:J619" si="19">IFERROR((IF(F617=0,0,E617)+IF(I617=0,0,H617))/L617,0)</f>
        <v>0</v>
      </c>
      <c r="K617" s="267"/>
      <c r="L617" s="268">
        <f t="shared" ref="L617:L619" si="20">IF(ISNUMBER(F617),F617,0)+IF(ISNUMBER(I617),I617,0)</f>
        <v>24</v>
      </c>
      <c r="M617" s="268"/>
    </row>
    <row r="618" spans="2:13" s="2" customFormat="1" ht="27.5" hidden="1" customHeight="1" x14ac:dyDescent="0.2">
      <c r="B618" s="41"/>
      <c r="C618" s="269" t="str">
        <f>"W-2 Wages   "&amp;$E$338</f>
        <v xml:space="preserve">W-2 Wages   </v>
      </c>
      <c r="D618" s="269"/>
      <c r="E618" s="212">
        <f>$H$349</f>
        <v>0</v>
      </c>
      <c r="F618" s="55">
        <v>12</v>
      </c>
      <c r="G618" s="42"/>
      <c r="H618" s="212">
        <f>$K$349</f>
        <v>0</v>
      </c>
      <c r="I618" s="55">
        <v>12</v>
      </c>
      <c r="J618" s="267">
        <f t="shared" si="19"/>
        <v>0</v>
      </c>
      <c r="K618" s="267"/>
      <c r="L618" s="268">
        <f t="shared" si="20"/>
        <v>24</v>
      </c>
      <c r="M618" s="268"/>
    </row>
    <row r="619" spans="2:13" s="2" customFormat="1" ht="27.5" hidden="1" customHeight="1" x14ac:dyDescent="0.2">
      <c r="B619" s="41"/>
      <c r="C619" s="269" t="str">
        <f>"Form 1120S   "&amp;$E$338</f>
        <v xml:space="preserve">Form 1120S   </v>
      </c>
      <c r="D619" s="269"/>
      <c r="E619" s="212">
        <f>$H$365</f>
        <v>0</v>
      </c>
      <c r="F619" s="55">
        <v>12</v>
      </c>
      <c r="G619" s="42"/>
      <c r="H619" s="212">
        <f>$K$365</f>
        <v>0</v>
      </c>
      <c r="I619" s="55">
        <v>12</v>
      </c>
      <c r="J619" s="267">
        <f t="shared" si="19"/>
        <v>0</v>
      </c>
      <c r="K619" s="267"/>
      <c r="L619" s="268">
        <f t="shared" si="20"/>
        <v>24</v>
      </c>
      <c r="M619" s="268"/>
    </row>
    <row r="620" spans="2:13" s="2" customFormat="1" ht="27.5" hidden="1" customHeight="1" x14ac:dyDescent="0.2">
      <c r="B620" s="41"/>
      <c r="C620" s="271" t="str">
        <f>"S Corporation  "&amp;$E$338&amp;"  Subtotal"</f>
        <v>S Corporation    Subtotal</v>
      </c>
      <c r="D620" s="272"/>
      <c r="E620" s="213">
        <f>IF(F617&gt;0,E617,0)+IF(F618&gt;0,E618,0)+IF(F619&gt;0,E619,0)</f>
        <v>0</v>
      </c>
      <c r="F620" s="68"/>
      <c r="G620" s="69"/>
      <c r="H620" s="213">
        <f>IF(I617&gt;0,H617,0)+IF(I618&gt;0,H618,0)+IF(I619&gt;0,H619,0)</f>
        <v>0</v>
      </c>
      <c r="I620" s="68"/>
      <c r="J620" s="266">
        <f>ROUND(J617,2)+ROUND(J618,2)+ROUND(J619,2)</f>
        <v>0</v>
      </c>
      <c r="K620" s="266"/>
      <c r="L620" s="273"/>
      <c r="M620" s="274"/>
    </row>
    <row r="621" spans="2:13" s="2" customFormat="1" ht="27.5" hidden="1" customHeight="1" x14ac:dyDescent="0.2">
      <c r="B621" s="41"/>
      <c r="C621" s="269" t="str">
        <f>"Schedule K-1   "&amp;$E$368</f>
        <v xml:space="preserve">Schedule K-1   </v>
      </c>
      <c r="D621" s="269"/>
      <c r="E621" s="212">
        <f>$H$375</f>
        <v>0</v>
      </c>
      <c r="F621" s="55">
        <v>12</v>
      </c>
      <c r="G621" s="42"/>
      <c r="H621" s="212">
        <f>$K$375</f>
        <v>0</v>
      </c>
      <c r="I621" s="55">
        <v>12</v>
      </c>
      <c r="J621" s="267">
        <f t="shared" ref="J621:J623" si="21">IFERROR((IF(F621=0,0,E621)+IF(I621=0,0,H621))/L621,0)</f>
        <v>0</v>
      </c>
      <c r="K621" s="267"/>
      <c r="L621" s="268">
        <f t="shared" ref="L621:L623" si="22">IF(ISNUMBER(F621),F621,0)+IF(ISNUMBER(I621),I621,0)</f>
        <v>24</v>
      </c>
      <c r="M621" s="268"/>
    </row>
    <row r="622" spans="2:13" s="2" customFormat="1" ht="27.5" hidden="1" customHeight="1" x14ac:dyDescent="0.2">
      <c r="B622" s="41"/>
      <c r="C622" s="269" t="str">
        <f>"W-2 Wages   "&amp;$E$368</f>
        <v xml:space="preserve">W-2 Wages   </v>
      </c>
      <c r="D622" s="269"/>
      <c r="E622" s="212">
        <f>$H$379</f>
        <v>0</v>
      </c>
      <c r="F622" s="55">
        <v>12</v>
      </c>
      <c r="G622" s="42"/>
      <c r="H622" s="212">
        <f>$K$379</f>
        <v>0</v>
      </c>
      <c r="I622" s="55">
        <v>12</v>
      </c>
      <c r="J622" s="267">
        <f t="shared" si="21"/>
        <v>0</v>
      </c>
      <c r="K622" s="267"/>
      <c r="L622" s="268">
        <f t="shared" si="22"/>
        <v>24</v>
      </c>
      <c r="M622" s="268"/>
    </row>
    <row r="623" spans="2:13" s="2" customFormat="1" ht="27.5" hidden="1" customHeight="1" x14ac:dyDescent="0.2">
      <c r="B623" s="41"/>
      <c r="C623" s="269" t="str">
        <f>"Form 1120S   "&amp;$E$368</f>
        <v xml:space="preserve">Form 1120S   </v>
      </c>
      <c r="D623" s="269"/>
      <c r="E623" s="212">
        <f>$H$395</f>
        <v>0</v>
      </c>
      <c r="F623" s="55">
        <v>12</v>
      </c>
      <c r="G623" s="42"/>
      <c r="H623" s="212">
        <f>$K$395</f>
        <v>0</v>
      </c>
      <c r="I623" s="55">
        <v>12</v>
      </c>
      <c r="J623" s="267">
        <f t="shared" si="21"/>
        <v>0</v>
      </c>
      <c r="K623" s="267"/>
      <c r="L623" s="268">
        <f t="shared" si="22"/>
        <v>24</v>
      </c>
      <c r="M623" s="268"/>
    </row>
    <row r="624" spans="2:13" s="2" customFormat="1" ht="27.5" hidden="1" customHeight="1" x14ac:dyDescent="0.2">
      <c r="B624" s="41"/>
      <c r="C624" s="271" t="str">
        <f>"S Corporation  "&amp;$E$368&amp;"  Subtotal"</f>
        <v>S Corporation    Subtotal</v>
      </c>
      <c r="D624" s="272"/>
      <c r="E624" s="213">
        <f>IF(F621&gt;0,E621,0)+IF(F622&gt;0,E622,0)+IF(F623&gt;0,E623,0)</f>
        <v>0</v>
      </c>
      <c r="F624" s="68"/>
      <c r="G624" s="69"/>
      <c r="H624" s="213">
        <f>IF(I621&gt;0,H621,0)+IF(I622&gt;0,H622,0)+IF(I623&gt;0,H623,0)</f>
        <v>0</v>
      </c>
      <c r="I624" s="68"/>
      <c r="J624" s="266">
        <f>ROUND(J621,2)+ROUND(J622,2)+ROUND(J623,2)</f>
        <v>0</v>
      </c>
      <c r="K624" s="266"/>
      <c r="L624" s="273"/>
      <c r="M624" s="274"/>
    </row>
    <row r="625" spans="2:13" s="2" customFormat="1" ht="27.5" hidden="1" customHeight="1" x14ac:dyDescent="0.2">
      <c r="B625" s="41"/>
      <c r="C625" s="269" t="str">
        <f>"Schedule K-1   "&amp;$E$398</f>
        <v xml:space="preserve">Schedule K-1   </v>
      </c>
      <c r="D625" s="269"/>
      <c r="E625" s="212">
        <f>$H$405</f>
        <v>0</v>
      </c>
      <c r="F625" s="55">
        <v>12</v>
      </c>
      <c r="G625" s="42"/>
      <c r="H625" s="212">
        <f>$K$405</f>
        <v>0</v>
      </c>
      <c r="I625" s="55">
        <v>12</v>
      </c>
      <c r="J625" s="267">
        <f t="shared" ref="J625:J627" si="23">IFERROR((IF(F625=0,0,E625)+IF(I625=0,0,H625))/L625,0)</f>
        <v>0</v>
      </c>
      <c r="K625" s="267"/>
      <c r="L625" s="268">
        <f t="shared" ref="L625:L627" si="24">IF(ISNUMBER(F625),F625,0)+IF(ISNUMBER(I625),I625,0)</f>
        <v>24</v>
      </c>
      <c r="M625" s="268"/>
    </row>
    <row r="626" spans="2:13" s="2" customFormat="1" ht="27.5" hidden="1" customHeight="1" x14ac:dyDescent="0.2">
      <c r="B626" s="41"/>
      <c r="C626" s="269" t="str">
        <f>"W-2 Wages   "&amp;$E$398</f>
        <v xml:space="preserve">W-2 Wages   </v>
      </c>
      <c r="D626" s="269"/>
      <c r="E626" s="212">
        <f>$H$409</f>
        <v>0</v>
      </c>
      <c r="F626" s="55">
        <v>12</v>
      </c>
      <c r="G626" s="42"/>
      <c r="H626" s="212">
        <f>$K$409</f>
        <v>0</v>
      </c>
      <c r="I626" s="55">
        <v>12</v>
      </c>
      <c r="J626" s="267">
        <f t="shared" si="23"/>
        <v>0</v>
      </c>
      <c r="K626" s="267"/>
      <c r="L626" s="268">
        <f t="shared" si="24"/>
        <v>24</v>
      </c>
      <c r="M626" s="268"/>
    </row>
    <row r="627" spans="2:13" s="2" customFormat="1" ht="27.5" hidden="1" customHeight="1" x14ac:dyDescent="0.2">
      <c r="B627" s="41"/>
      <c r="C627" s="269" t="str">
        <f>"Form 1120S   "&amp;$E$398</f>
        <v xml:space="preserve">Form 1120S   </v>
      </c>
      <c r="D627" s="269"/>
      <c r="E627" s="212">
        <f>$H$425</f>
        <v>0</v>
      </c>
      <c r="F627" s="55">
        <v>12</v>
      </c>
      <c r="G627" s="42"/>
      <c r="H627" s="212">
        <f>$K$425</f>
        <v>0</v>
      </c>
      <c r="I627" s="55">
        <v>12</v>
      </c>
      <c r="J627" s="267">
        <f t="shared" si="23"/>
        <v>0</v>
      </c>
      <c r="K627" s="267"/>
      <c r="L627" s="268">
        <f t="shared" si="24"/>
        <v>24</v>
      </c>
      <c r="M627" s="268"/>
    </row>
    <row r="628" spans="2:13" s="2" customFormat="1" ht="27.5" hidden="1" customHeight="1" x14ac:dyDescent="0.2">
      <c r="B628" s="41"/>
      <c r="C628" s="271" t="str">
        <f>"S Corporation  "&amp;$E$398&amp;"  Subtotal"</f>
        <v>S Corporation    Subtotal</v>
      </c>
      <c r="D628" s="272"/>
      <c r="E628" s="213">
        <f>IF(F625&gt;0,E625,0)+IF(F626&gt;0,E626,0)+IF(F627&gt;0,E627,0)</f>
        <v>0</v>
      </c>
      <c r="F628" s="68"/>
      <c r="G628" s="69"/>
      <c r="H628" s="213">
        <f>IF(I625&gt;0,H625,0)+IF(I626&gt;0,H626,0)+IF(I627&gt;0,H627,0)</f>
        <v>0</v>
      </c>
      <c r="I628" s="68"/>
      <c r="J628" s="266">
        <f>ROUND(J625,2)+ROUND(J626,2)+ROUND(J627,2)</f>
        <v>0</v>
      </c>
      <c r="K628" s="266"/>
      <c r="L628" s="273"/>
      <c r="M628" s="274"/>
    </row>
    <row r="629" spans="2:13" s="2" customFormat="1" ht="27.5" hidden="1" customHeight="1" x14ac:dyDescent="0.2">
      <c r="B629" s="41"/>
      <c r="C629" s="269" t="str">
        <f>"Schedule K-1   "&amp;$E$428</f>
        <v xml:space="preserve">Schedule K-1   </v>
      </c>
      <c r="D629" s="269"/>
      <c r="E629" s="212">
        <f>$H$435</f>
        <v>0</v>
      </c>
      <c r="F629" s="55">
        <v>12</v>
      </c>
      <c r="G629" s="42"/>
      <c r="H629" s="212">
        <f>$K$435</f>
        <v>0</v>
      </c>
      <c r="I629" s="55">
        <v>12</v>
      </c>
      <c r="J629" s="267">
        <f t="shared" ref="J629:J631" si="25">IFERROR((IF(F629=0,0,E629)+IF(I629=0,0,H629))/L629,0)</f>
        <v>0</v>
      </c>
      <c r="K629" s="267"/>
      <c r="L629" s="268">
        <f t="shared" ref="L629:L631" si="26">IF(ISNUMBER(F629),F629,0)+IF(ISNUMBER(I629),I629,0)</f>
        <v>24</v>
      </c>
      <c r="M629" s="268"/>
    </row>
    <row r="630" spans="2:13" s="2" customFormat="1" ht="27.5" hidden="1" customHeight="1" x14ac:dyDescent="0.2">
      <c r="B630" s="41"/>
      <c r="C630" s="269" t="str">
        <f>"W-2 Wages   "&amp;$E$428</f>
        <v xml:space="preserve">W-2 Wages   </v>
      </c>
      <c r="D630" s="269"/>
      <c r="E630" s="212">
        <f>$H$439</f>
        <v>0</v>
      </c>
      <c r="F630" s="55">
        <v>12</v>
      </c>
      <c r="G630" s="42"/>
      <c r="H630" s="212">
        <f>$K$439</f>
        <v>0</v>
      </c>
      <c r="I630" s="55">
        <v>12</v>
      </c>
      <c r="J630" s="267">
        <f t="shared" si="25"/>
        <v>0</v>
      </c>
      <c r="K630" s="267"/>
      <c r="L630" s="268">
        <f t="shared" si="26"/>
        <v>24</v>
      </c>
      <c r="M630" s="268"/>
    </row>
    <row r="631" spans="2:13" s="2" customFormat="1" ht="27.5" hidden="1" customHeight="1" x14ac:dyDescent="0.2">
      <c r="B631" s="41"/>
      <c r="C631" s="269" t="str">
        <f>"Form 1120S   "&amp;$E$428</f>
        <v xml:space="preserve">Form 1120S   </v>
      </c>
      <c r="D631" s="269"/>
      <c r="E631" s="212">
        <f>$H$455</f>
        <v>0</v>
      </c>
      <c r="F631" s="55">
        <v>12</v>
      </c>
      <c r="G631" s="42"/>
      <c r="H631" s="212">
        <f>$K$455</f>
        <v>0</v>
      </c>
      <c r="I631" s="55">
        <v>12</v>
      </c>
      <c r="J631" s="267">
        <f t="shared" si="25"/>
        <v>0</v>
      </c>
      <c r="K631" s="267"/>
      <c r="L631" s="268">
        <f t="shared" si="26"/>
        <v>24</v>
      </c>
      <c r="M631" s="268"/>
    </row>
    <row r="632" spans="2:13" s="2" customFormat="1" ht="27.5" hidden="1" customHeight="1" x14ac:dyDescent="0.2">
      <c r="B632" s="41"/>
      <c r="C632" s="271" t="str">
        <f>"S Corporation  "&amp;$E$428&amp;"  Subtotal"</f>
        <v>S Corporation    Subtotal</v>
      </c>
      <c r="D632" s="272"/>
      <c r="E632" s="213">
        <f>IF(F629&gt;0,E629,0)+IF(F630&gt;0,E630,0)+IF(F631&gt;0,E631,0)</f>
        <v>0</v>
      </c>
      <c r="F632" s="68"/>
      <c r="G632" s="69"/>
      <c r="H632" s="213">
        <f>IF(I629&gt;0,H629,0)+IF(I630&gt;0,H630,0)+IF(I631&gt;0,H631,0)</f>
        <v>0</v>
      </c>
      <c r="I632" s="68"/>
      <c r="J632" s="266">
        <f>ROUND(J629,2)+ROUND(J630,2)+ROUND(J631,2)</f>
        <v>0</v>
      </c>
      <c r="K632" s="266"/>
      <c r="L632" s="273"/>
      <c r="M632" s="274"/>
    </row>
    <row r="633" spans="2:13" s="2" customFormat="1" ht="27.5" hidden="1" customHeight="1" x14ac:dyDescent="0.2">
      <c r="B633" s="41"/>
      <c r="C633" s="269" t="str">
        <f>"Schedule K-1   "&amp;$E$458</f>
        <v xml:space="preserve">Schedule K-1   </v>
      </c>
      <c r="D633" s="269"/>
      <c r="E633" s="212">
        <f>$H$465</f>
        <v>0</v>
      </c>
      <c r="F633" s="55">
        <v>12</v>
      </c>
      <c r="G633" s="42"/>
      <c r="H633" s="212">
        <f>$K$465</f>
        <v>0</v>
      </c>
      <c r="I633" s="55">
        <v>12</v>
      </c>
      <c r="J633" s="267">
        <f t="shared" ref="J633:J635" si="27">IFERROR((IF(F633=0,0,E633)+IF(I633=0,0,H633))/L633,0)</f>
        <v>0</v>
      </c>
      <c r="K633" s="267"/>
      <c r="L633" s="268">
        <f t="shared" ref="L633:L635" si="28">IF(ISNUMBER(F633),F633,0)+IF(ISNUMBER(I633),I633,0)</f>
        <v>24</v>
      </c>
      <c r="M633" s="268"/>
    </row>
    <row r="634" spans="2:13" s="2" customFormat="1" ht="27.5" hidden="1" customHeight="1" x14ac:dyDescent="0.2">
      <c r="B634" s="41"/>
      <c r="C634" s="269" t="str">
        <f>"W-2 Wages   "&amp;$E$458</f>
        <v xml:space="preserve">W-2 Wages   </v>
      </c>
      <c r="D634" s="269"/>
      <c r="E634" s="212">
        <f>$H$469</f>
        <v>0</v>
      </c>
      <c r="F634" s="55">
        <v>12</v>
      </c>
      <c r="G634" s="42"/>
      <c r="H634" s="212">
        <f>$K$469</f>
        <v>0</v>
      </c>
      <c r="I634" s="55">
        <v>12</v>
      </c>
      <c r="J634" s="267">
        <f t="shared" si="27"/>
        <v>0</v>
      </c>
      <c r="K634" s="267"/>
      <c r="L634" s="268">
        <f t="shared" si="28"/>
        <v>24</v>
      </c>
      <c r="M634" s="268"/>
    </row>
    <row r="635" spans="2:13" s="2" customFormat="1" ht="27.5" hidden="1" customHeight="1" x14ac:dyDescent="0.2">
      <c r="B635" s="41"/>
      <c r="C635" s="269" t="str">
        <f>"Form 1120S   "&amp;$E$458</f>
        <v xml:space="preserve">Form 1120S   </v>
      </c>
      <c r="D635" s="269"/>
      <c r="E635" s="212">
        <f>$H$485</f>
        <v>0</v>
      </c>
      <c r="F635" s="55">
        <v>12</v>
      </c>
      <c r="G635" s="42"/>
      <c r="H635" s="212">
        <f>$K$485</f>
        <v>0</v>
      </c>
      <c r="I635" s="55">
        <v>12</v>
      </c>
      <c r="J635" s="267">
        <f t="shared" si="27"/>
        <v>0</v>
      </c>
      <c r="K635" s="267"/>
      <c r="L635" s="268">
        <f t="shared" si="28"/>
        <v>24</v>
      </c>
      <c r="M635" s="268"/>
    </row>
    <row r="636" spans="2:13" s="2" customFormat="1" ht="27.5" hidden="1" customHeight="1" x14ac:dyDescent="0.2">
      <c r="B636" s="41"/>
      <c r="C636" s="271" t="str">
        <f>"S Corporation  "&amp;$E$458&amp;"  Subtotal"</f>
        <v>S Corporation    Subtotal</v>
      </c>
      <c r="D636" s="272"/>
      <c r="E636" s="213">
        <f>IF(F633&gt;0,E633,0)+IF(F634&gt;0,E634,0)+IF(F635&gt;0,E635,0)</f>
        <v>0</v>
      </c>
      <c r="F636" s="68"/>
      <c r="G636" s="69"/>
      <c r="H636" s="213">
        <f>IF(I633&gt;0,H633,0)+IF(I634&gt;0,H634,0)+IF(I635&gt;0,H635,0)</f>
        <v>0</v>
      </c>
      <c r="I636" s="68"/>
      <c r="J636" s="266">
        <f>ROUND(J633,2)+ROUND(J634,2)+ROUND(J635,2)</f>
        <v>0</v>
      </c>
      <c r="K636" s="266"/>
      <c r="L636" s="273"/>
      <c r="M636" s="274"/>
    </row>
    <row r="637" spans="2:13" ht="30" customHeight="1" x14ac:dyDescent="0.2">
      <c r="B637" s="270" t="s">
        <v>40</v>
      </c>
      <c r="C637" s="270"/>
      <c r="D637" s="270"/>
      <c r="E637" s="270"/>
      <c r="F637" s="270"/>
      <c r="G637" s="5"/>
      <c r="H637" s="5"/>
      <c r="I637" s="5"/>
      <c r="J637" s="5"/>
      <c r="K637" s="5"/>
      <c r="L637" s="5"/>
      <c r="M637" s="5"/>
    </row>
    <row r="638" spans="2:13" s="2" customFormat="1" ht="27.5" hidden="1" customHeight="1" x14ac:dyDescent="0.2">
      <c r="B638" s="41"/>
      <c r="C638" s="269" t="str">
        <f>"W-2 Wages   "&amp;$E$490</f>
        <v xml:space="preserve">W-2 Wages   </v>
      </c>
      <c r="D638" s="269"/>
      <c r="E638" s="212">
        <f>$H$494</f>
        <v>0</v>
      </c>
      <c r="F638" s="55">
        <v>12</v>
      </c>
      <c r="G638" s="42"/>
      <c r="H638" s="212">
        <f>$K$494</f>
        <v>0</v>
      </c>
      <c r="I638" s="55">
        <v>12</v>
      </c>
      <c r="J638" s="267">
        <f t="shared" ref="J638:J639" si="29">IFERROR((IF(F638=0,0,E638)+IF(I638=0,0,H638))/L638,0)</f>
        <v>0</v>
      </c>
      <c r="K638" s="267"/>
      <c r="L638" s="268">
        <f t="shared" ref="L638:L639" si="30">IF(ISNUMBER(F638),F638,0)+IF(ISNUMBER(I638),I638,0)</f>
        <v>24</v>
      </c>
      <c r="M638" s="268"/>
    </row>
    <row r="639" spans="2:13" s="2" customFormat="1" ht="27.5" hidden="1" customHeight="1" x14ac:dyDescent="0.2">
      <c r="B639" s="41"/>
      <c r="C639" s="269" t="str">
        <f>"Form 1120   "&amp;$E$490</f>
        <v xml:space="preserve">Form 1120   </v>
      </c>
      <c r="D639" s="269"/>
      <c r="E639" s="212">
        <f>$H$514</f>
        <v>0</v>
      </c>
      <c r="F639" s="55">
        <v>12</v>
      </c>
      <c r="G639" s="42"/>
      <c r="H639" s="212">
        <f>$K$514</f>
        <v>0</v>
      </c>
      <c r="I639" s="55">
        <v>12</v>
      </c>
      <c r="J639" s="267">
        <f t="shared" si="29"/>
        <v>0</v>
      </c>
      <c r="K639" s="267"/>
      <c r="L639" s="268">
        <f t="shared" si="30"/>
        <v>24</v>
      </c>
      <c r="M639" s="268"/>
    </row>
    <row r="640" spans="2:13" s="2" customFormat="1" ht="27.5" hidden="1" customHeight="1" x14ac:dyDescent="0.2">
      <c r="B640" s="41"/>
      <c r="C640" s="271" t="str">
        <f>"Corporation  "&amp;$E$490&amp;"  Subtotal"</f>
        <v>Corporation    Subtotal</v>
      </c>
      <c r="D640" s="272"/>
      <c r="E640" s="213">
        <f>IF(F638&gt;0,E638,0)+IF(F639&gt;0,E639,0)</f>
        <v>0</v>
      </c>
      <c r="F640" s="68"/>
      <c r="G640" s="69"/>
      <c r="H640" s="213">
        <f>IF(I638&gt;0,H638,0)+IF(I639&gt;0,H639,0)</f>
        <v>0</v>
      </c>
      <c r="I640" s="68"/>
      <c r="J640" s="266">
        <f>J638+J639</f>
        <v>0</v>
      </c>
      <c r="K640" s="266"/>
      <c r="L640" s="273"/>
      <c r="M640" s="274"/>
    </row>
    <row r="641" spans="2:14" s="2" customFormat="1" ht="27.5" hidden="1" customHeight="1" x14ac:dyDescent="0.2">
      <c r="B641" s="41"/>
      <c r="C641" s="269" t="str">
        <f>"W-2 Wages   "&amp;$E$517</f>
        <v xml:space="preserve">W-2 Wages   </v>
      </c>
      <c r="D641" s="269"/>
      <c r="E641" s="212">
        <f>$H$521</f>
        <v>0</v>
      </c>
      <c r="F641" s="55">
        <v>12</v>
      </c>
      <c r="G641" s="42"/>
      <c r="H641" s="212">
        <f>$K$521</f>
        <v>0</v>
      </c>
      <c r="I641" s="55">
        <v>12</v>
      </c>
      <c r="J641" s="267">
        <f t="shared" ref="J641:J642" si="31">IFERROR((IF(F641=0,0,E641)+IF(I641=0,0,H641))/L641,0)</f>
        <v>0</v>
      </c>
      <c r="K641" s="267"/>
      <c r="L641" s="268">
        <f t="shared" ref="L641:L642" si="32">IF(ISNUMBER(F641),F641,0)+IF(ISNUMBER(I641),I641,0)</f>
        <v>24</v>
      </c>
      <c r="M641" s="268"/>
    </row>
    <row r="642" spans="2:14" s="2" customFormat="1" ht="27.5" hidden="1" customHeight="1" x14ac:dyDescent="0.2">
      <c r="B642" s="41"/>
      <c r="C642" s="269" t="str">
        <f>"Form 1120   "&amp;$E$517</f>
        <v xml:space="preserve">Form 1120   </v>
      </c>
      <c r="D642" s="269"/>
      <c r="E642" s="212">
        <f>$H$541</f>
        <v>0</v>
      </c>
      <c r="F642" s="55">
        <v>12</v>
      </c>
      <c r="G642" s="42"/>
      <c r="H642" s="212">
        <f>$K$541</f>
        <v>0</v>
      </c>
      <c r="I642" s="55">
        <v>12</v>
      </c>
      <c r="J642" s="267">
        <f t="shared" si="31"/>
        <v>0</v>
      </c>
      <c r="K642" s="267"/>
      <c r="L642" s="268">
        <f t="shared" si="32"/>
        <v>24</v>
      </c>
      <c r="M642" s="268"/>
    </row>
    <row r="643" spans="2:14" s="2" customFormat="1" ht="27.5" hidden="1" customHeight="1" x14ac:dyDescent="0.2">
      <c r="B643" s="41"/>
      <c r="C643" s="271" t="str">
        <f>"Corporation  "&amp;$E$517&amp;"  Subtotal"</f>
        <v>Corporation    Subtotal</v>
      </c>
      <c r="D643" s="272"/>
      <c r="E643" s="213">
        <f>IF(F641&gt;0,E641,0)+IF(F642&gt;0,E642,0)</f>
        <v>0</v>
      </c>
      <c r="F643" s="68"/>
      <c r="G643" s="69"/>
      <c r="H643" s="213">
        <f>IF(I641&gt;0,H641,0)+IF(I642&gt;0,H642,0)</f>
        <v>0</v>
      </c>
      <c r="I643" s="68"/>
      <c r="J643" s="266">
        <f>J641+J642</f>
        <v>0</v>
      </c>
      <c r="K643" s="266"/>
      <c r="L643" s="273"/>
      <c r="M643" s="274"/>
    </row>
    <row r="644" spans="2:14" s="2" customFormat="1" ht="27.5" hidden="1" customHeight="1" x14ac:dyDescent="0.2">
      <c r="B644" s="41"/>
      <c r="C644" s="269" t="str">
        <f>"W-2 Wages   "&amp;$E$544</f>
        <v xml:space="preserve">W-2 Wages   </v>
      </c>
      <c r="D644" s="269"/>
      <c r="E644" s="212">
        <f>$H$548</f>
        <v>0</v>
      </c>
      <c r="F644" s="55">
        <v>12</v>
      </c>
      <c r="G644" s="42"/>
      <c r="H644" s="212">
        <f>$K$548</f>
        <v>0</v>
      </c>
      <c r="I644" s="55">
        <v>12</v>
      </c>
      <c r="J644" s="267">
        <f t="shared" ref="J644:J645" si="33">IFERROR((IF(F644=0,0,E644)+IF(I644=0,0,H644))/L644,0)</f>
        <v>0</v>
      </c>
      <c r="K644" s="267"/>
      <c r="L644" s="268">
        <f t="shared" ref="L644:L645" si="34">IF(ISNUMBER(F644),F644,0)+IF(ISNUMBER(I644),I644,0)</f>
        <v>24</v>
      </c>
      <c r="M644" s="268"/>
    </row>
    <row r="645" spans="2:14" s="2" customFormat="1" ht="27.5" hidden="1" customHeight="1" x14ac:dyDescent="0.2">
      <c r="B645" s="41"/>
      <c r="C645" s="269" t="str">
        <f>"Form 1120   "&amp;$E$544</f>
        <v xml:space="preserve">Form 1120   </v>
      </c>
      <c r="D645" s="269"/>
      <c r="E645" s="212">
        <f>$H$568</f>
        <v>0</v>
      </c>
      <c r="F645" s="55">
        <v>12</v>
      </c>
      <c r="G645" s="42"/>
      <c r="H645" s="212">
        <f>$K$568</f>
        <v>0</v>
      </c>
      <c r="I645" s="55">
        <v>12</v>
      </c>
      <c r="J645" s="267">
        <f t="shared" si="33"/>
        <v>0</v>
      </c>
      <c r="K645" s="267"/>
      <c r="L645" s="268">
        <f t="shared" si="34"/>
        <v>24</v>
      </c>
      <c r="M645" s="268"/>
    </row>
    <row r="646" spans="2:14" s="2" customFormat="1" ht="27.5" hidden="1" customHeight="1" x14ac:dyDescent="0.2">
      <c r="B646" s="41"/>
      <c r="C646" s="271" t="str">
        <f>"Corporation  "&amp;$E$544&amp;"  Subtotal"</f>
        <v>Corporation    Subtotal</v>
      </c>
      <c r="D646" s="272"/>
      <c r="E646" s="213">
        <f>IF(F644&gt;0,E644,0)+IF(F645&gt;0,E645,0)</f>
        <v>0</v>
      </c>
      <c r="F646" s="68"/>
      <c r="G646" s="69"/>
      <c r="H646" s="213">
        <f>IF(I644&gt;0,H644,0)+IF(I645&gt;0,H645,0)</f>
        <v>0</v>
      </c>
      <c r="I646" s="68"/>
      <c r="J646" s="266">
        <f>J644+J645</f>
        <v>0</v>
      </c>
      <c r="K646" s="266"/>
      <c r="L646" s="273"/>
      <c r="M646" s="274"/>
    </row>
    <row r="647" spans="2:14" ht="27" customHeight="1" x14ac:dyDescent="0.2">
      <c r="B647" s="41"/>
      <c r="C647" s="284" t="s">
        <v>42</v>
      </c>
      <c r="D647" s="285"/>
      <c r="E647" s="43"/>
      <c r="F647" s="44"/>
      <c r="G647" s="44"/>
      <c r="H647" s="44"/>
      <c r="I647" s="44"/>
      <c r="J647" s="286">
        <f>SUMIF(I580:I646,"&gt;=0",J580:J646)</f>
        <v>15850.916666666666</v>
      </c>
      <c r="K647" s="286"/>
      <c r="L647" s="44"/>
      <c r="M647" s="45"/>
    </row>
    <row r="648" spans="2:14" ht="9.5" customHeight="1" x14ac:dyDescent="0.2"/>
    <row r="649" spans="2:14" ht="9.5" customHeight="1" x14ac:dyDescent="0.2"/>
    <row r="650" spans="2:14" s="2" customFormat="1" ht="24" customHeight="1" x14ac:dyDescent="0.2">
      <c r="B650" s="46"/>
      <c r="C650" s="47" t="s">
        <v>148</v>
      </c>
      <c r="D650" s="48"/>
      <c r="E650" s="48"/>
      <c r="F650" s="48"/>
      <c r="G650" s="48"/>
      <c r="H650" s="48"/>
      <c r="I650" s="48"/>
      <c r="J650" s="48"/>
      <c r="K650" s="48"/>
      <c r="L650" s="82"/>
      <c r="M650" s="49"/>
    </row>
    <row r="651" spans="2:14" s="4" customFormat="1" ht="22.25" customHeight="1" x14ac:dyDescent="0.2">
      <c r="B651" s="50"/>
      <c r="C651" s="275"/>
      <c r="D651" s="276"/>
      <c r="E651" s="276"/>
      <c r="F651" s="276"/>
      <c r="G651" s="276"/>
      <c r="H651" s="276"/>
      <c r="I651" s="276"/>
      <c r="J651" s="276"/>
      <c r="K651" s="276"/>
      <c r="L651" s="277"/>
      <c r="M651" s="66" t="s">
        <v>65</v>
      </c>
      <c r="N651" s="67" t="s">
        <v>65</v>
      </c>
    </row>
    <row r="652" spans="2:14" s="4" customFormat="1" ht="22.25" customHeight="1" x14ac:dyDescent="0.2">
      <c r="B652" s="50"/>
      <c r="C652" s="278"/>
      <c r="D652" s="279"/>
      <c r="E652" s="279"/>
      <c r="F652" s="279"/>
      <c r="G652" s="279"/>
      <c r="H652" s="279"/>
      <c r="I652" s="279"/>
      <c r="J652" s="279"/>
      <c r="K652" s="279"/>
      <c r="L652" s="280"/>
      <c r="M652" s="66" t="s">
        <v>65</v>
      </c>
      <c r="N652" s="67" t="s">
        <v>65</v>
      </c>
    </row>
    <row r="653" spans="2:14" s="4" customFormat="1" ht="22.25" customHeight="1" x14ac:dyDescent="0.2">
      <c r="B653" s="50"/>
      <c r="C653" s="278"/>
      <c r="D653" s="279"/>
      <c r="E653" s="279"/>
      <c r="F653" s="279"/>
      <c r="G653" s="279"/>
      <c r="H653" s="279"/>
      <c r="I653" s="279"/>
      <c r="J653" s="279"/>
      <c r="K653" s="279"/>
      <c r="L653" s="280"/>
      <c r="M653" s="66" t="s">
        <v>65</v>
      </c>
      <c r="N653" s="67" t="s">
        <v>65</v>
      </c>
    </row>
    <row r="654" spans="2:14" s="4" customFormat="1" ht="22.25" customHeight="1" x14ac:dyDescent="0.2">
      <c r="B654" s="50"/>
      <c r="C654" s="278"/>
      <c r="D654" s="279"/>
      <c r="E654" s="279"/>
      <c r="F654" s="279"/>
      <c r="G654" s="279"/>
      <c r="H654" s="279"/>
      <c r="I654" s="279"/>
      <c r="J654" s="279"/>
      <c r="K654" s="279"/>
      <c r="L654" s="280"/>
      <c r="M654" s="66" t="s">
        <v>65</v>
      </c>
      <c r="N654" s="67" t="s">
        <v>65</v>
      </c>
    </row>
    <row r="655" spans="2:14" s="4" customFormat="1" ht="22.25" customHeight="1" x14ac:dyDescent="0.2">
      <c r="B655" s="50"/>
      <c r="C655" s="278"/>
      <c r="D655" s="279"/>
      <c r="E655" s="279"/>
      <c r="F655" s="279"/>
      <c r="G655" s="279"/>
      <c r="H655" s="279"/>
      <c r="I655" s="279"/>
      <c r="J655" s="279"/>
      <c r="K655" s="279"/>
      <c r="L655" s="280"/>
      <c r="M655" s="66" t="s">
        <v>65</v>
      </c>
      <c r="N655" s="67" t="s">
        <v>65</v>
      </c>
    </row>
    <row r="656" spans="2:14" s="4" customFormat="1" ht="22.25" customHeight="1" x14ac:dyDescent="0.2">
      <c r="B656" s="50"/>
      <c r="C656" s="278"/>
      <c r="D656" s="279"/>
      <c r="E656" s="279"/>
      <c r="F656" s="279"/>
      <c r="G656" s="279"/>
      <c r="H656" s="279"/>
      <c r="I656" s="279"/>
      <c r="J656" s="279"/>
      <c r="K656" s="279"/>
      <c r="L656" s="280"/>
      <c r="M656" s="66" t="s">
        <v>65</v>
      </c>
      <c r="N656" s="67" t="s">
        <v>65</v>
      </c>
    </row>
    <row r="657" spans="2:14" s="4" customFormat="1" ht="22.25" customHeight="1" x14ac:dyDescent="0.2">
      <c r="B657" s="50"/>
      <c r="C657" s="278"/>
      <c r="D657" s="279"/>
      <c r="E657" s="279"/>
      <c r="F657" s="279"/>
      <c r="G657" s="279"/>
      <c r="H657" s="279"/>
      <c r="I657" s="279"/>
      <c r="J657" s="279"/>
      <c r="K657" s="279"/>
      <c r="L657" s="280"/>
      <c r="M657" s="66" t="s">
        <v>65</v>
      </c>
      <c r="N657" s="67" t="s">
        <v>65</v>
      </c>
    </row>
    <row r="658" spans="2:14" s="4" customFormat="1" ht="24" customHeight="1" x14ac:dyDescent="0.2">
      <c r="B658" s="50"/>
      <c r="C658" s="281"/>
      <c r="D658" s="282"/>
      <c r="E658" s="282"/>
      <c r="F658" s="282"/>
      <c r="G658" s="282"/>
      <c r="H658" s="282"/>
      <c r="I658" s="282"/>
      <c r="J658" s="282"/>
      <c r="K658" s="282"/>
      <c r="L658" s="283"/>
      <c r="M658" s="66" t="s">
        <v>65</v>
      </c>
      <c r="N658" s="67" t="s">
        <v>65</v>
      </c>
    </row>
    <row r="659" spans="2:14" ht="21.5" customHeight="1" x14ac:dyDescent="0.2">
      <c r="B659" s="51"/>
      <c r="C659" s="52"/>
      <c r="D659" s="52"/>
      <c r="E659" s="52"/>
      <c r="F659" s="52"/>
      <c r="G659" s="52"/>
      <c r="H659" s="52"/>
      <c r="I659" s="52"/>
      <c r="J659" s="52"/>
      <c r="K659" s="52"/>
      <c r="L659" s="52"/>
      <c r="M659" s="53"/>
    </row>
  </sheetData>
  <sheetProtection algorithmName="SHA-512" hashValue="5OvGhcPZJn8O8eMAD9EcjEl6kXItXCDdbhRyFrmzOYDqMJZqx3zNjT70H8bwCAOWxlT7fXiGcoc5IwH3gpW7nQ==" saltValue="0Yjez6PfSXcGRgXe/kD+Gw==" spinCount="100000" sheet="1" objects="1" scenarios="1"/>
  <mergeCells count="487">
    <mergeCell ref="C557:F557"/>
    <mergeCell ref="C558:F558"/>
    <mergeCell ref="C494:F494"/>
    <mergeCell ref="C498:F498"/>
    <mergeCell ref="C500:F500"/>
    <mergeCell ref="E490:G490"/>
    <mergeCell ref="C490:D490"/>
    <mergeCell ref="C512:F512"/>
    <mergeCell ref="C517:D517"/>
    <mergeCell ref="E517:G517"/>
    <mergeCell ref="C499:F499"/>
    <mergeCell ref="C501:F501"/>
    <mergeCell ref="C502:F502"/>
    <mergeCell ref="C503:F503"/>
    <mergeCell ref="C504:F504"/>
    <mergeCell ref="C505:F505"/>
    <mergeCell ref="C511:F511"/>
    <mergeCell ref="C559:F559"/>
    <mergeCell ref="C565:F565"/>
    <mergeCell ref="C521:F521"/>
    <mergeCell ref="C525:F525"/>
    <mergeCell ref="C527:F527"/>
    <mergeCell ref="C528:F528"/>
    <mergeCell ref="C529:F529"/>
    <mergeCell ref="C530:F530"/>
    <mergeCell ref="C531:F531"/>
    <mergeCell ref="C532:F532"/>
    <mergeCell ref="C538:F538"/>
    <mergeCell ref="C533:F533"/>
    <mergeCell ref="C534:F534"/>
    <mergeCell ref="C539:F539"/>
    <mergeCell ref="C544:D544"/>
    <mergeCell ref="E544:G544"/>
    <mergeCell ref="C553:F553"/>
    <mergeCell ref="C548:F548"/>
    <mergeCell ref="C552:F552"/>
    <mergeCell ref="C560:F560"/>
    <mergeCell ref="C561:F561"/>
    <mergeCell ref="C554:F554"/>
    <mergeCell ref="C555:F555"/>
    <mergeCell ref="C556:F556"/>
    <mergeCell ref="C462:F462"/>
    <mergeCell ref="C463:F463"/>
    <mergeCell ref="C469:F469"/>
    <mergeCell ref="C473:F473"/>
    <mergeCell ref="C474:F474"/>
    <mergeCell ref="C475:F475"/>
    <mergeCell ref="C476:F476"/>
    <mergeCell ref="C477:F477"/>
    <mergeCell ref="C483:F483"/>
    <mergeCell ref="C312:F312"/>
    <mergeCell ref="C313:F313"/>
    <mergeCell ref="C319:F319"/>
    <mergeCell ref="C323:F323"/>
    <mergeCell ref="C324:F324"/>
    <mergeCell ref="C325:F325"/>
    <mergeCell ref="C326:F326"/>
    <mergeCell ref="C327:F327"/>
    <mergeCell ref="C194:F194"/>
    <mergeCell ref="C195:F195"/>
    <mergeCell ref="C196:F196"/>
    <mergeCell ref="C197:F197"/>
    <mergeCell ref="C198:F198"/>
    <mergeCell ref="C199:F199"/>
    <mergeCell ref="C214:F214"/>
    <mergeCell ref="C215:F215"/>
    <mergeCell ref="C216:F216"/>
    <mergeCell ref="C296:F296"/>
    <mergeCell ref="C297:F297"/>
    <mergeCell ref="C301:G301"/>
    <mergeCell ref="C278:F278"/>
    <mergeCell ref="C279:F279"/>
    <mergeCell ref="C280:F280"/>
    <mergeCell ref="C286:E286"/>
    <mergeCell ref="C135:F135"/>
    <mergeCell ref="C150:F150"/>
    <mergeCell ref="C151:F151"/>
    <mergeCell ref="C152:F152"/>
    <mergeCell ref="C158:E158"/>
    <mergeCell ref="C162:F162"/>
    <mergeCell ref="C136:F136"/>
    <mergeCell ref="C137:F137"/>
    <mergeCell ref="C141:G141"/>
    <mergeCell ref="C120:F120"/>
    <mergeCell ref="C126:E126"/>
    <mergeCell ref="C130:F130"/>
    <mergeCell ref="C131:F131"/>
    <mergeCell ref="C114:D114"/>
    <mergeCell ref="E114:G114"/>
    <mergeCell ref="C132:F132"/>
    <mergeCell ref="C133:F133"/>
    <mergeCell ref="C134:F134"/>
    <mergeCell ref="C101:F101"/>
    <mergeCell ref="C105:F105"/>
    <mergeCell ref="C106:F106"/>
    <mergeCell ref="C107:F107"/>
    <mergeCell ref="C83:G83"/>
    <mergeCell ref="C90:E90"/>
    <mergeCell ref="C104:F104"/>
    <mergeCell ref="C118:F118"/>
    <mergeCell ref="C119:F119"/>
    <mergeCell ref="C40:F40"/>
    <mergeCell ref="C42:F42"/>
    <mergeCell ref="C43:F43"/>
    <mergeCell ref="C44:F44"/>
    <mergeCell ref="C54:F54"/>
    <mergeCell ref="D48:G48"/>
    <mergeCell ref="C41:F41"/>
    <mergeCell ref="C53:F53"/>
    <mergeCell ref="C55:F55"/>
    <mergeCell ref="C50:F50"/>
    <mergeCell ref="C51:F51"/>
    <mergeCell ref="C52:F52"/>
    <mergeCell ref="C594:D594"/>
    <mergeCell ref="J594:K594"/>
    <mergeCell ref="L594:M594"/>
    <mergeCell ref="C478:F478"/>
    <mergeCell ref="C479:F479"/>
    <mergeCell ref="C526:F526"/>
    <mergeCell ref="C506:F506"/>
    <mergeCell ref="C507:F507"/>
    <mergeCell ref="C635:D635"/>
    <mergeCell ref="J635:K635"/>
    <mergeCell ref="L635:M635"/>
    <mergeCell ref="C630:D630"/>
    <mergeCell ref="J630:K630"/>
    <mergeCell ref="L630:M630"/>
    <mergeCell ref="C631:D631"/>
    <mergeCell ref="J631:K631"/>
    <mergeCell ref="L631:M631"/>
    <mergeCell ref="C614:D614"/>
    <mergeCell ref="J614:K614"/>
    <mergeCell ref="L614:M614"/>
    <mergeCell ref="C625:D625"/>
    <mergeCell ref="J625:K625"/>
    <mergeCell ref="L625:M625"/>
    <mergeCell ref="C626:D626"/>
    <mergeCell ref="C636:D636"/>
    <mergeCell ref="J636:K636"/>
    <mergeCell ref="L636:M636"/>
    <mergeCell ref="C632:D632"/>
    <mergeCell ref="J632:K632"/>
    <mergeCell ref="L632:M632"/>
    <mergeCell ref="C633:D633"/>
    <mergeCell ref="J633:K633"/>
    <mergeCell ref="L633:M633"/>
    <mergeCell ref="C634:D634"/>
    <mergeCell ref="J634:K634"/>
    <mergeCell ref="L634:M634"/>
    <mergeCell ref="J626:K626"/>
    <mergeCell ref="L626:M626"/>
    <mergeCell ref="C629:D629"/>
    <mergeCell ref="J629:K629"/>
    <mergeCell ref="L629:M629"/>
    <mergeCell ref="C627:D627"/>
    <mergeCell ref="J627:K627"/>
    <mergeCell ref="L627:M627"/>
    <mergeCell ref="C628:D628"/>
    <mergeCell ref="J628:K628"/>
    <mergeCell ref="L628:M628"/>
    <mergeCell ref="C621:D621"/>
    <mergeCell ref="J621:K621"/>
    <mergeCell ref="L621:M621"/>
    <mergeCell ref="C622:D622"/>
    <mergeCell ref="J622:K622"/>
    <mergeCell ref="L622:M622"/>
    <mergeCell ref="C623:D623"/>
    <mergeCell ref="J623:K623"/>
    <mergeCell ref="L623:M623"/>
    <mergeCell ref="C611:D611"/>
    <mergeCell ref="J611:K611"/>
    <mergeCell ref="L611:M611"/>
    <mergeCell ref="C612:D612"/>
    <mergeCell ref="J612:K612"/>
    <mergeCell ref="L616:M616"/>
    <mergeCell ref="L612:M612"/>
    <mergeCell ref="C616:D616"/>
    <mergeCell ref="C620:D620"/>
    <mergeCell ref="J620:K620"/>
    <mergeCell ref="L620:M620"/>
    <mergeCell ref="C610:D610"/>
    <mergeCell ref="J610:K610"/>
    <mergeCell ref="L610:M610"/>
    <mergeCell ref="C605:D605"/>
    <mergeCell ref="J605:K605"/>
    <mergeCell ref="L605:M605"/>
    <mergeCell ref="C607:D607"/>
    <mergeCell ref="J607:K607"/>
    <mergeCell ref="L607:M607"/>
    <mergeCell ref="C609:D609"/>
    <mergeCell ref="J609:K609"/>
    <mergeCell ref="L609:M609"/>
    <mergeCell ref="C428:D428"/>
    <mergeCell ref="E428:G428"/>
    <mergeCell ref="C448:F448"/>
    <mergeCell ref="C449:F449"/>
    <mergeCell ref="C458:D458"/>
    <mergeCell ref="E458:G458"/>
    <mergeCell ref="C432:F432"/>
    <mergeCell ref="C433:F433"/>
    <mergeCell ref="C439:F439"/>
    <mergeCell ref="C443:F443"/>
    <mergeCell ref="C444:F444"/>
    <mergeCell ref="C445:F445"/>
    <mergeCell ref="C446:F446"/>
    <mergeCell ref="C447:F447"/>
    <mergeCell ref="C453:F453"/>
    <mergeCell ref="C418:F418"/>
    <mergeCell ref="C419:F419"/>
    <mergeCell ref="C409:F409"/>
    <mergeCell ref="C413:F413"/>
    <mergeCell ref="C414:F414"/>
    <mergeCell ref="C415:F415"/>
    <mergeCell ref="C416:F416"/>
    <mergeCell ref="C417:F417"/>
    <mergeCell ref="C423:F423"/>
    <mergeCell ref="C388:F388"/>
    <mergeCell ref="C389:F389"/>
    <mergeCell ref="C398:D398"/>
    <mergeCell ref="E398:G398"/>
    <mergeCell ref="C386:F386"/>
    <mergeCell ref="C387:F387"/>
    <mergeCell ref="C393:F393"/>
    <mergeCell ref="C402:F402"/>
    <mergeCell ref="C403:F403"/>
    <mergeCell ref="C353:F353"/>
    <mergeCell ref="C354:F354"/>
    <mergeCell ref="C355:F355"/>
    <mergeCell ref="C356:F356"/>
    <mergeCell ref="C357:F357"/>
    <mergeCell ref="C363:F363"/>
    <mergeCell ref="C372:F372"/>
    <mergeCell ref="C373:F373"/>
    <mergeCell ref="C368:D368"/>
    <mergeCell ref="E368:G368"/>
    <mergeCell ref="C290:F290"/>
    <mergeCell ref="C291:F291"/>
    <mergeCell ref="C292:F292"/>
    <mergeCell ref="C293:F293"/>
    <mergeCell ref="C294:F294"/>
    <mergeCell ref="C295:F295"/>
    <mergeCell ref="C264:F264"/>
    <mergeCell ref="C265:F265"/>
    <mergeCell ref="C269:G269"/>
    <mergeCell ref="C274:D274"/>
    <mergeCell ref="E274:G274"/>
    <mergeCell ref="C261:F261"/>
    <mergeCell ref="C262:F262"/>
    <mergeCell ref="C263:F263"/>
    <mergeCell ref="C232:F232"/>
    <mergeCell ref="C233:F233"/>
    <mergeCell ref="C237:G237"/>
    <mergeCell ref="C242:D242"/>
    <mergeCell ref="E242:G242"/>
    <mergeCell ref="C246:F246"/>
    <mergeCell ref="C247:F247"/>
    <mergeCell ref="C248:F248"/>
    <mergeCell ref="C254:E254"/>
    <mergeCell ref="C258:F258"/>
    <mergeCell ref="C259:F259"/>
    <mergeCell ref="C260:F260"/>
    <mergeCell ref="C3:D3"/>
    <mergeCell ref="E3:H3"/>
    <mergeCell ref="C8:G8"/>
    <mergeCell ref="C16:G16"/>
    <mergeCell ref="D18:G18"/>
    <mergeCell ref="D33:G33"/>
    <mergeCell ref="C26:F26"/>
    <mergeCell ref="C24:F24"/>
    <mergeCell ref="C39:F39"/>
    <mergeCell ref="B6:M6"/>
    <mergeCell ref="C10:F10"/>
    <mergeCell ref="C11:F11"/>
    <mergeCell ref="C20:F20"/>
    <mergeCell ref="C21:F21"/>
    <mergeCell ref="C22:F22"/>
    <mergeCell ref="C23:F23"/>
    <mergeCell ref="C25:F25"/>
    <mergeCell ref="C27:F27"/>
    <mergeCell ref="C28:F28"/>
    <mergeCell ref="C29:F29"/>
    <mergeCell ref="C35:F35"/>
    <mergeCell ref="C36:F36"/>
    <mergeCell ref="C37:F37"/>
    <mergeCell ref="C38:F38"/>
    <mergeCell ref="C56:F56"/>
    <mergeCell ref="C102:F102"/>
    <mergeCell ref="C103:F103"/>
    <mergeCell ref="C93:F93"/>
    <mergeCell ref="C99:G99"/>
    <mergeCell ref="C76:G76"/>
    <mergeCell ref="C77:G77"/>
    <mergeCell ref="C78:G78"/>
    <mergeCell ref="C75:F75"/>
    <mergeCell ref="C64:G64"/>
    <mergeCell ref="D66:G66"/>
    <mergeCell ref="C68:G68"/>
    <mergeCell ref="C69:G69"/>
    <mergeCell ref="C71:G71"/>
    <mergeCell ref="C72:G72"/>
    <mergeCell ref="C74:G74"/>
    <mergeCell ref="C73:F73"/>
    <mergeCell ref="C70:F70"/>
    <mergeCell ref="C57:F57"/>
    <mergeCell ref="C58:F58"/>
    <mergeCell ref="C59:F59"/>
    <mergeCell ref="C85:F85"/>
    <mergeCell ref="C92:F92"/>
    <mergeCell ref="C94:F94"/>
    <mergeCell ref="C227:F227"/>
    <mergeCell ref="C228:F228"/>
    <mergeCell ref="C229:F229"/>
    <mergeCell ref="C230:F230"/>
    <mergeCell ref="C231:F231"/>
    <mergeCell ref="C200:F200"/>
    <mergeCell ref="C201:F201"/>
    <mergeCell ref="C205:G205"/>
    <mergeCell ref="C210:D210"/>
    <mergeCell ref="E210:G210"/>
    <mergeCell ref="C168:F168"/>
    <mergeCell ref="C169:F169"/>
    <mergeCell ref="C146:D146"/>
    <mergeCell ref="E146:G146"/>
    <mergeCell ref="C173:G173"/>
    <mergeCell ref="C178:D178"/>
    <mergeCell ref="E178:G178"/>
    <mergeCell ref="C222:E222"/>
    <mergeCell ref="C226:F226"/>
    <mergeCell ref="C163:F163"/>
    <mergeCell ref="C164:F164"/>
    <mergeCell ref="C165:F165"/>
    <mergeCell ref="C166:F166"/>
    <mergeCell ref="C167:F167"/>
    <mergeCell ref="C182:F182"/>
    <mergeCell ref="C183:F183"/>
    <mergeCell ref="C184:F184"/>
    <mergeCell ref="C190:E190"/>
    <mergeCell ref="C580:D580"/>
    <mergeCell ref="J580:K580"/>
    <mergeCell ref="L580:M580"/>
    <mergeCell ref="C576:L576"/>
    <mergeCell ref="L578:M579"/>
    <mergeCell ref="E578:F578"/>
    <mergeCell ref="H578:I578"/>
    <mergeCell ref="J578:K579"/>
    <mergeCell ref="C308:D308"/>
    <mergeCell ref="E308:G308"/>
    <mergeCell ref="C379:F379"/>
    <mergeCell ref="C383:F383"/>
    <mergeCell ref="C384:F384"/>
    <mergeCell ref="C385:F385"/>
    <mergeCell ref="C358:F358"/>
    <mergeCell ref="C359:F359"/>
    <mergeCell ref="C328:F328"/>
    <mergeCell ref="C338:D338"/>
    <mergeCell ref="E338:G338"/>
    <mergeCell ref="C329:F329"/>
    <mergeCell ref="C333:F333"/>
    <mergeCell ref="C342:F342"/>
    <mergeCell ref="C343:F343"/>
    <mergeCell ref="C349:F349"/>
    <mergeCell ref="C566:F566"/>
    <mergeCell ref="B578:D578"/>
    <mergeCell ref="B588:F588"/>
    <mergeCell ref="C586:D586"/>
    <mergeCell ref="J586:K586"/>
    <mergeCell ref="L586:M586"/>
    <mergeCell ref="C587:D587"/>
    <mergeCell ref="J587:K587"/>
    <mergeCell ref="L587:M587"/>
    <mergeCell ref="C583:D583"/>
    <mergeCell ref="J583:K583"/>
    <mergeCell ref="L583:M583"/>
    <mergeCell ref="C584:D584"/>
    <mergeCell ref="J584:K584"/>
    <mergeCell ref="L584:M584"/>
    <mergeCell ref="C585:D585"/>
    <mergeCell ref="J585:K585"/>
    <mergeCell ref="L585:M585"/>
    <mergeCell ref="C581:D581"/>
    <mergeCell ref="J581:K581"/>
    <mergeCell ref="L581:M581"/>
    <mergeCell ref="C582:D582"/>
    <mergeCell ref="J582:K582"/>
    <mergeCell ref="L582:M582"/>
    <mergeCell ref="C589:D589"/>
    <mergeCell ref="J589:K589"/>
    <mergeCell ref="L589:M589"/>
    <mergeCell ref="C591:D591"/>
    <mergeCell ref="J591:K591"/>
    <mergeCell ref="L591:M591"/>
    <mergeCell ref="C593:D593"/>
    <mergeCell ref="J593:K593"/>
    <mergeCell ref="L593:M593"/>
    <mergeCell ref="J592:K592"/>
    <mergeCell ref="L592:M592"/>
    <mergeCell ref="C592:D592"/>
    <mergeCell ref="C590:D590"/>
    <mergeCell ref="J590:K590"/>
    <mergeCell ref="L590:M590"/>
    <mergeCell ref="C595:D595"/>
    <mergeCell ref="J595:K595"/>
    <mergeCell ref="L595:M595"/>
    <mergeCell ref="C597:D597"/>
    <mergeCell ref="J597:K597"/>
    <mergeCell ref="L597:M597"/>
    <mergeCell ref="C599:D599"/>
    <mergeCell ref="J599:K599"/>
    <mergeCell ref="L599:M599"/>
    <mergeCell ref="C596:D596"/>
    <mergeCell ref="J596:K596"/>
    <mergeCell ref="L596:M596"/>
    <mergeCell ref="C598:D598"/>
    <mergeCell ref="J598:K598"/>
    <mergeCell ref="L598:M598"/>
    <mergeCell ref="C602:D602"/>
    <mergeCell ref="J602:K602"/>
    <mergeCell ref="L602:M602"/>
    <mergeCell ref="C606:D606"/>
    <mergeCell ref="J606:K606"/>
    <mergeCell ref="L606:M606"/>
    <mergeCell ref="J644:K644"/>
    <mergeCell ref="L644:M644"/>
    <mergeCell ref="C645:D645"/>
    <mergeCell ref="J645:K645"/>
    <mergeCell ref="L645:M645"/>
    <mergeCell ref="C638:D638"/>
    <mergeCell ref="J638:K638"/>
    <mergeCell ref="L638:M638"/>
    <mergeCell ref="C639:D639"/>
    <mergeCell ref="C642:D642"/>
    <mergeCell ref="J642:K642"/>
    <mergeCell ref="L642:M642"/>
    <mergeCell ref="C643:D643"/>
    <mergeCell ref="J643:K643"/>
    <mergeCell ref="L643:M643"/>
    <mergeCell ref="C644:D644"/>
    <mergeCell ref="L618:M618"/>
    <mergeCell ref="C619:D619"/>
    <mergeCell ref="C651:L658"/>
    <mergeCell ref="J639:K639"/>
    <mergeCell ref="L639:M639"/>
    <mergeCell ref="C640:D640"/>
    <mergeCell ref="J640:K640"/>
    <mergeCell ref="L640:M640"/>
    <mergeCell ref="C617:D617"/>
    <mergeCell ref="J617:K617"/>
    <mergeCell ref="L617:M617"/>
    <mergeCell ref="C618:D618"/>
    <mergeCell ref="J618:K618"/>
    <mergeCell ref="C647:D647"/>
    <mergeCell ref="J647:K647"/>
    <mergeCell ref="C641:D641"/>
    <mergeCell ref="J641:K641"/>
    <mergeCell ref="L641:M641"/>
    <mergeCell ref="C646:D646"/>
    <mergeCell ref="J646:K646"/>
    <mergeCell ref="L646:M646"/>
    <mergeCell ref="J619:K619"/>
    <mergeCell ref="L619:M619"/>
    <mergeCell ref="C624:D624"/>
    <mergeCell ref="J624:K624"/>
    <mergeCell ref="L624:M624"/>
    <mergeCell ref="C2:K2"/>
    <mergeCell ref="J616:K616"/>
    <mergeCell ref="J613:K613"/>
    <mergeCell ref="L613:M613"/>
    <mergeCell ref="C615:D615"/>
    <mergeCell ref="J615:K615"/>
    <mergeCell ref="L615:M615"/>
    <mergeCell ref="C613:D613"/>
    <mergeCell ref="B637:F637"/>
    <mergeCell ref="C600:D600"/>
    <mergeCell ref="J600:K600"/>
    <mergeCell ref="L600:M600"/>
    <mergeCell ref="C604:D604"/>
    <mergeCell ref="J604:K604"/>
    <mergeCell ref="L604:M604"/>
    <mergeCell ref="C608:D608"/>
    <mergeCell ref="J608:K608"/>
    <mergeCell ref="L608:M608"/>
    <mergeCell ref="C601:D601"/>
    <mergeCell ref="J601:K601"/>
    <mergeCell ref="L601:M601"/>
    <mergeCell ref="C603:D603"/>
    <mergeCell ref="J603:K603"/>
    <mergeCell ref="L603:M603"/>
  </mergeCells>
  <dataValidations count="9">
    <dataValidation type="custom" allowBlank="1" showErrorMessage="1" errorTitle="Oops!" error="You have either entered a negative number or a non-numeric value.  Please re-enter the value as a positive number.  As this is a &quot;loss&quot; field, Excel will calculate it accordingly." sqref="H512 K553 H506:H507 H560:H561 K478:K479 H499 H93 K93 H54 K54 H39 K39 H24 K24 H136:H137 K136:K137 H168:H169 K168:K169 H200:H201 K200:K201 H232:H233 K232:K233 H264:H265 K264:K265 H296:H297 K296:K297 H328:H329 K533:K534 K328:K329 H358:H359 K358:K359 H388:H389 K388:K389 H418:H419 K418:K419 H448:H449 K448:K449 H478:H479 K512 H539 K506:K507 H533:H534 H526 K499 K539 H566 K526 H553 K560:K561 K566 H73 K73 H104 K104 H21 K21 H36 K36 H51 K51 H70 K70 H131 K131 H163 K163 H195 K195 H227 K227 H259 K259 H291 K291 H473 K473 H443 K443 H413 K413 H383 K383 H353 K353 H323 K323 H555 K555 H528 K528 H501 K501" xr:uid="{00000000-0002-0000-0000-000002000000}">
      <formula1>IF(OR(NOT(ISNUMBER(H21)),H21&lt;0),FALSE,TRUE)</formula1>
    </dataValidation>
    <dataValidation type="custom" allowBlank="1" showErrorMessage="1" errorTitle="Oops!" error="You have attempted to enter a percentage less than 0% or greater than 100%.  Please re-enter." sqref="H483 K483 H141 K141 H173 K173 H205 K205 H237 K237 H269 K269 H301 K301 H333 K333 H363 K363 H393 K393 H423 K423 H453 K453" xr:uid="{00000000-0002-0000-0000-000003000000}">
      <formula1>IFERROR(IF(OR(H141&gt;1,H141&lt;0),FALSE,TRUE),FALSE)</formula1>
    </dataValidation>
    <dataValidation type="date" operator="greaterThan" allowBlank="1" showErrorMessage="1" errorTitle="Invalid Date..." error="You have attempted to enter an invalid date.  Please re-enter." sqref="K3" xr:uid="{00000000-0002-0000-0000-000004000000}">
      <formula1>1</formula1>
    </dataValidation>
    <dataValidation allowBlank="1" errorTitle="Too Many Characters" error="You have entered too many characters in this text field.  The maximum number of characters allowed is 186.  Please re-enter." sqref="C651" xr:uid="{00000000-0002-0000-0000-000005000000}"/>
    <dataValidation type="custom" allowBlank="1" showErrorMessage="1" errorTitle="Non-Numeric Entry" error="You have entered a non-numeric value in the current cell.  This is not allowed.  Please enter a number or leave the cell blank to continue." sqref="H10:H11 K10:K11 H101:H107 H25:H26 H29 H22:H23 K525 K29 K22:K23 K25:K26 H44 H37:H38 H40:H41 K44 K37:K38 K40:K41 H59 H52:H53 H55:H56 K59 K55:K56 H85 K85 H92 H94 K92 K94 H74:H75 H118:H120 K118:K120 H498 H552 K71:K72 H132:H135 H150:H152 K150:K152 K132:K135 H164:H167 H182:H184 K182:K184 K164:K167 H196:H199 H214:H216 K214:K216 K196:K199 H228:H231 H246:H248 K246:K248 K228:K231 H260:H263 H278:H280 K278:K280 K260:K263 H292:H295 H312:H313 K312:K313 K319 H319 K354:K357 K469 H342:H343 K342:K343 H349 H324:H327 K384:K387 H372:H373 K372:K373 H379 K349 H354:H357 K414:K417 H402:H403 K402:K403 H409 K379 H384:H387 K444:K447 H432:H433 K432:K433 H439 K409 H414:H417 K474:K477 H462:H463 K462:K463 H469 K439 H444:H447 K292:K295 H474:H477 H494 K498 H525 H521 K494 H529:H532 K324:K327 H548 K521 K286 H286 K254 H254 K222 H222 K190 H190 K158 H158 K126 H126 K548 K529:K532 K556:K559 H502:H505 K552 H556:H559 K74:K75 H78 H71:H72 K78 K52:K53 K101:K107 H20 K20 H35 K35 H50 K50 H68:H69 K68:K69 H130 K130 H162 K162 H194 K194 H226 K226 H258 K258 H290 K290 H554 K554 H527 K527 H500 K500 K502:K505" xr:uid="{00000000-0002-0000-0000-000006000000}">
      <formula1>IF(ISNUMBER(H10),TRUE,FALSE)</formula1>
    </dataValidation>
    <dataValidation showInputMessage="1" showErrorMessage="1" sqref="F592 I592 F596 I596 F600 I600 F604 I604 F608 I608 I612 F612 I616 F616 F620 I620 I624 F624 F628 I628 I632 F632 I636 F636 I640 F640 F643 I643 F646 I646" xr:uid="{00000000-0002-0000-0000-000007000000}"/>
    <dataValidation type="custom" allowBlank="1" showInputMessage="1" showErrorMessage="1" errorTitle="Oops!" error="You have attempted to enter a percentage less than 0% or greater than 100%.  Please re-enter." promptTitle="Reminder:" prompt="Include corporate earnings in cash flow only if the borrower is a 100% owner, as generally required by investors." sqref="H511 K511 H538 K538 H565 K565" xr:uid="{00000000-0002-0000-0000-000008000000}">
      <formula1>IFERROR(IF(OR(H511&gt;1,H511&lt;0),FALSE,TRUE),FALSE)</formula1>
    </dataValidation>
    <dataValidation type="list" showInputMessage="1" showErrorMessage="1" sqref="F641:F642 I601:I603 F625:F627 I605:I607 F580:F587 I641:I642 I580:I587 I644:I645 F589:F591 I589:I591 F593:F595 I593:I595 F597:F599 I597:I599 F601:F603 F605:F607 F609:F611 F613:F615 I613:I615 F617:F619 I617:I619 F621:F623 I621:I623 F644:F645 I625:I627 F629:F631 I629:I631 F633:F635 I633:I635 F638:F639 I638:I639 I609:I611" xr:uid="{7FB897E4-06DB-40F8-977F-55C2D0C180DD}">
      <formula1>LKP_MONTH</formula1>
    </dataValidation>
    <dataValidation type="whole" allowBlank="1" showErrorMessage="1" errorTitle="Invalid Year..." error="Please enter a four digit year from 2022 to 2024." sqref="H5 K5" xr:uid="{3B33B278-5FB8-4BFB-B4DF-2627F804C79B}">
      <formula1>MIN(LKP_YEAR)</formula1>
      <formula2>MAX(LKP_YEAR)</formula2>
    </dataValidation>
  </dataValidations>
  <hyperlinks>
    <hyperlink ref="B6:M6" location="'Microsoft Instructions'!A1" display="Before you can use the worksheet, you must make it a Trusted Document.  Click here for instructions. " xr:uid="{3B46BB00-281B-410F-B4AC-C3B117B1FB8D}"/>
  </hyperlinks>
  <pageMargins left="0.7" right="0.7" top="0.75" bottom="0.75" header="0.3" footer="0.3"/>
  <pageSetup scale="54" fitToHeight="0" orientation="portrait" r:id="rId1"/>
  <ignoredErrors>
    <ignoredError sqref="H580 E580 E583 H583 C583 H586 E586 C599 J616 J620 J624 J628 J632 J636 J640 J643 J646 J592 J596 J600 J604 J608 J612" formula="1"/>
  </ignoredErrors>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751591-342E-4D30-B61B-931CDF7A7A3B}">
  <sheetPr codeName="shLiquidity">
    <pageSetUpPr fitToPage="1"/>
  </sheetPr>
  <dimension ref="B1:N405"/>
  <sheetViews>
    <sheetView showGridLines="0" zoomScaleNormal="100" workbookViewId="0">
      <pane ySplit="1" topLeftCell="A2" activePane="bottomLeft" state="frozen"/>
      <selection activeCell="D5" sqref="D5:H5"/>
      <selection pane="bottomLeft" activeCell="D5" sqref="D5"/>
    </sheetView>
  </sheetViews>
  <sheetFormatPr baseColWidth="10" defaultColWidth="9.1640625" defaultRowHeight="15" x14ac:dyDescent="0.2"/>
  <cols>
    <col min="1" max="1" width="3.1640625" bestFit="1" customWidth="1"/>
    <col min="2" max="2" width="4.5" customWidth="1"/>
    <col min="3" max="3" width="14.83203125" customWidth="1"/>
    <col min="4" max="4" width="37.6640625" customWidth="1"/>
    <col min="5" max="5" width="18.6640625" customWidth="1"/>
    <col min="6" max="6" width="8.1640625" customWidth="1"/>
    <col min="7" max="7" width="14.1640625" customWidth="1"/>
    <col min="8" max="8" width="18.6640625" customWidth="1"/>
    <col min="9" max="9" width="8.1640625" customWidth="1"/>
    <col min="10" max="10" width="11.6640625" customWidth="1"/>
    <col min="11" max="11" width="18.6640625" customWidth="1"/>
    <col min="12" max="13" width="4.83203125" customWidth="1"/>
    <col min="14" max="14" width="3.6640625" customWidth="1"/>
    <col min="15" max="15" width="19.33203125" customWidth="1"/>
    <col min="16" max="16" width="3.6640625" customWidth="1"/>
  </cols>
  <sheetData>
    <row r="1" spans="2:14" s="1" customFormat="1" ht="38.5" customHeight="1" thickBot="1" x14ac:dyDescent="0.5">
      <c r="B1" s="132" t="s">
        <v>268</v>
      </c>
      <c r="C1" s="133"/>
      <c r="D1" s="133"/>
      <c r="E1" s="134"/>
      <c r="F1" s="134"/>
      <c r="G1" s="134"/>
      <c r="H1" s="135"/>
      <c r="I1" s="135"/>
      <c r="J1" s="135"/>
      <c r="K1" s="134"/>
      <c r="L1" s="134"/>
      <c r="M1" s="134"/>
    </row>
    <row r="2" spans="2:14" ht="9" hidden="1" customHeight="1" x14ac:dyDescent="0.2">
      <c r="B2" s="136"/>
      <c r="C2" s="136"/>
      <c r="D2" s="136"/>
      <c r="E2" s="136"/>
      <c r="F2" s="136"/>
      <c r="G2" s="136"/>
      <c r="H2" s="136"/>
      <c r="I2" s="136"/>
      <c r="J2" s="136"/>
      <c r="K2" s="136"/>
      <c r="L2" s="136"/>
      <c r="M2" s="136"/>
    </row>
    <row r="3" spans="2:14" ht="160.25" customHeight="1" thickTop="1" x14ac:dyDescent="0.2">
      <c r="B3" s="326" t="s">
        <v>580</v>
      </c>
      <c r="C3" s="327"/>
      <c r="D3" s="327"/>
      <c r="E3" s="327"/>
      <c r="F3" s="327"/>
      <c r="G3" s="327"/>
      <c r="H3" s="327"/>
      <c r="I3" s="327"/>
      <c r="J3" s="327"/>
      <c r="K3" s="327"/>
      <c r="L3" s="327"/>
      <c r="M3" s="327"/>
    </row>
    <row r="4" spans="2:14" ht="29" hidden="1" customHeight="1" x14ac:dyDescent="0.2"/>
    <row r="5" spans="2:14" s="2" customFormat="1" ht="27" customHeight="1" x14ac:dyDescent="0.2">
      <c r="B5" s="319" t="s">
        <v>564</v>
      </c>
      <c r="C5" s="320"/>
      <c r="D5" s="137"/>
      <c r="E5" s="138" t="s">
        <v>270</v>
      </c>
      <c r="F5" s="321"/>
      <c r="G5" s="322"/>
      <c r="H5" s="323"/>
      <c r="I5" s="139"/>
      <c r="J5" s="140" t="s">
        <v>271</v>
      </c>
      <c r="K5" s="141"/>
      <c r="L5" s="259"/>
      <c r="M5" s="260"/>
    </row>
    <row r="6" spans="2:14" s="2" customFormat="1" ht="6" customHeight="1" x14ac:dyDescent="0.2"/>
    <row r="7" spans="2:14" s="2" customFormat="1" ht="28.25" customHeight="1" x14ac:dyDescent="0.2">
      <c r="B7" s="142" t="s">
        <v>273</v>
      </c>
      <c r="C7" s="143"/>
      <c r="D7" s="144"/>
      <c r="E7" s="144"/>
      <c r="F7" s="145" t="s">
        <v>536</v>
      </c>
      <c r="G7" s="146"/>
      <c r="H7" s="147"/>
      <c r="I7" s="144"/>
      <c r="J7" s="146"/>
      <c r="K7" s="147"/>
      <c r="L7" s="148"/>
      <c r="M7" s="149"/>
    </row>
    <row r="8" spans="2:14" s="154" customFormat="1" ht="4.5" customHeight="1" x14ac:dyDescent="0.2">
      <c r="B8" s="150"/>
      <c r="C8" s="151"/>
      <c r="D8" s="151"/>
      <c r="E8" s="151"/>
      <c r="F8" s="151"/>
      <c r="G8" s="152"/>
      <c r="H8" s="153"/>
      <c r="I8" s="151"/>
      <c r="J8" s="152"/>
      <c r="K8" s="153"/>
      <c r="M8" s="155"/>
    </row>
    <row r="9" spans="2:14" s="2" customFormat="1" ht="25.25" customHeight="1" x14ac:dyDescent="0.2">
      <c r="B9" s="156">
        <v>1</v>
      </c>
      <c r="C9" s="311" t="s">
        <v>274</v>
      </c>
      <c r="D9" s="308"/>
      <c r="E9" s="308"/>
      <c r="F9" s="308"/>
      <c r="G9" s="308"/>
      <c r="H9" s="215"/>
      <c r="K9" s="215"/>
      <c r="M9" s="158"/>
      <c r="N9" s="159"/>
    </row>
    <row r="10" spans="2:14" s="2" customFormat="1" ht="25.25" customHeight="1" x14ac:dyDescent="0.2">
      <c r="B10" s="160">
        <v>2</v>
      </c>
      <c r="C10" s="311" t="s">
        <v>275</v>
      </c>
      <c r="D10" s="308"/>
      <c r="E10" s="308"/>
      <c r="F10" s="308"/>
      <c r="G10" s="308"/>
      <c r="H10" s="216"/>
      <c r="K10" s="216"/>
      <c r="M10" s="158"/>
      <c r="N10" s="159"/>
    </row>
    <row r="11" spans="2:14" s="2" customFormat="1" ht="25.25" customHeight="1" x14ac:dyDescent="0.2">
      <c r="B11" s="160">
        <v>3</v>
      </c>
      <c r="C11" s="311" t="s">
        <v>276</v>
      </c>
      <c r="D11" s="308"/>
      <c r="E11" s="308"/>
      <c r="F11" s="308"/>
      <c r="G11" s="308"/>
      <c r="H11" s="216"/>
      <c r="K11" s="216"/>
      <c r="M11" s="158"/>
      <c r="N11" s="159"/>
    </row>
    <row r="12" spans="2:14" s="2" customFormat="1" ht="25.25" customHeight="1" x14ac:dyDescent="0.2">
      <c r="B12" s="160">
        <v>4</v>
      </c>
      <c r="C12" s="157" t="s">
        <v>196</v>
      </c>
      <c r="D12" s="318"/>
      <c r="E12" s="318"/>
      <c r="F12" s="318"/>
      <c r="G12" s="161"/>
      <c r="H12" s="216"/>
      <c r="K12" s="216"/>
      <c r="M12" s="158"/>
      <c r="N12" s="159"/>
    </row>
    <row r="13" spans="2:14" s="2" customFormat="1" ht="29.5" customHeight="1" x14ac:dyDescent="0.2">
      <c r="B13" s="160">
        <v>5</v>
      </c>
      <c r="C13" s="162" t="s">
        <v>277</v>
      </c>
      <c r="D13" s="163"/>
      <c r="E13" s="163"/>
      <c r="F13" s="163"/>
      <c r="G13" s="164"/>
      <c r="H13" s="217">
        <f>SUM(H9:H12)</f>
        <v>0</v>
      </c>
      <c r="I13" s="165"/>
      <c r="J13" s="165"/>
      <c r="K13" s="217">
        <f>SUM(K9:K12)</f>
        <v>0</v>
      </c>
      <c r="L13" s="165"/>
      <c r="M13" s="166"/>
    </row>
    <row r="14" spans="2:14" s="2" customFormat="1" ht="28.25" customHeight="1" x14ac:dyDescent="0.2">
      <c r="B14" s="142" t="s">
        <v>278</v>
      </c>
      <c r="C14" s="144"/>
      <c r="D14" s="143"/>
      <c r="E14" s="144"/>
      <c r="F14" s="144"/>
      <c r="G14" s="146"/>
      <c r="H14" s="167" t="str">
        <f>IF(ISNUMBER(H7),H7,"")</f>
        <v/>
      </c>
      <c r="I14" s="144"/>
      <c r="J14" s="146"/>
      <c r="K14" s="168" t="str">
        <f>IF(ISNUMBER(K7),K7,"")</f>
        <v/>
      </c>
      <c r="L14" s="148"/>
      <c r="M14" s="149"/>
    </row>
    <row r="15" spans="2:14" s="154" customFormat="1" ht="4.5" customHeight="1" x14ac:dyDescent="0.2">
      <c r="B15" s="150"/>
      <c r="C15" s="151"/>
      <c r="D15" s="151"/>
      <c r="E15" s="151"/>
      <c r="F15" s="151"/>
      <c r="G15" s="152"/>
      <c r="H15" s="169"/>
      <c r="I15" s="151"/>
      <c r="J15" s="152"/>
      <c r="K15" s="170"/>
      <c r="M15" s="155"/>
    </row>
    <row r="16" spans="2:14" s="2" customFormat="1" ht="25.25" customHeight="1" x14ac:dyDescent="0.2">
      <c r="B16" s="156">
        <v>6</v>
      </c>
      <c r="C16" s="311" t="s">
        <v>279</v>
      </c>
      <c r="D16" s="308"/>
      <c r="E16" s="308"/>
      <c r="F16" s="308"/>
      <c r="G16" s="308"/>
      <c r="H16" s="215"/>
      <c r="K16" s="215"/>
      <c r="M16" s="158"/>
      <c r="N16" s="159"/>
    </row>
    <row r="17" spans="2:14" s="2" customFormat="1" ht="25.25" customHeight="1" x14ac:dyDescent="0.2">
      <c r="B17" s="160">
        <v>7</v>
      </c>
      <c r="C17" s="311" t="s">
        <v>280</v>
      </c>
      <c r="D17" s="308"/>
      <c r="E17" s="308"/>
      <c r="F17" s="308"/>
      <c r="G17" s="308"/>
      <c r="H17" s="215"/>
      <c r="K17" s="215"/>
      <c r="M17" s="158"/>
      <c r="N17" s="159"/>
    </row>
    <row r="18" spans="2:14" s="2" customFormat="1" ht="25.25" customHeight="1" x14ac:dyDescent="0.2">
      <c r="B18" s="160">
        <v>8</v>
      </c>
      <c r="C18" s="312" t="s">
        <v>281</v>
      </c>
      <c r="D18" s="308"/>
      <c r="E18" s="308"/>
      <c r="F18" s="308"/>
      <c r="G18" s="313"/>
      <c r="H18" s="215"/>
      <c r="K18" s="215"/>
      <c r="M18" s="158"/>
      <c r="N18" s="159"/>
    </row>
    <row r="19" spans="2:14" s="2" customFormat="1" ht="29.5" customHeight="1" x14ac:dyDescent="0.2">
      <c r="B19" s="160">
        <v>9</v>
      </c>
      <c r="C19" s="162" t="s">
        <v>282</v>
      </c>
      <c r="D19" s="163"/>
      <c r="E19" s="163"/>
      <c r="F19" s="163"/>
      <c r="G19" s="164"/>
      <c r="H19" s="218">
        <f>SUM(H16:H18)</f>
        <v>0</v>
      </c>
      <c r="I19" s="165"/>
      <c r="J19" s="165"/>
      <c r="K19" s="218">
        <f>SUM(K16:K18)</f>
        <v>0</v>
      </c>
      <c r="L19" s="165"/>
      <c r="M19" s="166"/>
    </row>
    <row r="20" spans="2:14" s="2" customFormat="1" ht="21" customHeight="1" x14ac:dyDescent="0.2"/>
    <row r="21" spans="2:14" s="2" customFormat="1" ht="28.25" customHeight="1" x14ac:dyDescent="0.2">
      <c r="B21" s="142" t="s">
        <v>283</v>
      </c>
      <c r="C21" s="144"/>
      <c r="D21" s="144"/>
      <c r="E21" s="144"/>
      <c r="F21" s="144"/>
      <c r="G21" s="146"/>
      <c r="H21" s="168" t="str">
        <f>IF(ISNUMBER(H7),H7,"")</f>
        <v/>
      </c>
      <c r="I21" s="144"/>
      <c r="J21" s="146"/>
      <c r="K21" s="167" t="str">
        <f>IF(ISNUMBER(K7),K7,"")</f>
        <v/>
      </c>
      <c r="L21" s="148"/>
      <c r="M21" s="149"/>
    </row>
    <row r="22" spans="2:14" s="2" customFormat="1" ht="29.5" customHeight="1" x14ac:dyDescent="0.2">
      <c r="B22" s="156"/>
      <c r="C22" s="314" t="s">
        <v>284</v>
      </c>
      <c r="D22" s="315"/>
      <c r="E22" s="315"/>
      <c r="F22" s="315"/>
      <c r="G22" s="315"/>
      <c r="H22" s="217">
        <f>H13</f>
        <v>0</v>
      </c>
      <c r="K22" s="217">
        <f>K13</f>
        <v>0</v>
      </c>
      <c r="M22" s="158"/>
    </row>
    <row r="23" spans="2:14" s="2" customFormat="1" ht="29.5" customHeight="1" x14ac:dyDescent="0.2">
      <c r="B23" s="160"/>
      <c r="C23" s="307" t="s">
        <v>285</v>
      </c>
      <c r="D23" s="308"/>
      <c r="E23" s="308"/>
      <c r="F23" s="308"/>
      <c r="G23" s="308"/>
      <c r="H23" s="217">
        <f>H19</f>
        <v>0</v>
      </c>
      <c r="K23" s="217">
        <f>K19</f>
        <v>0</v>
      </c>
      <c r="M23" s="158"/>
    </row>
    <row r="24" spans="2:14" s="2" customFormat="1" ht="29.5" customHeight="1" x14ac:dyDescent="0.2">
      <c r="B24" s="160"/>
      <c r="C24" s="316" t="s">
        <v>286</v>
      </c>
      <c r="D24" s="317"/>
      <c r="E24" s="317"/>
      <c r="F24" s="317"/>
      <c r="G24" s="317"/>
      <c r="H24" s="219" t="str">
        <f>IFERROR(H22/H23,"N/A")</f>
        <v>N/A</v>
      </c>
      <c r="I24" s="165"/>
      <c r="J24" s="165"/>
      <c r="K24" s="219" t="str">
        <f>IFERROR(K22/K23,"N/A")</f>
        <v>N/A</v>
      </c>
      <c r="L24" s="165"/>
      <c r="M24" s="166"/>
    </row>
    <row r="25" spans="2:14" s="2" customFormat="1" ht="21" customHeight="1" x14ac:dyDescent="0.2">
      <c r="H25" s="171"/>
      <c r="K25" s="171"/>
    </row>
    <row r="26" spans="2:14" s="2" customFormat="1" ht="28.25" customHeight="1" x14ac:dyDescent="0.2">
      <c r="B26" s="142" t="s">
        <v>287</v>
      </c>
      <c r="C26" s="144"/>
      <c r="D26" s="144"/>
      <c r="E26" s="144"/>
      <c r="F26" s="144"/>
      <c r="G26" s="146"/>
      <c r="H26" s="168" t="str">
        <f>IF(ISNUMBER(H7),H7,"")</f>
        <v/>
      </c>
      <c r="I26" s="144"/>
      <c r="J26" s="146"/>
      <c r="K26" s="168" t="str">
        <f>IF(ISNUMBER(K7),K7,"")</f>
        <v/>
      </c>
      <c r="L26" s="148"/>
      <c r="M26" s="149"/>
    </row>
    <row r="27" spans="2:14" s="2" customFormat="1" ht="29.5" customHeight="1" x14ac:dyDescent="0.2">
      <c r="B27" s="156"/>
      <c r="C27" s="305" t="s">
        <v>288</v>
      </c>
      <c r="D27" s="306"/>
      <c r="E27" s="306"/>
      <c r="F27" s="306"/>
      <c r="G27" s="306"/>
      <c r="H27" s="217">
        <f>H9+H10+H12</f>
        <v>0</v>
      </c>
      <c r="K27" s="217">
        <f>K9+K10+K12</f>
        <v>0</v>
      </c>
      <c r="M27" s="158"/>
    </row>
    <row r="28" spans="2:14" s="2" customFormat="1" ht="29.5" customHeight="1" x14ac:dyDescent="0.2">
      <c r="B28" s="160"/>
      <c r="C28" s="307" t="s">
        <v>285</v>
      </c>
      <c r="D28" s="308"/>
      <c r="E28" s="308"/>
      <c r="F28" s="308"/>
      <c r="G28" s="308"/>
      <c r="H28" s="217">
        <f>H19</f>
        <v>0</v>
      </c>
      <c r="K28" s="217">
        <f>K19</f>
        <v>0</v>
      </c>
      <c r="M28" s="158"/>
    </row>
    <row r="29" spans="2:14" s="2" customFormat="1" ht="29.5" customHeight="1" x14ac:dyDescent="0.2">
      <c r="B29" s="160"/>
      <c r="C29" s="309" t="s">
        <v>289</v>
      </c>
      <c r="D29" s="310"/>
      <c r="E29" s="310"/>
      <c r="F29" s="310"/>
      <c r="G29" s="310"/>
      <c r="H29" s="219" t="str">
        <f>IFERROR(H27/H28,"N/A")</f>
        <v>N/A</v>
      </c>
      <c r="I29" s="165"/>
      <c r="J29" s="165"/>
      <c r="K29" s="219" t="str">
        <f>IFERROR(K27/K28,"N/A")</f>
        <v>N/A</v>
      </c>
      <c r="L29" s="165"/>
      <c r="M29" s="166"/>
    </row>
    <row r="30" spans="2:14" s="2" customFormat="1" ht="14" customHeight="1" x14ac:dyDescent="0.2"/>
    <row r="31" spans="2:14" s="2" customFormat="1" ht="27" customHeight="1" x14ac:dyDescent="0.2">
      <c r="B31" s="319" t="s">
        <v>564</v>
      </c>
      <c r="C31" s="320"/>
      <c r="D31" s="137"/>
      <c r="E31" s="138" t="s">
        <v>270</v>
      </c>
      <c r="F31" s="321"/>
      <c r="G31" s="322"/>
      <c r="H31" s="323"/>
      <c r="I31" s="139"/>
      <c r="J31" s="140" t="s">
        <v>271</v>
      </c>
      <c r="K31" s="141"/>
      <c r="L31" s="324" t="s">
        <v>272</v>
      </c>
      <c r="M31" s="325"/>
    </row>
    <row r="32" spans="2:14" s="2" customFormat="1" ht="6" hidden="1" customHeight="1" x14ac:dyDescent="0.2"/>
    <row r="33" spans="2:14" s="2" customFormat="1" ht="28.25" hidden="1" customHeight="1" x14ac:dyDescent="0.2">
      <c r="B33" s="142" t="s">
        <v>273</v>
      </c>
      <c r="C33" s="143"/>
      <c r="D33" s="144"/>
      <c r="E33" s="144"/>
      <c r="F33" s="145" t="s">
        <v>536</v>
      </c>
      <c r="G33" s="146"/>
      <c r="H33" s="147"/>
      <c r="I33" s="144"/>
      <c r="J33" s="146"/>
      <c r="K33" s="147"/>
      <c r="L33" s="148"/>
      <c r="M33" s="149"/>
    </row>
    <row r="34" spans="2:14" s="154" customFormat="1" ht="4.5" hidden="1" customHeight="1" x14ac:dyDescent="0.2">
      <c r="B34" s="150"/>
      <c r="C34" s="151"/>
      <c r="D34" s="151"/>
      <c r="E34" s="151"/>
      <c r="F34" s="151"/>
      <c r="G34" s="152"/>
      <c r="H34" s="153"/>
      <c r="I34" s="151"/>
      <c r="J34" s="152"/>
      <c r="K34" s="153"/>
      <c r="M34" s="155"/>
    </row>
    <row r="35" spans="2:14" s="2" customFormat="1" ht="25.25" hidden="1" customHeight="1" x14ac:dyDescent="0.2">
      <c r="B35" s="156">
        <v>1</v>
      </c>
      <c r="C35" s="311" t="s">
        <v>274</v>
      </c>
      <c r="D35" s="308"/>
      <c r="E35" s="308"/>
      <c r="F35" s="308"/>
      <c r="G35" s="308"/>
      <c r="H35" s="215"/>
      <c r="K35" s="215"/>
      <c r="M35" s="158"/>
      <c r="N35" s="159"/>
    </row>
    <row r="36" spans="2:14" s="2" customFormat="1" ht="25.25" hidden="1" customHeight="1" x14ac:dyDescent="0.2">
      <c r="B36" s="160">
        <v>2</v>
      </c>
      <c r="C36" s="311" t="s">
        <v>275</v>
      </c>
      <c r="D36" s="308"/>
      <c r="E36" s="308"/>
      <c r="F36" s="308"/>
      <c r="G36" s="308"/>
      <c r="H36" s="216"/>
      <c r="K36" s="216"/>
      <c r="M36" s="158"/>
      <c r="N36" s="159"/>
    </row>
    <row r="37" spans="2:14" s="2" customFormat="1" ht="25.25" hidden="1" customHeight="1" x14ac:dyDescent="0.2">
      <c r="B37" s="160">
        <v>3</v>
      </c>
      <c r="C37" s="311" t="s">
        <v>276</v>
      </c>
      <c r="D37" s="308"/>
      <c r="E37" s="308"/>
      <c r="F37" s="308"/>
      <c r="G37" s="308"/>
      <c r="H37" s="216"/>
      <c r="K37" s="216"/>
      <c r="M37" s="158"/>
      <c r="N37" s="159"/>
    </row>
    <row r="38" spans="2:14" s="2" customFormat="1" ht="25.25" hidden="1" customHeight="1" x14ac:dyDescent="0.2">
      <c r="B38" s="160">
        <v>4</v>
      </c>
      <c r="C38" s="157" t="s">
        <v>196</v>
      </c>
      <c r="D38" s="318"/>
      <c r="E38" s="318"/>
      <c r="F38" s="318"/>
      <c r="G38" s="161"/>
      <c r="H38" s="216"/>
      <c r="K38" s="216"/>
      <c r="M38" s="158"/>
      <c r="N38" s="159"/>
    </row>
    <row r="39" spans="2:14" s="2" customFormat="1" ht="29.5" hidden="1" customHeight="1" x14ac:dyDescent="0.2">
      <c r="B39" s="160">
        <v>5</v>
      </c>
      <c r="C39" s="162" t="s">
        <v>277</v>
      </c>
      <c r="D39" s="163"/>
      <c r="E39" s="163"/>
      <c r="F39" s="163"/>
      <c r="G39" s="164"/>
      <c r="H39" s="217">
        <f>SUM(H35:H38)</f>
        <v>0</v>
      </c>
      <c r="I39" s="165"/>
      <c r="J39" s="165"/>
      <c r="K39" s="217">
        <f>SUM(K35:K38)</f>
        <v>0</v>
      </c>
      <c r="L39" s="165"/>
      <c r="M39" s="166"/>
    </row>
    <row r="40" spans="2:14" s="2" customFormat="1" ht="28.25" hidden="1" customHeight="1" x14ac:dyDescent="0.2">
      <c r="B40" s="142" t="s">
        <v>278</v>
      </c>
      <c r="C40" s="144"/>
      <c r="D40" s="143"/>
      <c r="E40" s="144"/>
      <c r="F40" s="144"/>
      <c r="G40" s="146"/>
      <c r="H40" s="167" t="str">
        <f>IF(ISNUMBER(H33),H33,"")</f>
        <v/>
      </c>
      <c r="I40" s="144"/>
      <c r="J40" s="146"/>
      <c r="K40" s="168" t="str">
        <f>IF(ISNUMBER(K33),K33,"")</f>
        <v/>
      </c>
      <c r="L40" s="148"/>
      <c r="M40" s="149"/>
    </row>
    <row r="41" spans="2:14" s="154" customFormat="1" ht="4.5" hidden="1" customHeight="1" x14ac:dyDescent="0.2">
      <c r="B41" s="150"/>
      <c r="C41" s="151"/>
      <c r="D41" s="151"/>
      <c r="E41" s="151"/>
      <c r="F41" s="151"/>
      <c r="G41" s="152"/>
      <c r="H41" s="169"/>
      <c r="I41" s="151"/>
      <c r="J41" s="152"/>
      <c r="K41" s="170"/>
      <c r="M41" s="155"/>
    </row>
    <row r="42" spans="2:14" s="2" customFormat="1" ht="25.25" hidden="1" customHeight="1" x14ac:dyDescent="0.2">
      <c r="B42" s="156">
        <v>6</v>
      </c>
      <c r="C42" s="311" t="s">
        <v>279</v>
      </c>
      <c r="D42" s="308"/>
      <c r="E42" s="308"/>
      <c r="F42" s="308"/>
      <c r="G42" s="308"/>
      <c r="H42" s="215"/>
      <c r="K42" s="215"/>
      <c r="M42" s="158"/>
      <c r="N42" s="159"/>
    </row>
    <row r="43" spans="2:14" s="2" customFormat="1" ht="25.25" hidden="1" customHeight="1" x14ac:dyDescent="0.2">
      <c r="B43" s="160">
        <v>7</v>
      </c>
      <c r="C43" s="311" t="s">
        <v>280</v>
      </c>
      <c r="D43" s="308"/>
      <c r="E43" s="308"/>
      <c r="F43" s="308"/>
      <c r="G43" s="308"/>
      <c r="H43" s="215"/>
      <c r="K43" s="215"/>
      <c r="M43" s="158"/>
      <c r="N43" s="159"/>
    </row>
    <row r="44" spans="2:14" s="2" customFormat="1" ht="25.25" hidden="1" customHeight="1" x14ac:dyDescent="0.2">
      <c r="B44" s="160">
        <v>8</v>
      </c>
      <c r="C44" s="312" t="s">
        <v>281</v>
      </c>
      <c r="D44" s="308"/>
      <c r="E44" s="308"/>
      <c r="F44" s="308"/>
      <c r="G44" s="313"/>
      <c r="H44" s="215"/>
      <c r="K44" s="215"/>
      <c r="M44" s="158"/>
      <c r="N44" s="159"/>
    </row>
    <row r="45" spans="2:14" s="2" customFormat="1" ht="29.5" hidden="1" customHeight="1" x14ac:dyDescent="0.2">
      <c r="B45" s="160">
        <v>9</v>
      </c>
      <c r="C45" s="162" t="s">
        <v>282</v>
      </c>
      <c r="D45" s="163"/>
      <c r="E45" s="163"/>
      <c r="F45" s="163"/>
      <c r="G45" s="164"/>
      <c r="H45" s="218">
        <f>SUM(H42:H44)</f>
        <v>0</v>
      </c>
      <c r="I45" s="165"/>
      <c r="J45" s="165"/>
      <c r="K45" s="218">
        <f>SUM(K42:K44)</f>
        <v>0</v>
      </c>
      <c r="L45" s="165"/>
      <c r="M45" s="166"/>
    </row>
    <row r="46" spans="2:14" s="2" customFormat="1" ht="21" hidden="1" customHeight="1" x14ac:dyDescent="0.2"/>
    <row r="47" spans="2:14" s="2" customFormat="1" ht="28.25" hidden="1" customHeight="1" x14ac:dyDescent="0.2">
      <c r="B47" s="142" t="s">
        <v>283</v>
      </c>
      <c r="C47" s="144"/>
      <c r="D47" s="144"/>
      <c r="E47" s="144"/>
      <c r="F47" s="144"/>
      <c r="G47" s="146"/>
      <c r="H47" s="168" t="str">
        <f>IF(ISNUMBER(H33),H33,"")</f>
        <v/>
      </c>
      <c r="I47" s="144"/>
      <c r="J47" s="146"/>
      <c r="K47" s="167" t="str">
        <f>IF(ISNUMBER(K33),K33,"")</f>
        <v/>
      </c>
      <c r="L47" s="148"/>
      <c r="M47" s="149"/>
    </row>
    <row r="48" spans="2:14" s="2" customFormat="1" ht="29.5" hidden="1" customHeight="1" x14ac:dyDescent="0.2">
      <c r="B48" s="156"/>
      <c r="C48" s="314" t="s">
        <v>284</v>
      </c>
      <c r="D48" s="315"/>
      <c r="E48" s="315"/>
      <c r="F48" s="315"/>
      <c r="G48" s="315"/>
      <c r="H48" s="217">
        <f>H39</f>
        <v>0</v>
      </c>
      <c r="K48" s="217">
        <f>K39</f>
        <v>0</v>
      </c>
      <c r="M48" s="158"/>
    </row>
    <row r="49" spans="2:14" s="2" customFormat="1" ht="29.5" hidden="1" customHeight="1" x14ac:dyDescent="0.2">
      <c r="B49" s="160"/>
      <c r="C49" s="307" t="s">
        <v>285</v>
      </c>
      <c r="D49" s="308"/>
      <c r="E49" s="308"/>
      <c r="F49" s="308"/>
      <c r="G49" s="308"/>
      <c r="H49" s="217">
        <f>H45</f>
        <v>0</v>
      </c>
      <c r="K49" s="217">
        <f>K45</f>
        <v>0</v>
      </c>
      <c r="M49" s="158"/>
    </row>
    <row r="50" spans="2:14" s="2" customFormat="1" ht="29.5" hidden="1" customHeight="1" x14ac:dyDescent="0.2">
      <c r="B50" s="160"/>
      <c r="C50" s="316" t="s">
        <v>286</v>
      </c>
      <c r="D50" s="317"/>
      <c r="E50" s="317"/>
      <c r="F50" s="317"/>
      <c r="G50" s="317"/>
      <c r="H50" s="219" t="str">
        <f>IFERROR(H48/H49,"N/A")</f>
        <v>N/A</v>
      </c>
      <c r="I50" s="165"/>
      <c r="J50" s="165"/>
      <c r="K50" s="219" t="str">
        <f>IFERROR(K48/K49,"N/A")</f>
        <v>N/A</v>
      </c>
      <c r="L50" s="165"/>
      <c r="M50" s="166"/>
    </row>
    <row r="51" spans="2:14" s="2" customFormat="1" ht="21" hidden="1" customHeight="1" x14ac:dyDescent="0.2">
      <c r="H51" s="171"/>
      <c r="K51" s="171"/>
    </row>
    <row r="52" spans="2:14" s="2" customFormat="1" ht="28.25" hidden="1" customHeight="1" x14ac:dyDescent="0.2">
      <c r="B52" s="142" t="s">
        <v>287</v>
      </c>
      <c r="C52" s="144"/>
      <c r="D52" s="144"/>
      <c r="E52" s="144"/>
      <c r="F52" s="144"/>
      <c r="G52" s="146"/>
      <c r="H52" s="168" t="str">
        <f>IF(ISNUMBER(H33),H33,"")</f>
        <v/>
      </c>
      <c r="I52" s="144"/>
      <c r="J52" s="146"/>
      <c r="K52" s="168" t="str">
        <f>IF(ISNUMBER(K33),K33,"")</f>
        <v/>
      </c>
      <c r="L52" s="148"/>
      <c r="M52" s="149"/>
    </row>
    <row r="53" spans="2:14" s="2" customFormat="1" ht="29.5" hidden="1" customHeight="1" x14ac:dyDescent="0.2">
      <c r="B53" s="156"/>
      <c r="C53" s="305" t="s">
        <v>288</v>
      </c>
      <c r="D53" s="306"/>
      <c r="E53" s="306"/>
      <c r="F53" s="306"/>
      <c r="G53" s="306"/>
      <c r="H53" s="217">
        <f>H35+H36+H38</f>
        <v>0</v>
      </c>
      <c r="K53" s="217">
        <f>K35+K36+K38</f>
        <v>0</v>
      </c>
      <c r="M53" s="158"/>
    </row>
    <row r="54" spans="2:14" s="2" customFormat="1" ht="29.5" hidden="1" customHeight="1" x14ac:dyDescent="0.2">
      <c r="B54" s="160"/>
      <c r="C54" s="307" t="s">
        <v>285</v>
      </c>
      <c r="D54" s="308"/>
      <c r="E54" s="308"/>
      <c r="F54" s="308"/>
      <c r="G54" s="308"/>
      <c r="H54" s="217">
        <f>H45</f>
        <v>0</v>
      </c>
      <c r="K54" s="217">
        <f>K45</f>
        <v>0</v>
      </c>
      <c r="M54" s="158"/>
    </row>
    <row r="55" spans="2:14" s="2" customFormat="1" ht="29.5" hidden="1" customHeight="1" x14ac:dyDescent="0.2">
      <c r="B55" s="160"/>
      <c r="C55" s="309" t="s">
        <v>289</v>
      </c>
      <c r="D55" s="310"/>
      <c r="E55" s="310"/>
      <c r="F55" s="310"/>
      <c r="G55" s="310"/>
      <c r="H55" s="219" t="str">
        <f>IFERROR(H53/H54,"N/A")</f>
        <v>N/A</v>
      </c>
      <c r="I55" s="165"/>
      <c r="J55" s="165"/>
      <c r="K55" s="219" t="str">
        <f>IFERROR(K53/K54,"N/A")</f>
        <v>N/A</v>
      </c>
      <c r="L55" s="165"/>
      <c r="M55" s="166"/>
    </row>
    <row r="56" spans="2:14" s="2" customFormat="1" ht="14" customHeight="1" x14ac:dyDescent="0.2"/>
    <row r="57" spans="2:14" s="2" customFormat="1" ht="27" customHeight="1" x14ac:dyDescent="0.2">
      <c r="B57" s="319" t="s">
        <v>564</v>
      </c>
      <c r="C57" s="320"/>
      <c r="D57" s="137"/>
      <c r="E57" s="138" t="s">
        <v>270</v>
      </c>
      <c r="F57" s="321"/>
      <c r="G57" s="322"/>
      <c r="H57" s="323"/>
      <c r="I57" s="139"/>
      <c r="J57" s="140" t="s">
        <v>271</v>
      </c>
      <c r="K57" s="141"/>
      <c r="L57" s="324" t="s">
        <v>272</v>
      </c>
      <c r="M57" s="325"/>
    </row>
    <row r="58" spans="2:14" s="2" customFormat="1" ht="6" hidden="1" customHeight="1" x14ac:dyDescent="0.2"/>
    <row r="59" spans="2:14" s="2" customFormat="1" ht="28.25" hidden="1" customHeight="1" x14ac:dyDescent="0.2">
      <c r="B59" s="142" t="s">
        <v>273</v>
      </c>
      <c r="C59" s="143"/>
      <c r="D59" s="144"/>
      <c r="E59" s="144"/>
      <c r="F59" s="145" t="s">
        <v>536</v>
      </c>
      <c r="G59" s="146"/>
      <c r="H59" s="147"/>
      <c r="I59" s="144"/>
      <c r="J59" s="146"/>
      <c r="K59" s="147"/>
      <c r="L59" s="148"/>
      <c r="M59" s="149"/>
    </row>
    <row r="60" spans="2:14" s="154" customFormat="1" ht="4.5" hidden="1" customHeight="1" x14ac:dyDescent="0.2">
      <c r="B60" s="150"/>
      <c r="C60" s="151"/>
      <c r="D60" s="151"/>
      <c r="E60" s="151"/>
      <c r="F60" s="151"/>
      <c r="G60" s="152"/>
      <c r="H60" s="153"/>
      <c r="I60" s="151"/>
      <c r="J60" s="152"/>
      <c r="K60" s="153"/>
      <c r="M60" s="155"/>
    </row>
    <row r="61" spans="2:14" s="2" customFormat="1" ht="25.25" hidden="1" customHeight="1" x14ac:dyDescent="0.2">
      <c r="B61" s="156">
        <v>1</v>
      </c>
      <c r="C61" s="311" t="s">
        <v>274</v>
      </c>
      <c r="D61" s="308"/>
      <c r="E61" s="308"/>
      <c r="F61" s="308"/>
      <c r="G61" s="308"/>
      <c r="H61" s="215"/>
      <c r="K61" s="215"/>
      <c r="M61" s="158"/>
      <c r="N61" s="159"/>
    </row>
    <row r="62" spans="2:14" s="2" customFormat="1" ht="25.25" hidden="1" customHeight="1" x14ac:dyDescent="0.2">
      <c r="B62" s="160">
        <v>2</v>
      </c>
      <c r="C62" s="311" t="s">
        <v>275</v>
      </c>
      <c r="D62" s="308"/>
      <c r="E62" s="308"/>
      <c r="F62" s="308"/>
      <c r="G62" s="308"/>
      <c r="H62" s="216"/>
      <c r="K62" s="216"/>
      <c r="M62" s="158"/>
      <c r="N62" s="159"/>
    </row>
    <row r="63" spans="2:14" s="2" customFormat="1" ht="25.25" hidden="1" customHeight="1" x14ac:dyDescent="0.2">
      <c r="B63" s="160">
        <v>3</v>
      </c>
      <c r="C63" s="311" t="s">
        <v>276</v>
      </c>
      <c r="D63" s="308"/>
      <c r="E63" s="308"/>
      <c r="F63" s="308"/>
      <c r="G63" s="308"/>
      <c r="H63" s="216"/>
      <c r="K63" s="216"/>
      <c r="M63" s="158"/>
      <c r="N63" s="159"/>
    </row>
    <row r="64" spans="2:14" s="2" customFormat="1" ht="25.25" hidden="1" customHeight="1" x14ac:dyDescent="0.2">
      <c r="B64" s="160">
        <v>4</v>
      </c>
      <c r="C64" s="157" t="s">
        <v>196</v>
      </c>
      <c r="D64" s="318"/>
      <c r="E64" s="318"/>
      <c r="F64" s="318"/>
      <c r="G64" s="161"/>
      <c r="H64" s="216"/>
      <c r="K64" s="216"/>
      <c r="M64" s="158"/>
      <c r="N64" s="159"/>
    </row>
    <row r="65" spans="2:14" s="2" customFormat="1" ht="29.5" hidden="1" customHeight="1" x14ac:dyDescent="0.2">
      <c r="B65" s="160">
        <v>5</v>
      </c>
      <c r="C65" s="162" t="s">
        <v>277</v>
      </c>
      <c r="D65" s="163"/>
      <c r="E65" s="163"/>
      <c r="F65" s="163"/>
      <c r="G65" s="164"/>
      <c r="H65" s="217">
        <f>SUM(H61:H64)</f>
        <v>0</v>
      </c>
      <c r="I65" s="165"/>
      <c r="J65" s="165"/>
      <c r="K65" s="217">
        <f>SUM(K61:K64)</f>
        <v>0</v>
      </c>
      <c r="L65" s="165"/>
      <c r="M65" s="166"/>
    </row>
    <row r="66" spans="2:14" s="2" customFormat="1" ht="28.25" hidden="1" customHeight="1" x14ac:dyDescent="0.2">
      <c r="B66" s="142" t="s">
        <v>278</v>
      </c>
      <c r="C66" s="144"/>
      <c r="D66" s="143"/>
      <c r="E66" s="144"/>
      <c r="F66" s="144"/>
      <c r="G66" s="146"/>
      <c r="H66" s="167" t="str">
        <f>IF(ISNUMBER(H59),H59,"")</f>
        <v/>
      </c>
      <c r="I66" s="144"/>
      <c r="J66" s="146"/>
      <c r="K66" s="168" t="str">
        <f>IF(ISNUMBER(K59),K59,"")</f>
        <v/>
      </c>
      <c r="L66" s="148"/>
      <c r="M66" s="149"/>
    </row>
    <row r="67" spans="2:14" s="154" customFormat="1" ht="4.5" hidden="1" customHeight="1" x14ac:dyDescent="0.2">
      <c r="B67" s="150"/>
      <c r="C67" s="151"/>
      <c r="D67" s="151"/>
      <c r="E67" s="151"/>
      <c r="F67" s="151"/>
      <c r="G67" s="152"/>
      <c r="H67" s="169"/>
      <c r="I67" s="151"/>
      <c r="J67" s="152"/>
      <c r="K67" s="170"/>
      <c r="M67" s="155"/>
    </row>
    <row r="68" spans="2:14" s="2" customFormat="1" ht="25.25" hidden="1" customHeight="1" x14ac:dyDescent="0.2">
      <c r="B68" s="156">
        <v>6</v>
      </c>
      <c r="C68" s="311" t="s">
        <v>279</v>
      </c>
      <c r="D68" s="308"/>
      <c r="E68" s="308"/>
      <c r="F68" s="308"/>
      <c r="G68" s="308"/>
      <c r="H68" s="215"/>
      <c r="K68" s="215"/>
      <c r="M68" s="158"/>
      <c r="N68" s="159"/>
    </row>
    <row r="69" spans="2:14" s="2" customFormat="1" ht="25.25" hidden="1" customHeight="1" x14ac:dyDescent="0.2">
      <c r="B69" s="160">
        <v>7</v>
      </c>
      <c r="C69" s="311" t="s">
        <v>280</v>
      </c>
      <c r="D69" s="308"/>
      <c r="E69" s="308"/>
      <c r="F69" s="308"/>
      <c r="G69" s="308"/>
      <c r="H69" s="215"/>
      <c r="K69" s="215"/>
      <c r="M69" s="158"/>
      <c r="N69" s="159"/>
    </row>
    <row r="70" spans="2:14" s="2" customFormat="1" ht="25.25" hidden="1" customHeight="1" x14ac:dyDescent="0.2">
      <c r="B70" s="160">
        <v>8</v>
      </c>
      <c r="C70" s="312" t="s">
        <v>281</v>
      </c>
      <c r="D70" s="308"/>
      <c r="E70" s="308"/>
      <c r="F70" s="308"/>
      <c r="G70" s="313"/>
      <c r="H70" s="215"/>
      <c r="K70" s="215"/>
      <c r="M70" s="158"/>
      <c r="N70" s="159"/>
    </row>
    <row r="71" spans="2:14" s="2" customFormat="1" ht="29.5" hidden="1" customHeight="1" x14ac:dyDescent="0.2">
      <c r="B71" s="160">
        <v>9</v>
      </c>
      <c r="C71" s="162" t="s">
        <v>282</v>
      </c>
      <c r="D71" s="163"/>
      <c r="E71" s="163"/>
      <c r="F71" s="163"/>
      <c r="G71" s="164"/>
      <c r="H71" s="218">
        <f>SUM(H68:H70)</f>
        <v>0</v>
      </c>
      <c r="I71" s="165"/>
      <c r="J71" s="165"/>
      <c r="K71" s="218">
        <f>SUM(K68:K70)</f>
        <v>0</v>
      </c>
      <c r="L71" s="165"/>
      <c r="M71" s="166"/>
    </row>
    <row r="72" spans="2:14" s="2" customFormat="1" ht="21" hidden="1" customHeight="1" x14ac:dyDescent="0.2"/>
    <row r="73" spans="2:14" s="2" customFormat="1" ht="28.25" hidden="1" customHeight="1" x14ac:dyDescent="0.2">
      <c r="B73" s="142" t="s">
        <v>283</v>
      </c>
      <c r="C73" s="144"/>
      <c r="D73" s="144"/>
      <c r="E73" s="144"/>
      <c r="F73" s="144"/>
      <c r="G73" s="146"/>
      <c r="H73" s="168" t="str">
        <f>IF(ISNUMBER(H59),H59,"")</f>
        <v/>
      </c>
      <c r="I73" s="144"/>
      <c r="J73" s="146"/>
      <c r="K73" s="167" t="str">
        <f>IF(ISNUMBER(K59),K59,"")</f>
        <v/>
      </c>
      <c r="L73" s="148"/>
      <c r="M73" s="149"/>
    </row>
    <row r="74" spans="2:14" s="2" customFormat="1" ht="29.5" hidden="1" customHeight="1" x14ac:dyDescent="0.2">
      <c r="B74" s="156"/>
      <c r="C74" s="314" t="s">
        <v>284</v>
      </c>
      <c r="D74" s="315"/>
      <c r="E74" s="315"/>
      <c r="F74" s="315"/>
      <c r="G74" s="315"/>
      <c r="H74" s="217">
        <f>H65</f>
        <v>0</v>
      </c>
      <c r="K74" s="217">
        <f>K65</f>
        <v>0</v>
      </c>
      <c r="M74" s="158"/>
    </row>
    <row r="75" spans="2:14" s="2" customFormat="1" ht="29.5" hidden="1" customHeight="1" x14ac:dyDescent="0.2">
      <c r="B75" s="160"/>
      <c r="C75" s="307" t="s">
        <v>285</v>
      </c>
      <c r="D75" s="308"/>
      <c r="E75" s="308"/>
      <c r="F75" s="308"/>
      <c r="G75" s="308"/>
      <c r="H75" s="217">
        <f>H71</f>
        <v>0</v>
      </c>
      <c r="K75" s="217">
        <f>K71</f>
        <v>0</v>
      </c>
      <c r="M75" s="158"/>
    </row>
    <row r="76" spans="2:14" s="2" customFormat="1" ht="29.5" hidden="1" customHeight="1" x14ac:dyDescent="0.2">
      <c r="B76" s="160"/>
      <c r="C76" s="316" t="s">
        <v>286</v>
      </c>
      <c r="D76" s="317"/>
      <c r="E76" s="317"/>
      <c r="F76" s="317"/>
      <c r="G76" s="317"/>
      <c r="H76" s="219" t="str">
        <f>IFERROR(H74/H75,"N/A")</f>
        <v>N/A</v>
      </c>
      <c r="I76" s="165"/>
      <c r="J76" s="165"/>
      <c r="K76" s="219" t="str">
        <f>IFERROR(K74/K75,"N/A")</f>
        <v>N/A</v>
      </c>
      <c r="L76" s="165"/>
      <c r="M76" s="166"/>
    </row>
    <row r="77" spans="2:14" s="2" customFormat="1" ht="21" hidden="1" customHeight="1" x14ac:dyDescent="0.2">
      <c r="H77" s="171"/>
      <c r="K77" s="171"/>
    </row>
    <row r="78" spans="2:14" s="2" customFormat="1" ht="28.25" hidden="1" customHeight="1" x14ac:dyDescent="0.2">
      <c r="B78" s="142" t="s">
        <v>287</v>
      </c>
      <c r="C78" s="144"/>
      <c r="D78" s="144"/>
      <c r="E78" s="144"/>
      <c r="F78" s="144"/>
      <c r="G78" s="146"/>
      <c r="H78" s="168" t="str">
        <f>IF(ISNUMBER(H59),H59,"")</f>
        <v/>
      </c>
      <c r="I78" s="144"/>
      <c r="J78" s="146"/>
      <c r="K78" s="168" t="str">
        <f>IF(ISNUMBER(K59),K59,"")</f>
        <v/>
      </c>
      <c r="L78" s="148"/>
      <c r="M78" s="149"/>
    </row>
    <row r="79" spans="2:14" s="2" customFormat="1" ht="29.5" hidden="1" customHeight="1" x14ac:dyDescent="0.2">
      <c r="B79" s="156"/>
      <c r="C79" s="305" t="s">
        <v>288</v>
      </c>
      <c r="D79" s="306"/>
      <c r="E79" s="306"/>
      <c r="F79" s="306"/>
      <c r="G79" s="306"/>
      <c r="H79" s="217">
        <f>H61+H62+H64</f>
        <v>0</v>
      </c>
      <c r="K79" s="217">
        <f>K61+K62+K64</f>
        <v>0</v>
      </c>
      <c r="M79" s="158"/>
    </row>
    <row r="80" spans="2:14" s="2" customFormat="1" ht="29.5" hidden="1" customHeight="1" x14ac:dyDescent="0.2">
      <c r="B80" s="160"/>
      <c r="C80" s="307" t="s">
        <v>285</v>
      </c>
      <c r="D80" s="308"/>
      <c r="E80" s="308"/>
      <c r="F80" s="308"/>
      <c r="G80" s="308"/>
      <c r="H80" s="217">
        <f>H71</f>
        <v>0</v>
      </c>
      <c r="K80" s="217">
        <f>K71</f>
        <v>0</v>
      </c>
      <c r="M80" s="158"/>
    </row>
    <row r="81" spans="2:14" s="2" customFormat="1" ht="29.5" hidden="1" customHeight="1" x14ac:dyDescent="0.2">
      <c r="B81" s="160"/>
      <c r="C81" s="309" t="s">
        <v>289</v>
      </c>
      <c r="D81" s="310"/>
      <c r="E81" s="310"/>
      <c r="F81" s="310"/>
      <c r="G81" s="310"/>
      <c r="H81" s="219" t="str">
        <f>IFERROR(H79/H80,"N/A")</f>
        <v>N/A</v>
      </c>
      <c r="I81" s="165"/>
      <c r="J81" s="165"/>
      <c r="K81" s="219" t="str">
        <f>IFERROR(K79/K80,"N/A")</f>
        <v>N/A</v>
      </c>
      <c r="L81" s="165"/>
      <c r="M81" s="166"/>
    </row>
    <row r="82" spans="2:14" s="2" customFormat="1" ht="14" customHeight="1" x14ac:dyDescent="0.2"/>
    <row r="83" spans="2:14" s="2" customFormat="1" ht="27" customHeight="1" x14ac:dyDescent="0.2">
      <c r="B83" s="319" t="s">
        <v>564</v>
      </c>
      <c r="C83" s="320"/>
      <c r="D83" s="137"/>
      <c r="E83" s="138" t="s">
        <v>270</v>
      </c>
      <c r="F83" s="321"/>
      <c r="G83" s="322"/>
      <c r="H83" s="323"/>
      <c r="I83" s="139"/>
      <c r="J83" s="140" t="s">
        <v>271</v>
      </c>
      <c r="K83" s="141"/>
      <c r="L83" s="324" t="s">
        <v>272</v>
      </c>
      <c r="M83" s="325"/>
    </row>
    <row r="84" spans="2:14" s="2" customFormat="1" ht="6" hidden="1" customHeight="1" x14ac:dyDescent="0.2"/>
    <row r="85" spans="2:14" s="2" customFormat="1" ht="28.25" hidden="1" customHeight="1" x14ac:dyDescent="0.2">
      <c r="B85" s="142" t="s">
        <v>273</v>
      </c>
      <c r="C85" s="143"/>
      <c r="D85" s="144"/>
      <c r="E85" s="144"/>
      <c r="F85" s="145" t="s">
        <v>536</v>
      </c>
      <c r="G85" s="146"/>
      <c r="H85" s="147"/>
      <c r="I85" s="144"/>
      <c r="J85" s="146"/>
      <c r="K85" s="147"/>
      <c r="L85" s="148"/>
      <c r="M85" s="149"/>
    </row>
    <row r="86" spans="2:14" s="154" customFormat="1" ht="4.5" hidden="1" customHeight="1" x14ac:dyDescent="0.2">
      <c r="B86" s="150"/>
      <c r="C86" s="151"/>
      <c r="D86" s="151"/>
      <c r="E86" s="151"/>
      <c r="F86" s="151"/>
      <c r="G86" s="152"/>
      <c r="H86" s="153"/>
      <c r="I86" s="151"/>
      <c r="J86" s="152"/>
      <c r="K86" s="153"/>
      <c r="M86" s="155"/>
    </row>
    <row r="87" spans="2:14" s="2" customFormat="1" ht="25.25" hidden="1" customHeight="1" x14ac:dyDescent="0.2">
      <c r="B87" s="156">
        <v>1</v>
      </c>
      <c r="C87" s="311" t="s">
        <v>274</v>
      </c>
      <c r="D87" s="308"/>
      <c r="E87" s="308"/>
      <c r="F87" s="308"/>
      <c r="G87" s="308"/>
      <c r="H87" s="215"/>
      <c r="K87" s="215"/>
      <c r="M87" s="158"/>
      <c r="N87" s="159"/>
    </row>
    <row r="88" spans="2:14" s="2" customFormat="1" ht="25.25" hidden="1" customHeight="1" x14ac:dyDescent="0.2">
      <c r="B88" s="160">
        <v>2</v>
      </c>
      <c r="C88" s="311" t="s">
        <v>275</v>
      </c>
      <c r="D88" s="308"/>
      <c r="E88" s="308"/>
      <c r="F88" s="308"/>
      <c r="G88" s="308"/>
      <c r="H88" s="216"/>
      <c r="K88" s="216"/>
      <c r="M88" s="158"/>
      <c r="N88" s="159"/>
    </row>
    <row r="89" spans="2:14" s="2" customFormat="1" ht="25.25" hidden="1" customHeight="1" x14ac:dyDescent="0.2">
      <c r="B89" s="160">
        <v>3</v>
      </c>
      <c r="C89" s="311" t="s">
        <v>276</v>
      </c>
      <c r="D89" s="308"/>
      <c r="E89" s="308"/>
      <c r="F89" s="308"/>
      <c r="G89" s="308"/>
      <c r="H89" s="216"/>
      <c r="K89" s="216"/>
      <c r="M89" s="158"/>
      <c r="N89" s="159"/>
    </row>
    <row r="90" spans="2:14" s="2" customFormat="1" ht="25.25" hidden="1" customHeight="1" x14ac:dyDescent="0.2">
      <c r="B90" s="160">
        <v>4</v>
      </c>
      <c r="C90" s="157" t="s">
        <v>196</v>
      </c>
      <c r="D90" s="318"/>
      <c r="E90" s="318"/>
      <c r="F90" s="318"/>
      <c r="G90" s="161"/>
      <c r="H90" s="216"/>
      <c r="K90" s="216"/>
      <c r="M90" s="158"/>
      <c r="N90" s="159"/>
    </row>
    <row r="91" spans="2:14" s="2" customFormat="1" ht="29.5" hidden="1" customHeight="1" x14ac:dyDescent="0.2">
      <c r="B91" s="160">
        <v>5</v>
      </c>
      <c r="C91" s="162" t="s">
        <v>277</v>
      </c>
      <c r="D91" s="163"/>
      <c r="E91" s="163"/>
      <c r="F91" s="163"/>
      <c r="G91" s="164"/>
      <c r="H91" s="217">
        <f>SUM(H87:H90)</f>
        <v>0</v>
      </c>
      <c r="I91" s="165"/>
      <c r="J91" s="165"/>
      <c r="K91" s="217">
        <f>SUM(K87:K90)</f>
        <v>0</v>
      </c>
      <c r="L91" s="165"/>
      <c r="M91" s="166"/>
    </row>
    <row r="92" spans="2:14" s="2" customFormat="1" ht="28.25" hidden="1" customHeight="1" x14ac:dyDescent="0.2">
      <c r="B92" s="142" t="s">
        <v>278</v>
      </c>
      <c r="C92" s="144"/>
      <c r="D92" s="143"/>
      <c r="E92" s="144"/>
      <c r="F92" s="144"/>
      <c r="G92" s="146"/>
      <c r="H92" s="167" t="str">
        <f>IF(ISNUMBER(H85),H85,"")</f>
        <v/>
      </c>
      <c r="I92" s="144"/>
      <c r="J92" s="146"/>
      <c r="K92" s="168" t="str">
        <f>IF(ISNUMBER(K85),K85,"")</f>
        <v/>
      </c>
      <c r="L92" s="148"/>
      <c r="M92" s="149"/>
    </row>
    <row r="93" spans="2:14" s="154" customFormat="1" ht="4.5" hidden="1" customHeight="1" x14ac:dyDescent="0.2">
      <c r="B93" s="150"/>
      <c r="C93" s="151"/>
      <c r="D93" s="151"/>
      <c r="E93" s="151"/>
      <c r="F93" s="151"/>
      <c r="G93" s="152"/>
      <c r="H93" s="169"/>
      <c r="I93" s="151"/>
      <c r="J93" s="152"/>
      <c r="K93" s="170"/>
      <c r="M93" s="155"/>
    </row>
    <row r="94" spans="2:14" s="2" customFormat="1" ht="25.25" hidden="1" customHeight="1" x14ac:dyDescent="0.2">
      <c r="B94" s="156">
        <v>6</v>
      </c>
      <c r="C94" s="311" t="s">
        <v>279</v>
      </c>
      <c r="D94" s="308"/>
      <c r="E94" s="308"/>
      <c r="F94" s="308"/>
      <c r="G94" s="308"/>
      <c r="H94" s="215"/>
      <c r="K94" s="215"/>
      <c r="M94" s="158"/>
      <c r="N94" s="159"/>
    </row>
    <row r="95" spans="2:14" s="2" customFormat="1" ht="25.25" hidden="1" customHeight="1" x14ac:dyDescent="0.2">
      <c r="B95" s="160">
        <v>7</v>
      </c>
      <c r="C95" s="311" t="s">
        <v>280</v>
      </c>
      <c r="D95" s="308"/>
      <c r="E95" s="308"/>
      <c r="F95" s="308"/>
      <c r="G95" s="308"/>
      <c r="H95" s="215"/>
      <c r="K95" s="215"/>
      <c r="M95" s="158"/>
      <c r="N95" s="159"/>
    </row>
    <row r="96" spans="2:14" s="2" customFormat="1" ht="25.25" hidden="1" customHeight="1" x14ac:dyDescent="0.2">
      <c r="B96" s="160">
        <v>8</v>
      </c>
      <c r="C96" s="312" t="s">
        <v>281</v>
      </c>
      <c r="D96" s="308"/>
      <c r="E96" s="308"/>
      <c r="F96" s="308"/>
      <c r="G96" s="313"/>
      <c r="H96" s="215"/>
      <c r="K96" s="215"/>
      <c r="M96" s="158"/>
      <c r="N96" s="159"/>
    </row>
    <row r="97" spans="2:13" s="2" customFormat="1" ht="29.5" hidden="1" customHeight="1" x14ac:dyDescent="0.2">
      <c r="B97" s="160">
        <v>9</v>
      </c>
      <c r="C97" s="162" t="s">
        <v>282</v>
      </c>
      <c r="D97" s="163"/>
      <c r="E97" s="163"/>
      <c r="F97" s="163"/>
      <c r="G97" s="164"/>
      <c r="H97" s="218">
        <f>SUM(H94:H96)</f>
        <v>0</v>
      </c>
      <c r="I97" s="165"/>
      <c r="J97" s="165"/>
      <c r="K97" s="218">
        <f>SUM(K94:K96)</f>
        <v>0</v>
      </c>
      <c r="L97" s="165"/>
      <c r="M97" s="166"/>
    </row>
    <row r="98" spans="2:13" s="2" customFormat="1" ht="21" hidden="1" customHeight="1" x14ac:dyDescent="0.2"/>
    <row r="99" spans="2:13" s="2" customFormat="1" ht="28.25" hidden="1" customHeight="1" x14ac:dyDescent="0.2">
      <c r="B99" s="142" t="s">
        <v>283</v>
      </c>
      <c r="C99" s="144"/>
      <c r="D99" s="144"/>
      <c r="E99" s="144"/>
      <c r="F99" s="144"/>
      <c r="G99" s="146"/>
      <c r="H99" s="168" t="str">
        <f>IF(ISNUMBER(H85),H85,"")</f>
        <v/>
      </c>
      <c r="I99" s="144"/>
      <c r="J99" s="146"/>
      <c r="K99" s="167" t="str">
        <f>IF(ISNUMBER(K85),K85,"")</f>
        <v/>
      </c>
      <c r="L99" s="148"/>
      <c r="M99" s="149"/>
    </row>
    <row r="100" spans="2:13" s="2" customFormat="1" ht="29.5" hidden="1" customHeight="1" x14ac:dyDescent="0.2">
      <c r="B100" s="156"/>
      <c r="C100" s="314" t="s">
        <v>284</v>
      </c>
      <c r="D100" s="315"/>
      <c r="E100" s="315"/>
      <c r="F100" s="315"/>
      <c r="G100" s="315"/>
      <c r="H100" s="217">
        <f>H91</f>
        <v>0</v>
      </c>
      <c r="K100" s="217">
        <f>K91</f>
        <v>0</v>
      </c>
      <c r="M100" s="158"/>
    </row>
    <row r="101" spans="2:13" s="2" customFormat="1" ht="29.5" hidden="1" customHeight="1" x14ac:dyDescent="0.2">
      <c r="B101" s="160"/>
      <c r="C101" s="307" t="s">
        <v>285</v>
      </c>
      <c r="D101" s="308"/>
      <c r="E101" s="308"/>
      <c r="F101" s="308"/>
      <c r="G101" s="308"/>
      <c r="H101" s="217">
        <f>H97</f>
        <v>0</v>
      </c>
      <c r="K101" s="217">
        <f>K97</f>
        <v>0</v>
      </c>
      <c r="M101" s="158"/>
    </row>
    <row r="102" spans="2:13" s="2" customFormat="1" ht="29.5" hidden="1" customHeight="1" x14ac:dyDescent="0.2">
      <c r="B102" s="160"/>
      <c r="C102" s="316" t="s">
        <v>286</v>
      </c>
      <c r="D102" s="317"/>
      <c r="E102" s="317"/>
      <c r="F102" s="317"/>
      <c r="G102" s="317"/>
      <c r="H102" s="219" t="str">
        <f>IFERROR(H100/H101,"N/A")</f>
        <v>N/A</v>
      </c>
      <c r="I102" s="165"/>
      <c r="J102" s="165"/>
      <c r="K102" s="219" t="str">
        <f>IFERROR(K100/K101,"N/A")</f>
        <v>N/A</v>
      </c>
      <c r="L102" s="165"/>
      <c r="M102" s="166"/>
    </row>
    <row r="103" spans="2:13" s="2" customFormat="1" ht="21" hidden="1" customHeight="1" x14ac:dyDescent="0.2">
      <c r="H103" s="171"/>
      <c r="K103" s="171"/>
    </row>
    <row r="104" spans="2:13" s="2" customFormat="1" ht="28.25" hidden="1" customHeight="1" x14ac:dyDescent="0.2">
      <c r="B104" s="142" t="s">
        <v>287</v>
      </c>
      <c r="C104" s="144"/>
      <c r="D104" s="144"/>
      <c r="E104" s="144"/>
      <c r="F104" s="144"/>
      <c r="G104" s="146"/>
      <c r="H104" s="168" t="str">
        <f>IF(ISNUMBER(H85),H85,"")</f>
        <v/>
      </c>
      <c r="I104" s="144"/>
      <c r="J104" s="146"/>
      <c r="K104" s="168" t="str">
        <f>IF(ISNUMBER(K85),K85,"")</f>
        <v/>
      </c>
      <c r="L104" s="148"/>
      <c r="M104" s="149"/>
    </row>
    <row r="105" spans="2:13" s="2" customFormat="1" ht="29.5" hidden="1" customHeight="1" x14ac:dyDescent="0.2">
      <c r="B105" s="156"/>
      <c r="C105" s="305" t="s">
        <v>288</v>
      </c>
      <c r="D105" s="306"/>
      <c r="E105" s="306"/>
      <c r="F105" s="306"/>
      <c r="G105" s="306"/>
      <c r="H105" s="217">
        <f>H87+H88+H90</f>
        <v>0</v>
      </c>
      <c r="K105" s="217">
        <f>K87+K88+K90</f>
        <v>0</v>
      </c>
      <c r="M105" s="158"/>
    </row>
    <row r="106" spans="2:13" s="2" customFormat="1" ht="29.5" hidden="1" customHeight="1" x14ac:dyDescent="0.2">
      <c r="B106" s="160"/>
      <c r="C106" s="307" t="s">
        <v>285</v>
      </c>
      <c r="D106" s="308"/>
      <c r="E106" s="308"/>
      <c r="F106" s="308"/>
      <c r="G106" s="308"/>
      <c r="H106" s="217">
        <f>H97</f>
        <v>0</v>
      </c>
      <c r="K106" s="217">
        <f>K97</f>
        <v>0</v>
      </c>
      <c r="M106" s="158"/>
    </row>
    <row r="107" spans="2:13" s="2" customFormat="1" ht="29.5" hidden="1" customHeight="1" x14ac:dyDescent="0.2">
      <c r="B107" s="160"/>
      <c r="C107" s="309" t="s">
        <v>289</v>
      </c>
      <c r="D107" s="310"/>
      <c r="E107" s="310"/>
      <c r="F107" s="310"/>
      <c r="G107" s="310"/>
      <c r="H107" s="219" t="str">
        <f>IFERROR(H105/H106,"N/A")</f>
        <v>N/A</v>
      </c>
      <c r="I107" s="165"/>
      <c r="J107" s="165"/>
      <c r="K107" s="219" t="str">
        <f>IFERROR(K105/K106,"N/A")</f>
        <v>N/A</v>
      </c>
      <c r="L107" s="165"/>
      <c r="M107" s="166"/>
    </row>
    <row r="108" spans="2:13" s="2" customFormat="1" ht="14" customHeight="1" x14ac:dyDescent="0.2"/>
    <row r="109" spans="2:13" s="2" customFormat="1" ht="27" customHeight="1" x14ac:dyDescent="0.2">
      <c r="B109" s="319" t="s">
        <v>564</v>
      </c>
      <c r="C109" s="320"/>
      <c r="D109" s="137"/>
      <c r="E109" s="138" t="s">
        <v>270</v>
      </c>
      <c r="F109" s="321"/>
      <c r="G109" s="322"/>
      <c r="H109" s="323"/>
      <c r="I109" s="139"/>
      <c r="J109" s="140" t="s">
        <v>271</v>
      </c>
      <c r="K109" s="141"/>
      <c r="L109" s="324" t="s">
        <v>272</v>
      </c>
      <c r="M109" s="325"/>
    </row>
    <row r="110" spans="2:13" s="2" customFormat="1" ht="6" hidden="1" customHeight="1" x14ac:dyDescent="0.2"/>
    <row r="111" spans="2:13" s="2" customFormat="1" ht="28.25" hidden="1" customHeight="1" x14ac:dyDescent="0.2">
      <c r="B111" s="142" t="s">
        <v>273</v>
      </c>
      <c r="C111" s="143"/>
      <c r="D111" s="144"/>
      <c r="E111" s="144"/>
      <c r="F111" s="145" t="s">
        <v>536</v>
      </c>
      <c r="G111" s="146"/>
      <c r="H111" s="147"/>
      <c r="I111" s="144"/>
      <c r="J111" s="146"/>
      <c r="K111" s="147"/>
      <c r="L111" s="148"/>
      <c r="M111" s="149"/>
    </row>
    <row r="112" spans="2:13" s="154" customFormat="1" ht="4.5" hidden="1" customHeight="1" x14ac:dyDescent="0.2">
      <c r="B112" s="150"/>
      <c r="C112" s="151"/>
      <c r="D112" s="151"/>
      <c r="E112" s="151"/>
      <c r="F112" s="151"/>
      <c r="G112" s="152"/>
      <c r="H112" s="153"/>
      <c r="I112" s="151"/>
      <c r="J112" s="152"/>
      <c r="K112" s="153"/>
      <c r="M112" s="155"/>
    </row>
    <row r="113" spans="2:14" s="2" customFormat="1" ht="25.25" hidden="1" customHeight="1" x14ac:dyDescent="0.2">
      <c r="B113" s="156">
        <v>1</v>
      </c>
      <c r="C113" s="311" t="s">
        <v>274</v>
      </c>
      <c r="D113" s="308"/>
      <c r="E113" s="308"/>
      <c r="F113" s="308"/>
      <c r="G113" s="308"/>
      <c r="H113" s="215"/>
      <c r="K113" s="215"/>
      <c r="M113" s="158"/>
      <c r="N113" s="159"/>
    </row>
    <row r="114" spans="2:14" s="2" customFormat="1" ht="25.25" hidden="1" customHeight="1" x14ac:dyDescent="0.2">
      <c r="B114" s="160">
        <v>2</v>
      </c>
      <c r="C114" s="311" t="s">
        <v>275</v>
      </c>
      <c r="D114" s="308"/>
      <c r="E114" s="308"/>
      <c r="F114" s="308"/>
      <c r="G114" s="308"/>
      <c r="H114" s="216"/>
      <c r="K114" s="216"/>
      <c r="M114" s="158"/>
      <c r="N114" s="159"/>
    </row>
    <row r="115" spans="2:14" s="2" customFormat="1" ht="25.25" hidden="1" customHeight="1" x14ac:dyDescent="0.2">
      <c r="B115" s="160">
        <v>3</v>
      </c>
      <c r="C115" s="311" t="s">
        <v>276</v>
      </c>
      <c r="D115" s="308"/>
      <c r="E115" s="308"/>
      <c r="F115" s="308"/>
      <c r="G115" s="308"/>
      <c r="H115" s="216"/>
      <c r="K115" s="216"/>
      <c r="M115" s="158"/>
      <c r="N115" s="159"/>
    </row>
    <row r="116" spans="2:14" s="2" customFormat="1" ht="25.25" hidden="1" customHeight="1" x14ac:dyDescent="0.2">
      <c r="B116" s="160">
        <v>4</v>
      </c>
      <c r="C116" s="157" t="s">
        <v>196</v>
      </c>
      <c r="D116" s="318"/>
      <c r="E116" s="318"/>
      <c r="F116" s="318"/>
      <c r="G116" s="161"/>
      <c r="H116" s="216"/>
      <c r="K116" s="216"/>
      <c r="M116" s="158"/>
      <c r="N116" s="159"/>
    </row>
    <row r="117" spans="2:14" s="2" customFormat="1" ht="29.5" hidden="1" customHeight="1" x14ac:dyDescent="0.2">
      <c r="B117" s="160">
        <v>5</v>
      </c>
      <c r="C117" s="162" t="s">
        <v>277</v>
      </c>
      <c r="D117" s="163"/>
      <c r="E117" s="163"/>
      <c r="F117" s="163"/>
      <c r="G117" s="164"/>
      <c r="H117" s="217">
        <f>SUM(H113:H116)</f>
        <v>0</v>
      </c>
      <c r="I117" s="165"/>
      <c r="J117" s="165"/>
      <c r="K117" s="217">
        <f>SUM(K113:K116)</f>
        <v>0</v>
      </c>
      <c r="L117" s="165"/>
      <c r="M117" s="166"/>
    </row>
    <row r="118" spans="2:14" s="2" customFormat="1" ht="28.25" hidden="1" customHeight="1" x14ac:dyDescent="0.2">
      <c r="B118" s="142" t="s">
        <v>278</v>
      </c>
      <c r="C118" s="144"/>
      <c r="D118" s="143"/>
      <c r="E118" s="144"/>
      <c r="F118" s="144"/>
      <c r="G118" s="146"/>
      <c r="H118" s="167" t="str">
        <f>IF(ISNUMBER(H111),H111,"")</f>
        <v/>
      </c>
      <c r="I118" s="144"/>
      <c r="J118" s="146"/>
      <c r="K118" s="168" t="str">
        <f>IF(ISNUMBER(K111),K111,"")</f>
        <v/>
      </c>
      <c r="L118" s="148"/>
      <c r="M118" s="149"/>
    </row>
    <row r="119" spans="2:14" s="154" customFormat="1" ht="4.5" hidden="1" customHeight="1" x14ac:dyDescent="0.2">
      <c r="B119" s="150"/>
      <c r="C119" s="151"/>
      <c r="D119" s="151"/>
      <c r="E119" s="151"/>
      <c r="F119" s="151"/>
      <c r="G119" s="152"/>
      <c r="H119" s="169"/>
      <c r="I119" s="151"/>
      <c r="J119" s="152"/>
      <c r="K119" s="170"/>
      <c r="M119" s="155"/>
    </row>
    <row r="120" spans="2:14" s="2" customFormat="1" ht="25.25" hidden="1" customHeight="1" x14ac:dyDescent="0.2">
      <c r="B120" s="156">
        <v>6</v>
      </c>
      <c r="C120" s="311" t="s">
        <v>279</v>
      </c>
      <c r="D120" s="308"/>
      <c r="E120" s="308"/>
      <c r="F120" s="308"/>
      <c r="G120" s="308"/>
      <c r="H120" s="215"/>
      <c r="K120" s="215"/>
      <c r="M120" s="158"/>
      <c r="N120" s="159"/>
    </row>
    <row r="121" spans="2:14" s="2" customFormat="1" ht="25.25" hidden="1" customHeight="1" x14ac:dyDescent="0.2">
      <c r="B121" s="160">
        <v>7</v>
      </c>
      <c r="C121" s="311" t="s">
        <v>280</v>
      </c>
      <c r="D121" s="308"/>
      <c r="E121" s="308"/>
      <c r="F121" s="308"/>
      <c r="G121" s="308"/>
      <c r="H121" s="215"/>
      <c r="K121" s="215"/>
      <c r="M121" s="158"/>
      <c r="N121" s="159"/>
    </row>
    <row r="122" spans="2:14" s="2" customFormat="1" ht="25.25" hidden="1" customHeight="1" x14ac:dyDescent="0.2">
      <c r="B122" s="160">
        <v>8</v>
      </c>
      <c r="C122" s="312" t="s">
        <v>281</v>
      </c>
      <c r="D122" s="308"/>
      <c r="E122" s="308"/>
      <c r="F122" s="308"/>
      <c r="G122" s="313"/>
      <c r="H122" s="215"/>
      <c r="K122" s="215"/>
      <c r="M122" s="158"/>
      <c r="N122" s="159"/>
    </row>
    <row r="123" spans="2:14" s="2" customFormat="1" ht="29.5" hidden="1" customHeight="1" x14ac:dyDescent="0.2">
      <c r="B123" s="160">
        <v>9</v>
      </c>
      <c r="C123" s="162" t="s">
        <v>282</v>
      </c>
      <c r="D123" s="163"/>
      <c r="E123" s="163"/>
      <c r="F123" s="163"/>
      <c r="G123" s="164"/>
      <c r="H123" s="218">
        <f>SUM(H120:H122)</f>
        <v>0</v>
      </c>
      <c r="I123" s="165"/>
      <c r="J123" s="165"/>
      <c r="K123" s="218">
        <f>SUM(K120:K122)</f>
        <v>0</v>
      </c>
      <c r="L123" s="165"/>
      <c r="M123" s="166"/>
    </row>
    <row r="124" spans="2:14" s="2" customFormat="1" ht="21" hidden="1" customHeight="1" x14ac:dyDescent="0.2"/>
    <row r="125" spans="2:14" s="2" customFormat="1" ht="28.25" hidden="1" customHeight="1" x14ac:dyDescent="0.2">
      <c r="B125" s="142" t="s">
        <v>283</v>
      </c>
      <c r="C125" s="144"/>
      <c r="D125" s="144"/>
      <c r="E125" s="144"/>
      <c r="F125" s="144"/>
      <c r="G125" s="146"/>
      <c r="H125" s="168" t="str">
        <f>IF(ISNUMBER(H111),H111,"")</f>
        <v/>
      </c>
      <c r="I125" s="144"/>
      <c r="J125" s="146"/>
      <c r="K125" s="167" t="str">
        <f>IF(ISNUMBER(K111),K111,"")</f>
        <v/>
      </c>
      <c r="L125" s="148"/>
      <c r="M125" s="149"/>
    </row>
    <row r="126" spans="2:14" s="2" customFormat="1" ht="29.5" hidden="1" customHeight="1" x14ac:dyDescent="0.2">
      <c r="B126" s="156"/>
      <c r="C126" s="314" t="s">
        <v>284</v>
      </c>
      <c r="D126" s="315"/>
      <c r="E126" s="315"/>
      <c r="F126" s="315"/>
      <c r="G126" s="315"/>
      <c r="H126" s="217">
        <f>H117</f>
        <v>0</v>
      </c>
      <c r="K126" s="217">
        <f>K117</f>
        <v>0</v>
      </c>
      <c r="M126" s="158"/>
    </row>
    <row r="127" spans="2:14" s="2" customFormat="1" ht="29.5" hidden="1" customHeight="1" x14ac:dyDescent="0.2">
      <c r="B127" s="160"/>
      <c r="C127" s="307" t="s">
        <v>285</v>
      </c>
      <c r="D127" s="308"/>
      <c r="E127" s="308"/>
      <c r="F127" s="308"/>
      <c r="G127" s="308"/>
      <c r="H127" s="217">
        <f>H123</f>
        <v>0</v>
      </c>
      <c r="K127" s="217">
        <f>K123</f>
        <v>0</v>
      </c>
      <c r="M127" s="158"/>
    </row>
    <row r="128" spans="2:14" s="2" customFormat="1" ht="29.5" hidden="1" customHeight="1" x14ac:dyDescent="0.2">
      <c r="B128" s="160"/>
      <c r="C128" s="316" t="s">
        <v>286</v>
      </c>
      <c r="D128" s="317"/>
      <c r="E128" s="317"/>
      <c r="F128" s="317"/>
      <c r="G128" s="317"/>
      <c r="H128" s="219" t="str">
        <f>IFERROR(H126/H127,"N/A")</f>
        <v>N/A</v>
      </c>
      <c r="I128" s="165"/>
      <c r="J128" s="165"/>
      <c r="K128" s="219" t="str">
        <f>IFERROR(K126/K127,"N/A")</f>
        <v>N/A</v>
      </c>
      <c r="L128" s="165"/>
      <c r="M128" s="166"/>
    </row>
    <row r="129" spans="2:14" s="2" customFormat="1" ht="21" hidden="1" customHeight="1" x14ac:dyDescent="0.2">
      <c r="H129" s="171"/>
      <c r="K129" s="171"/>
    </row>
    <row r="130" spans="2:14" s="2" customFormat="1" ht="28.25" hidden="1" customHeight="1" x14ac:dyDescent="0.2">
      <c r="B130" s="142" t="s">
        <v>287</v>
      </c>
      <c r="C130" s="144"/>
      <c r="D130" s="144"/>
      <c r="E130" s="144"/>
      <c r="F130" s="144"/>
      <c r="G130" s="146"/>
      <c r="H130" s="168" t="str">
        <f>IF(ISNUMBER(H111),H111,"")</f>
        <v/>
      </c>
      <c r="I130" s="144"/>
      <c r="J130" s="146"/>
      <c r="K130" s="168" t="str">
        <f>IF(ISNUMBER(K111),K111,"")</f>
        <v/>
      </c>
      <c r="L130" s="148"/>
      <c r="M130" s="149"/>
    </row>
    <row r="131" spans="2:14" s="2" customFormat="1" ht="29.5" hidden="1" customHeight="1" x14ac:dyDescent="0.2">
      <c r="B131" s="156"/>
      <c r="C131" s="305" t="s">
        <v>288</v>
      </c>
      <c r="D131" s="306"/>
      <c r="E131" s="306"/>
      <c r="F131" s="306"/>
      <c r="G131" s="306"/>
      <c r="H131" s="217">
        <f>H113+H114+H116</f>
        <v>0</v>
      </c>
      <c r="K131" s="217">
        <f>K113+K114+K116</f>
        <v>0</v>
      </c>
      <c r="M131" s="158"/>
    </row>
    <row r="132" spans="2:14" s="2" customFormat="1" ht="29.5" hidden="1" customHeight="1" x14ac:dyDescent="0.2">
      <c r="B132" s="160"/>
      <c r="C132" s="307" t="s">
        <v>285</v>
      </c>
      <c r="D132" s="308"/>
      <c r="E132" s="308"/>
      <c r="F132" s="308"/>
      <c r="G132" s="308"/>
      <c r="H132" s="217">
        <f>H123</f>
        <v>0</v>
      </c>
      <c r="K132" s="217">
        <f>K123</f>
        <v>0</v>
      </c>
      <c r="M132" s="158"/>
    </row>
    <row r="133" spans="2:14" s="2" customFormat="1" ht="29.5" hidden="1" customHeight="1" x14ac:dyDescent="0.2">
      <c r="B133" s="160"/>
      <c r="C133" s="309" t="s">
        <v>289</v>
      </c>
      <c r="D133" s="310"/>
      <c r="E133" s="310"/>
      <c r="F133" s="310"/>
      <c r="G133" s="310"/>
      <c r="H133" s="219" t="str">
        <f>IFERROR(H131/H132,"N/A")</f>
        <v>N/A</v>
      </c>
      <c r="I133" s="165"/>
      <c r="J133" s="165"/>
      <c r="K133" s="219" t="str">
        <f>IFERROR(K131/K132,"N/A")</f>
        <v>N/A</v>
      </c>
      <c r="L133" s="165"/>
      <c r="M133" s="166"/>
    </row>
    <row r="134" spans="2:14" s="2" customFormat="1" ht="14" customHeight="1" x14ac:dyDescent="0.2"/>
    <row r="135" spans="2:14" s="2" customFormat="1" ht="27" customHeight="1" x14ac:dyDescent="0.2">
      <c r="B135" s="319" t="s">
        <v>564</v>
      </c>
      <c r="C135" s="320"/>
      <c r="D135" s="137"/>
      <c r="E135" s="138" t="s">
        <v>270</v>
      </c>
      <c r="F135" s="321"/>
      <c r="G135" s="322"/>
      <c r="H135" s="323"/>
      <c r="I135" s="139"/>
      <c r="J135" s="140" t="s">
        <v>271</v>
      </c>
      <c r="K135" s="141"/>
      <c r="L135" s="324" t="s">
        <v>272</v>
      </c>
      <c r="M135" s="325"/>
    </row>
    <row r="136" spans="2:14" s="2" customFormat="1" ht="6" hidden="1" customHeight="1" x14ac:dyDescent="0.2"/>
    <row r="137" spans="2:14" s="2" customFormat="1" ht="28.25" hidden="1" customHeight="1" x14ac:dyDescent="0.2">
      <c r="B137" s="142" t="s">
        <v>273</v>
      </c>
      <c r="C137" s="143"/>
      <c r="D137" s="144"/>
      <c r="E137" s="144"/>
      <c r="F137" s="145" t="s">
        <v>536</v>
      </c>
      <c r="G137" s="146"/>
      <c r="H137" s="147"/>
      <c r="I137" s="144"/>
      <c r="J137" s="146"/>
      <c r="K137" s="147"/>
      <c r="L137" s="148"/>
      <c r="M137" s="149"/>
    </row>
    <row r="138" spans="2:14" s="154" customFormat="1" ht="4.5" hidden="1" customHeight="1" x14ac:dyDescent="0.2">
      <c r="B138" s="150"/>
      <c r="C138" s="151"/>
      <c r="D138" s="151"/>
      <c r="E138" s="151"/>
      <c r="F138" s="151"/>
      <c r="G138" s="152"/>
      <c r="H138" s="153"/>
      <c r="I138" s="151"/>
      <c r="J138" s="152"/>
      <c r="K138" s="153"/>
      <c r="M138" s="155"/>
    </row>
    <row r="139" spans="2:14" s="2" customFormat="1" ht="25.25" hidden="1" customHeight="1" x14ac:dyDescent="0.2">
      <c r="B139" s="156">
        <v>1</v>
      </c>
      <c r="C139" s="311" t="s">
        <v>274</v>
      </c>
      <c r="D139" s="308"/>
      <c r="E139" s="308"/>
      <c r="F139" s="308"/>
      <c r="G139" s="308"/>
      <c r="H139" s="215"/>
      <c r="K139" s="215"/>
      <c r="M139" s="158"/>
      <c r="N139" s="159"/>
    </row>
    <row r="140" spans="2:14" s="2" customFormat="1" ht="25.25" hidden="1" customHeight="1" x14ac:dyDescent="0.2">
      <c r="B140" s="160">
        <v>2</v>
      </c>
      <c r="C140" s="311" t="s">
        <v>275</v>
      </c>
      <c r="D140" s="308"/>
      <c r="E140" s="308"/>
      <c r="F140" s="308"/>
      <c r="G140" s="308"/>
      <c r="H140" s="216"/>
      <c r="K140" s="216"/>
      <c r="M140" s="158"/>
      <c r="N140" s="159"/>
    </row>
    <row r="141" spans="2:14" s="2" customFormat="1" ht="25.25" hidden="1" customHeight="1" x14ac:dyDescent="0.2">
      <c r="B141" s="160">
        <v>3</v>
      </c>
      <c r="C141" s="311" t="s">
        <v>276</v>
      </c>
      <c r="D141" s="308"/>
      <c r="E141" s="308"/>
      <c r="F141" s="308"/>
      <c r="G141" s="308"/>
      <c r="H141" s="216"/>
      <c r="K141" s="216"/>
      <c r="M141" s="158"/>
      <c r="N141" s="159"/>
    </row>
    <row r="142" spans="2:14" s="2" customFormat="1" ht="25.25" hidden="1" customHeight="1" x14ac:dyDescent="0.2">
      <c r="B142" s="160">
        <v>4</v>
      </c>
      <c r="C142" s="157" t="s">
        <v>196</v>
      </c>
      <c r="D142" s="318"/>
      <c r="E142" s="318"/>
      <c r="F142" s="318"/>
      <c r="G142" s="161"/>
      <c r="H142" s="216"/>
      <c r="K142" s="216"/>
      <c r="M142" s="158"/>
      <c r="N142" s="159"/>
    </row>
    <row r="143" spans="2:14" s="2" customFormat="1" ht="29.5" hidden="1" customHeight="1" x14ac:dyDescent="0.2">
      <c r="B143" s="160">
        <v>5</v>
      </c>
      <c r="C143" s="162" t="s">
        <v>277</v>
      </c>
      <c r="D143" s="163"/>
      <c r="E143" s="163"/>
      <c r="F143" s="163"/>
      <c r="G143" s="164"/>
      <c r="H143" s="217">
        <f>SUM(H139:H142)</f>
        <v>0</v>
      </c>
      <c r="I143" s="165"/>
      <c r="J143" s="165"/>
      <c r="K143" s="217">
        <f>SUM(K139:K142)</f>
        <v>0</v>
      </c>
      <c r="L143" s="165"/>
      <c r="M143" s="166"/>
    </row>
    <row r="144" spans="2:14" s="2" customFormat="1" ht="28.25" hidden="1" customHeight="1" x14ac:dyDescent="0.2">
      <c r="B144" s="142" t="s">
        <v>278</v>
      </c>
      <c r="C144" s="144"/>
      <c r="D144" s="143"/>
      <c r="E144" s="144"/>
      <c r="F144" s="144"/>
      <c r="G144" s="146"/>
      <c r="H144" s="167" t="str">
        <f>IF(ISNUMBER(H137),H137,"")</f>
        <v/>
      </c>
      <c r="I144" s="144"/>
      <c r="J144" s="146"/>
      <c r="K144" s="168" t="str">
        <f>IF(ISNUMBER(K137),K137,"")</f>
        <v/>
      </c>
      <c r="L144" s="148"/>
      <c r="M144" s="149"/>
    </row>
    <row r="145" spans="2:14" s="154" customFormat="1" ht="4.5" hidden="1" customHeight="1" x14ac:dyDescent="0.2">
      <c r="B145" s="150"/>
      <c r="C145" s="151"/>
      <c r="D145" s="151"/>
      <c r="E145" s="151"/>
      <c r="F145" s="151"/>
      <c r="G145" s="152"/>
      <c r="H145" s="169"/>
      <c r="I145" s="151"/>
      <c r="J145" s="152"/>
      <c r="K145" s="170"/>
      <c r="M145" s="155"/>
    </row>
    <row r="146" spans="2:14" s="2" customFormat="1" ht="25.25" hidden="1" customHeight="1" x14ac:dyDescent="0.2">
      <c r="B146" s="156">
        <v>6</v>
      </c>
      <c r="C146" s="311" t="s">
        <v>279</v>
      </c>
      <c r="D146" s="308"/>
      <c r="E146" s="308"/>
      <c r="F146" s="308"/>
      <c r="G146" s="308"/>
      <c r="H146" s="215"/>
      <c r="K146" s="215"/>
      <c r="M146" s="158"/>
      <c r="N146" s="159"/>
    </row>
    <row r="147" spans="2:14" s="2" customFormat="1" ht="25.25" hidden="1" customHeight="1" x14ac:dyDescent="0.2">
      <c r="B147" s="160">
        <v>7</v>
      </c>
      <c r="C147" s="311" t="s">
        <v>280</v>
      </c>
      <c r="D147" s="308"/>
      <c r="E147" s="308"/>
      <c r="F147" s="308"/>
      <c r="G147" s="308"/>
      <c r="H147" s="215"/>
      <c r="K147" s="215"/>
      <c r="M147" s="158"/>
      <c r="N147" s="159"/>
    </row>
    <row r="148" spans="2:14" s="2" customFormat="1" ht="25.25" hidden="1" customHeight="1" x14ac:dyDescent="0.2">
      <c r="B148" s="160">
        <v>8</v>
      </c>
      <c r="C148" s="312" t="s">
        <v>281</v>
      </c>
      <c r="D148" s="308"/>
      <c r="E148" s="308"/>
      <c r="F148" s="308"/>
      <c r="G148" s="313"/>
      <c r="H148" s="215"/>
      <c r="K148" s="215"/>
      <c r="M148" s="158"/>
      <c r="N148" s="159"/>
    </row>
    <row r="149" spans="2:14" s="2" customFormat="1" ht="29.5" hidden="1" customHeight="1" x14ac:dyDescent="0.2">
      <c r="B149" s="160">
        <v>9</v>
      </c>
      <c r="C149" s="162" t="s">
        <v>282</v>
      </c>
      <c r="D149" s="163"/>
      <c r="E149" s="163"/>
      <c r="F149" s="163"/>
      <c r="G149" s="164"/>
      <c r="H149" s="218">
        <f>SUM(H146:H148)</f>
        <v>0</v>
      </c>
      <c r="I149" s="165"/>
      <c r="J149" s="165"/>
      <c r="K149" s="218">
        <f>SUM(K146:K148)</f>
        <v>0</v>
      </c>
      <c r="L149" s="165"/>
      <c r="M149" s="166"/>
    </row>
    <row r="150" spans="2:14" s="2" customFormat="1" ht="21" hidden="1" customHeight="1" x14ac:dyDescent="0.2"/>
    <row r="151" spans="2:14" s="2" customFormat="1" ht="28.25" hidden="1" customHeight="1" x14ac:dyDescent="0.2">
      <c r="B151" s="142" t="s">
        <v>283</v>
      </c>
      <c r="C151" s="144"/>
      <c r="D151" s="144"/>
      <c r="E151" s="144"/>
      <c r="F151" s="144"/>
      <c r="G151" s="146"/>
      <c r="H151" s="168" t="str">
        <f>IF(ISNUMBER(H137),H137,"")</f>
        <v/>
      </c>
      <c r="I151" s="144"/>
      <c r="J151" s="146"/>
      <c r="K151" s="167" t="str">
        <f>IF(ISNUMBER(K137),K137,"")</f>
        <v/>
      </c>
      <c r="L151" s="148"/>
      <c r="M151" s="149"/>
    </row>
    <row r="152" spans="2:14" s="2" customFormat="1" ht="29.5" hidden="1" customHeight="1" x14ac:dyDescent="0.2">
      <c r="B152" s="156"/>
      <c r="C152" s="314" t="s">
        <v>284</v>
      </c>
      <c r="D152" s="315"/>
      <c r="E152" s="315"/>
      <c r="F152" s="315"/>
      <c r="G152" s="315"/>
      <c r="H152" s="217">
        <f>H143</f>
        <v>0</v>
      </c>
      <c r="K152" s="217">
        <f>K143</f>
        <v>0</v>
      </c>
      <c r="M152" s="158"/>
    </row>
    <row r="153" spans="2:14" s="2" customFormat="1" ht="29.5" hidden="1" customHeight="1" x14ac:dyDescent="0.2">
      <c r="B153" s="160"/>
      <c r="C153" s="307" t="s">
        <v>285</v>
      </c>
      <c r="D153" s="308"/>
      <c r="E153" s="308"/>
      <c r="F153" s="308"/>
      <c r="G153" s="308"/>
      <c r="H153" s="217">
        <f>H149</f>
        <v>0</v>
      </c>
      <c r="K153" s="217">
        <f>K149</f>
        <v>0</v>
      </c>
      <c r="M153" s="158"/>
    </row>
    <row r="154" spans="2:14" s="2" customFormat="1" ht="29.5" hidden="1" customHeight="1" x14ac:dyDescent="0.2">
      <c r="B154" s="160"/>
      <c r="C154" s="316" t="s">
        <v>286</v>
      </c>
      <c r="D154" s="317"/>
      <c r="E154" s="317"/>
      <c r="F154" s="317"/>
      <c r="G154" s="317"/>
      <c r="H154" s="219" t="str">
        <f>IFERROR(H152/H153,"N/A")</f>
        <v>N/A</v>
      </c>
      <c r="I154" s="165"/>
      <c r="J154" s="165"/>
      <c r="K154" s="219" t="str">
        <f>IFERROR(K152/K153,"N/A")</f>
        <v>N/A</v>
      </c>
      <c r="L154" s="165"/>
      <c r="M154" s="166"/>
    </row>
    <row r="155" spans="2:14" s="2" customFormat="1" ht="21" hidden="1" customHeight="1" x14ac:dyDescent="0.2">
      <c r="H155" s="171"/>
      <c r="K155" s="171"/>
    </row>
    <row r="156" spans="2:14" s="2" customFormat="1" ht="28.25" hidden="1" customHeight="1" x14ac:dyDescent="0.2">
      <c r="B156" s="142" t="s">
        <v>287</v>
      </c>
      <c r="C156" s="144"/>
      <c r="D156" s="144"/>
      <c r="E156" s="144"/>
      <c r="F156" s="144"/>
      <c r="G156" s="146"/>
      <c r="H156" s="168" t="str">
        <f>IF(ISNUMBER(H137),H137,"")</f>
        <v/>
      </c>
      <c r="I156" s="144"/>
      <c r="J156" s="146"/>
      <c r="K156" s="168" t="str">
        <f>IF(ISNUMBER(K137),K137,"")</f>
        <v/>
      </c>
      <c r="L156" s="148"/>
      <c r="M156" s="149"/>
    </row>
    <row r="157" spans="2:14" s="2" customFormat="1" ht="29.5" hidden="1" customHeight="1" x14ac:dyDescent="0.2">
      <c r="B157" s="156"/>
      <c r="C157" s="305" t="s">
        <v>288</v>
      </c>
      <c r="D157" s="306"/>
      <c r="E157" s="306"/>
      <c r="F157" s="306"/>
      <c r="G157" s="306"/>
      <c r="H157" s="217">
        <f>H139+H140+H142</f>
        <v>0</v>
      </c>
      <c r="K157" s="217">
        <f>K139+K140+K142</f>
        <v>0</v>
      </c>
      <c r="M157" s="158"/>
    </row>
    <row r="158" spans="2:14" s="2" customFormat="1" ht="29.5" hidden="1" customHeight="1" x14ac:dyDescent="0.2">
      <c r="B158" s="160"/>
      <c r="C158" s="307" t="s">
        <v>285</v>
      </c>
      <c r="D158" s="308"/>
      <c r="E158" s="308"/>
      <c r="F158" s="308"/>
      <c r="G158" s="308"/>
      <c r="H158" s="217">
        <f>H149</f>
        <v>0</v>
      </c>
      <c r="K158" s="217">
        <f>K149</f>
        <v>0</v>
      </c>
      <c r="M158" s="158"/>
    </row>
    <row r="159" spans="2:14" s="2" customFormat="1" ht="29.5" hidden="1" customHeight="1" x14ac:dyDescent="0.2">
      <c r="B159" s="160"/>
      <c r="C159" s="309" t="s">
        <v>289</v>
      </c>
      <c r="D159" s="310"/>
      <c r="E159" s="310"/>
      <c r="F159" s="310"/>
      <c r="G159" s="310"/>
      <c r="H159" s="219" t="str">
        <f>IFERROR(H157/H158,"N/A")</f>
        <v>N/A</v>
      </c>
      <c r="I159" s="165"/>
      <c r="J159" s="165"/>
      <c r="K159" s="219" t="str">
        <f>IFERROR(K157/K158,"N/A")</f>
        <v>N/A</v>
      </c>
      <c r="L159" s="165"/>
      <c r="M159" s="166"/>
    </row>
    <row r="160" spans="2:14" s="2" customFormat="1" ht="14" customHeight="1" x14ac:dyDescent="0.2"/>
    <row r="161" spans="2:14" s="2" customFormat="1" ht="27" customHeight="1" x14ac:dyDescent="0.2">
      <c r="B161" s="319" t="s">
        <v>564</v>
      </c>
      <c r="C161" s="320"/>
      <c r="D161" s="137"/>
      <c r="E161" s="138" t="s">
        <v>270</v>
      </c>
      <c r="F161" s="321"/>
      <c r="G161" s="322"/>
      <c r="H161" s="323"/>
      <c r="I161" s="139"/>
      <c r="J161" s="140" t="s">
        <v>271</v>
      </c>
      <c r="K161" s="141"/>
      <c r="L161" s="324" t="s">
        <v>272</v>
      </c>
      <c r="M161" s="325"/>
    </row>
    <row r="162" spans="2:14" s="2" customFormat="1" ht="6" hidden="1" customHeight="1" x14ac:dyDescent="0.2"/>
    <row r="163" spans="2:14" s="2" customFormat="1" ht="28.25" hidden="1" customHeight="1" x14ac:dyDescent="0.2">
      <c r="B163" s="142" t="s">
        <v>273</v>
      </c>
      <c r="C163" s="143"/>
      <c r="D163" s="144"/>
      <c r="E163" s="144"/>
      <c r="F163" s="145" t="s">
        <v>536</v>
      </c>
      <c r="G163" s="146"/>
      <c r="H163" s="147"/>
      <c r="I163" s="144"/>
      <c r="J163" s="146"/>
      <c r="K163" s="147"/>
      <c r="L163" s="148"/>
      <c r="M163" s="149"/>
    </row>
    <row r="164" spans="2:14" s="154" customFormat="1" ht="4.5" hidden="1" customHeight="1" x14ac:dyDescent="0.2">
      <c r="B164" s="150"/>
      <c r="C164" s="151"/>
      <c r="D164" s="151"/>
      <c r="E164" s="151"/>
      <c r="F164" s="151"/>
      <c r="G164" s="152"/>
      <c r="H164" s="153"/>
      <c r="I164" s="151"/>
      <c r="J164" s="152"/>
      <c r="K164" s="153"/>
      <c r="M164" s="155"/>
    </row>
    <row r="165" spans="2:14" s="2" customFormat="1" ht="25.25" hidden="1" customHeight="1" x14ac:dyDescent="0.2">
      <c r="B165" s="156">
        <v>1</v>
      </c>
      <c r="C165" s="311" t="s">
        <v>274</v>
      </c>
      <c r="D165" s="308"/>
      <c r="E165" s="308"/>
      <c r="F165" s="308"/>
      <c r="G165" s="308"/>
      <c r="H165" s="215"/>
      <c r="K165" s="215"/>
      <c r="M165" s="158"/>
      <c r="N165" s="159"/>
    </row>
    <row r="166" spans="2:14" s="2" customFormat="1" ht="25.25" hidden="1" customHeight="1" x14ac:dyDescent="0.2">
      <c r="B166" s="160">
        <v>2</v>
      </c>
      <c r="C166" s="311" t="s">
        <v>275</v>
      </c>
      <c r="D166" s="308"/>
      <c r="E166" s="308"/>
      <c r="F166" s="308"/>
      <c r="G166" s="308"/>
      <c r="H166" s="216"/>
      <c r="K166" s="216"/>
      <c r="M166" s="158"/>
      <c r="N166" s="159"/>
    </row>
    <row r="167" spans="2:14" s="2" customFormat="1" ht="25.25" hidden="1" customHeight="1" x14ac:dyDescent="0.2">
      <c r="B167" s="160">
        <v>3</v>
      </c>
      <c r="C167" s="311" t="s">
        <v>276</v>
      </c>
      <c r="D167" s="308"/>
      <c r="E167" s="308"/>
      <c r="F167" s="308"/>
      <c r="G167" s="308"/>
      <c r="H167" s="216"/>
      <c r="K167" s="216"/>
      <c r="M167" s="158"/>
      <c r="N167" s="159"/>
    </row>
    <row r="168" spans="2:14" s="2" customFormat="1" ht="25.25" hidden="1" customHeight="1" x14ac:dyDescent="0.2">
      <c r="B168" s="160">
        <v>4</v>
      </c>
      <c r="C168" s="157" t="s">
        <v>196</v>
      </c>
      <c r="D168" s="318"/>
      <c r="E168" s="318"/>
      <c r="F168" s="318"/>
      <c r="G168" s="161"/>
      <c r="H168" s="216"/>
      <c r="K168" s="216"/>
      <c r="M168" s="158"/>
      <c r="N168" s="159"/>
    </row>
    <row r="169" spans="2:14" s="2" customFormat="1" ht="29.5" hidden="1" customHeight="1" x14ac:dyDescent="0.2">
      <c r="B169" s="160">
        <v>5</v>
      </c>
      <c r="C169" s="162" t="s">
        <v>277</v>
      </c>
      <c r="D169" s="163"/>
      <c r="E169" s="163"/>
      <c r="F169" s="163"/>
      <c r="G169" s="164"/>
      <c r="H169" s="217">
        <f>SUM(H165:H168)</f>
        <v>0</v>
      </c>
      <c r="I169" s="165"/>
      <c r="J169" s="165"/>
      <c r="K169" s="217">
        <f>SUM(K165:K168)</f>
        <v>0</v>
      </c>
      <c r="L169" s="165"/>
      <c r="M169" s="166"/>
    </row>
    <row r="170" spans="2:14" s="2" customFormat="1" ht="28.25" hidden="1" customHeight="1" x14ac:dyDescent="0.2">
      <c r="B170" s="142" t="s">
        <v>278</v>
      </c>
      <c r="C170" s="144"/>
      <c r="D170" s="143"/>
      <c r="E170" s="144"/>
      <c r="F170" s="144"/>
      <c r="G170" s="146"/>
      <c r="H170" s="167" t="str">
        <f>IF(ISNUMBER(H163),H163,"")</f>
        <v/>
      </c>
      <c r="I170" s="144"/>
      <c r="J170" s="146"/>
      <c r="K170" s="168" t="str">
        <f>IF(ISNUMBER(K163),K163,"")</f>
        <v/>
      </c>
      <c r="L170" s="148"/>
      <c r="M170" s="149"/>
    </row>
    <row r="171" spans="2:14" s="154" customFormat="1" ht="4.5" hidden="1" customHeight="1" x14ac:dyDescent="0.2">
      <c r="B171" s="150"/>
      <c r="C171" s="151"/>
      <c r="D171" s="151"/>
      <c r="E171" s="151"/>
      <c r="F171" s="151"/>
      <c r="G171" s="152"/>
      <c r="H171" s="169"/>
      <c r="I171" s="151"/>
      <c r="J171" s="152"/>
      <c r="K171" s="170"/>
      <c r="M171" s="155"/>
    </row>
    <row r="172" spans="2:14" s="2" customFormat="1" ht="25.25" hidden="1" customHeight="1" x14ac:dyDescent="0.2">
      <c r="B172" s="156">
        <v>6</v>
      </c>
      <c r="C172" s="311" t="s">
        <v>279</v>
      </c>
      <c r="D172" s="308"/>
      <c r="E172" s="308"/>
      <c r="F172" s="308"/>
      <c r="G172" s="308"/>
      <c r="H172" s="215"/>
      <c r="K172" s="215"/>
      <c r="M172" s="158"/>
      <c r="N172" s="159"/>
    </row>
    <row r="173" spans="2:14" s="2" customFormat="1" ht="25.25" hidden="1" customHeight="1" x14ac:dyDescent="0.2">
      <c r="B173" s="160">
        <v>7</v>
      </c>
      <c r="C173" s="311" t="s">
        <v>280</v>
      </c>
      <c r="D173" s="308"/>
      <c r="E173" s="308"/>
      <c r="F173" s="308"/>
      <c r="G173" s="308"/>
      <c r="H173" s="215"/>
      <c r="K173" s="215"/>
      <c r="M173" s="158"/>
      <c r="N173" s="159"/>
    </row>
    <row r="174" spans="2:14" s="2" customFormat="1" ht="25.25" hidden="1" customHeight="1" x14ac:dyDescent="0.2">
      <c r="B174" s="160">
        <v>8</v>
      </c>
      <c r="C174" s="312" t="s">
        <v>281</v>
      </c>
      <c r="D174" s="308"/>
      <c r="E174" s="308"/>
      <c r="F174" s="308"/>
      <c r="G174" s="313"/>
      <c r="H174" s="215"/>
      <c r="K174" s="215"/>
      <c r="M174" s="158"/>
      <c r="N174" s="159"/>
    </row>
    <row r="175" spans="2:14" s="2" customFormat="1" ht="29.5" hidden="1" customHeight="1" x14ac:dyDescent="0.2">
      <c r="B175" s="160">
        <v>9</v>
      </c>
      <c r="C175" s="162" t="s">
        <v>282</v>
      </c>
      <c r="D175" s="163"/>
      <c r="E175" s="163"/>
      <c r="F175" s="163"/>
      <c r="G175" s="164"/>
      <c r="H175" s="218">
        <f>SUM(H172:H174)</f>
        <v>0</v>
      </c>
      <c r="I175" s="165"/>
      <c r="J175" s="165"/>
      <c r="K175" s="218">
        <f>SUM(K172:K174)</f>
        <v>0</v>
      </c>
      <c r="L175" s="165"/>
      <c r="M175" s="166"/>
    </row>
    <row r="176" spans="2:14" s="2" customFormat="1" ht="21" hidden="1" customHeight="1" x14ac:dyDescent="0.2"/>
    <row r="177" spans="2:14" s="2" customFormat="1" ht="28.25" hidden="1" customHeight="1" x14ac:dyDescent="0.2">
      <c r="B177" s="142" t="s">
        <v>283</v>
      </c>
      <c r="C177" s="144"/>
      <c r="D177" s="144"/>
      <c r="E177" s="144"/>
      <c r="F177" s="144"/>
      <c r="G177" s="146"/>
      <c r="H177" s="168" t="str">
        <f>IF(ISNUMBER(H163),H163,"")</f>
        <v/>
      </c>
      <c r="I177" s="144"/>
      <c r="J177" s="146"/>
      <c r="K177" s="167" t="str">
        <f>IF(ISNUMBER(K163),K163,"")</f>
        <v/>
      </c>
      <c r="L177" s="148"/>
      <c r="M177" s="149"/>
    </row>
    <row r="178" spans="2:14" s="2" customFormat="1" ht="29.5" hidden="1" customHeight="1" x14ac:dyDescent="0.2">
      <c r="B178" s="156"/>
      <c r="C178" s="314" t="s">
        <v>284</v>
      </c>
      <c r="D178" s="315"/>
      <c r="E178" s="315"/>
      <c r="F178" s="315"/>
      <c r="G178" s="315"/>
      <c r="H178" s="217">
        <f>H169</f>
        <v>0</v>
      </c>
      <c r="K178" s="217">
        <f>K169</f>
        <v>0</v>
      </c>
      <c r="M178" s="158"/>
    </row>
    <row r="179" spans="2:14" s="2" customFormat="1" ht="29.5" hidden="1" customHeight="1" x14ac:dyDescent="0.2">
      <c r="B179" s="160"/>
      <c r="C179" s="307" t="s">
        <v>285</v>
      </c>
      <c r="D179" s="308"/>
      <c r="E179" s="308"/>
      <c r="F179" s="308"/>
      <c r="G179" s="308"/>
      <c r="H179" s="217">
        <f>H175</f>
        <v>0</v>
      </c>
      <c r="K179" s="217">
        <f>K175</f>
        <v>0</v>
      </c>
      <c r="M179" s="158"/>
    </row>
    <row r="180" spans="2:14" s="2" customFormat="1" ht="29.5" hidden="1" customHeight="1" x14ac:dyDescent="0.2">
      <c r="B180" s="160"/>
      <c r="C180" s="316" t="s">
        <v>286</v>
      </c>
      <c r="D180" s="317"/>
      <c r="E180" s="317"/>
      <c r="F180" s="317"/>
      <c r="G180" s="317"/>
      <c r="H180" s="219" t="str">
        <f>IFERROR(H178/H179,"N/A")</f>
        <v>N/A</v>
      </c>
      <c r="I180" s="165"/>
      <c r="J180" s="165"/>
      <c r="K180" s="219" t="str">
        <f>IFERROR(K178/K179,"N/A")</f>
        <v>N/A</v>
      </c>
      <c r="L180" s="165"/>
      <c r="M180" s="166"/>
    </row>
    <row r="181" spans="2:14" s="2" customFormat="1" ht="21" hidden="1" customHeight="1" x14ac:dyDescent="0.2">
      <c r="H181" s="171"/>
      <c r="K181" s="171"/>
    </row>
    <row r="182" spans="2:14" s="2" customFormat="1" ht="28.25" hidden="1" customHeight="1" x14ac:dyDescent="0.2">
      <c r="B182" s="142" t="s">
        <v>287</v>
      </c>
      <c r="C182" s="144"/>
      <c r="D182" s="144"/>
      <c r="E182" s="144"/>
      <c r="F182" s="144"/>
      <c r="G182" s="146"/>
      <c r="H182" s="168" t="str">
        <f>IF(ISNUMBER(H163),H163,"")</f>
        <v/>
      </c>
      <c r="I182" s="144"/>
      <c r="J182" s="146"/>
      <c r="K182" s="168" t="str">
        <f>IF(ISNUMBER(K163),K163,"")</f>
        <v/>
      </c>
      <c r="L182" s="148"/>
      <c r="M182" s="149"/>
    </row>
    <row r="183" spans="2:14" s="2" customFormat="1" ht="29.5" hidden="1" customHeight="1" x14ac:dyDescent="0.2">
      <c r="B183" s="156"/>
      <c r="C183" s="305" t="s">
        <v>288</v>
      </c>
      <c r="D183" s="306"/>
      <c r="E183" s="306"/>
      <c r="F183" s="306"/>
      <c r="G183" s="306"/>
      <c r="H183" s="217">
        <f>H165+H166+H168</f>
        <v>0</v>
      </c>
      <c r="K183" s="217">
        <f>K165+K166+K168</f>
        <v>0</v>
      </c>
      <c r="M183" s="158"/>
    </row>
    <row r="184" spans="2:14" s="2" customFormat="1" ht="29.5" hidden="1" customHeight="1" x14ac:dyDescent="0.2">
      <c r="B184" s="160"/>
      <c r="C184" s="307" t="s">
        <v>285</v>
      </c>
      <c r="D184" s="308"/>
      <c r="E184" s="308"/>
      <c r="F184" s="308"/>
      <c r="G184" s="308"/>
      <c r="H184" s="217">
        <f>H175</f>
        <v>0</v>
      </c>
      <c r="K184" s="217">
        <f>K175</f>
        <v>0</v>
      </c>
      <c r="M184" s="158"/>
    </row>
    <row r="185" spans="2:14" s="2" customFormat="1" ht="29.5" hidden="1" customHeight="1" x14ac:dyDescent="0.2">
      <c r="B185" s="160"/>
      <c r="C185" s="309" t="s">
        <v>289</v>
      </c>
      <c r="D185" s="310"/>
      <c r="E185" s="310"/>
      <c r="F185" s="310"/>
      <c r="G185" s="310"/>
      <c r="H185" s="219" t="str">
        <f>IFERROR(H183/H184,"N/A")</f>
        <v>N/A</v>
      </c>
      <c r="I185" s="165"/>
      <c r="J185" s="165"/>
      <c r="K185" s="219" t="str">
        <f>IFERROR(K183/K184,"N/A")</f>
        <v>N/A</v>
      </c>
      <c r="L185" s="165"/>
      <c r="M185" s="166"/>
    </row>
    <row r="186" spans="2:14" s="2" customFormat="1" ht="14" customHeight="1" x14ac:dyDescent="0.2"/>
    <row r="187" spans="2:14" s="2" customFormat="1" ht="27" customHeight="1" x14ac:dyDescent="0.2">
      <c r="B187" s="319" t="s">
        <v>564</v>
      </c>
      <c r="C187" s="320"/>
      <c r="D187" s="137"/>
      <c r="E187" s="138" t="s">
        <v>270</v>
      </c>
      <c r="F187" s="321"/>
      <c r="G187" s="322"/>
      <c r="H187" s="323"/>
      <c r="I187" s="139"/>
      <c r="J187" s="140" t="s">
        <v>271</v>
      </c>
      <c r="K187" s="141"/>
      <c r="L187" s="324" t="s">
        <v>272</v>
      </c>
      <c r="M187" s="325"/>
    </row>
    <row r="188" spans="2:14" s="2" customFormat="1" ht="6" hidden="1" customHeight="1" x14ac:dyDescent="0.2"/>
    <row r="189" spans="2:14" s="2" customFormat="1" ht="28.25" hidden="1" customHeight="1" x14ac:dyDescent="0.2">
      <c r="B189" s="142" t="s">
        <v>273</v>
      </c>
      <c r="C189" s="143"/>
      <c r="D189" s="144"/>
      <c r="E189" s="144"/>
      <c r="F189" s="145" t="s">
        <v>536</v>
      </c>
      <c r="G189" s="146"/>
      <c r="H189" s="147"/>
      <c r="I189" s="144"/>
      <c r="J189" s="146"/>
      <c r="K189" s="147"/>
      <c r="L189" s="148"/>
      <c r="M189" s="149"/>
    </row>
    <row r="190" spans="2:14" s="154" customFormat="1" ht="4.5" hidden="1" customHeight="1" x14ac:dyDescent="0.2">
      <c r="B190" s="150"/>
      <c r="C190" s="151"/>
      <c r="D190" s="151"/>
      <c r="E190" s="151"/>
      <c r="F190" s="151"/>
      <c r="G190" s="152"/>
      <c r="H190" s="153"/>
      <c r="I190" s="151"/>
      <c r="J190" s="152"/>
      <c r="K190" s="153"/>
      <c r="M190" s="155"/>
    </row>
    <row r="191" spans="2:14" s="2" customFormat="1" ht="25.25" hidden="1" customHeight="1" x14ac:dyDescent="0.2">
      <c r="B191" s="156">
        <v>1</v>
      </c>
      <c r="C191" s="311" t="s">
        <v>274</v>
      </c>
      <c r="D191" s="308"/>
      <c r="E191" s="308"/>
      <c r="F191" s="308"/>
      <c r="G191" s="308"/>
      <c r="H191" s="215"/>
      <c r="K191" s="215"/>
      <c r="M191" s="158"/>
      <c r="N191" s="159"/>
    </row>
    <row r="192" spans="2:14" s="2" customFormat="1" ht="25.25" hidden="1" customHeight="1" x14ac:dyDescent="0.2">
      <c r="B192" s="160">
        <v>2</v>
      </c>
      <c r="C192" s="311" t="s">
        <v>275</v>
      </c>
      <c r="D192" s="308"/>
      <c r="E192" s="308"/>
      <c r="F192" s="308"/>
      <c r="G192" s="308"/>
      <c r="H192" s="216"/>
      <c r="K192" s="216"/>
      <c r="M192" s="158"/>
      <c r="N192" s="159"/>
    </row>
    <row r="193" spans="2:14" s="2" customFormat="1" ht="25.25" hidden="1" customHeight="1" x14ac:dyDescent="0.2">
      <c r="B193" s="160">
        <v>3</v>
      </c>
      <c r="C193" s="311" t="s">
        <v>276</v>
      </c>
      <c r="D193" s="308"/>
      <c r="E193" s="308"/>
      <c r="F193" s="308"/>
      <c r="G193" s="308"/>
      <c r="H193" s="216"/>
      <c r="K193" s="216"/>
      <c r="M193" s="158"/>
      <c r="N193" s="159"/>
    </row>
    <row r="194" spans="2:14" s="2" customFormat="1" ht="25.25" hidden="1" customHeight="1" x14ac:dyDescent="0.2">
      <c r="B194" s="160">
        <v>4</v>
      </c>
      <c r="C194" s="157" t="s">
        <v>196</v>
      </c>
      <c r="D194" s="318"/>
      <c r="E194" s="318"/>
      <c r="F194" s="318"/>
      <c r="G194" s="161"/>
      <c r="H194" s="216"/>
      <c r="K194" s="216"/>
      <c r="M194" s="158"/>
      <c r="N194" s="159"/>
    </row>
    <row r="195" spans="2:14" s="2" customFormat="1" ht="29.5" hidden="1" customHeight="1" x14ac:dyDescent="0.2">
      <c r="B195" s="160">
        <v>5</v>
      </c>
      <c r="C195" s="162" t="s">
        <v>277</v>
      </c>
      <c r="D195" s="163"/>
      <c r="E195" s="163"/>
      <c r="F195" s="163"/>
      <c r="G195" s="164"/>
      <c r="H195" s="217">
        <f>SUM(H191:H194)</f>
        <v>0</v>
      </c>
      <c r="I195" s="165"/>
      <c r="J195" s="165"/>
      <c r="K195" s="217">
        <f>SUM(K191:K194)</f>
        <v>0</v>
      </c>
      <c r="L195" s="165"/>
      <c r="M195" s="166"/>
    </row>
    <row r="196" spans="2:14" s="2" customFormat="1" ht="28.25" hidden="1" customHeight="1" x14ac:dyDescent="0.2">
      <c r="B196" s="142" t="s">
        <v>278</v>
      </c>
      <c r="C196" s="144"/>
      <c r="D196" s="143"/>
      <c r="E196" s="144"/>
      <c r="F196" s="144"/>
      <c r="G196" s="146"/>
      <c r="H196" s="167" t="str">
        <f>IF(ISNUMBER(H189),H189,"")</f>
        <v/>
      </c>
      <c r="I196" s="144"/>
      <c r="J196" s="146"/>
      <c r="K196" s="168" t="str">
        <f>IF(ISNUMBER(K189),K189,"")</f>
        <v/>
      </c>
      <c r="L196" s="148"/>
      <c r="M196" s="149"/>
    </row>
    <row r="197" spans="2:14" s="154" customFormat="1" ht="4.5" hidden="1" customHeight="1" x14ac:dyDescent="0.2">
      <c r="B197" s="150"/>
      <c r="C197" s="151"/>
      <c r="D197" s="151"/>
      <c r="E197" s="151"/>
      <c r="F197" s="151"/>
      <c r="G197" s="152"/>
      <c r="H197" s="169"/>
      <c r="I197" s="151"/>
      <c r="J197" s="152"/>
      <c r="K197" s="170"/>
      <c r="M197" s="155"/>
    </row>
    <row r="198" spans="2:14" s="2" customFormat="1" ht="25.25" hidden="1" customHeight="1" x14ac:dyDescent="0.2">
      <c r="B198" s="156">
        <v>6</v>
      </c>
      <c r="C198" s="311" t="s">
        <v>279</v>
      </c>
      <c r="D198" s="308"/>
      <c r="E198" s="308"/>
      <c r="F198" s="308"/>
      <c r="G198" s="308"/>
      <c r="H198" s="215"/>
      <c r="K198" s="215"/>
      <c r="M198" s="158"/>
      <c r="N198" s="159"/>
    </row>
    <row r="199" spans="2:14" s="2" customFormat="1" ht="25.25" hidden="1" customHeight="1" x14ac:dyDescent="0.2">
      <c r="B199" s="160">
        <v>7</v>
      </c>
      <c r="C199" s="311" t="s">
        <v>280</v>
      </c>
      <c r="D199" s="308"/>
      <c r="E199" s="308"/>
      <c r="F199" s="308"/>
      <c r="G199" s="308"/>
      <c r="H199" s="215"/>
      <c r="K199" s="215"/>
      <c r="M199" s="158"/>
      <c r="N199" s="159"/>
    </row>
    <row r="200" spans="2:14" s="2" customFormat="1" ht="25.25" hidden="1" customHeight="1" x14ac:dyDescent="0.2">
      <c r="B200" s="160">
        <v>8</v>
      </c>
      <c r="C200" s="312" t="s">
        <v>281</v>
      </c>
      <c r="D200" s="308"/>
      <c r="E200" s="308"/>
      <c r="F200" s="308"/>
      <c r="G200" s="313"/>
      <c r="H200" s="215"/>
      <c r="K200" s="215"/>
      <c r="M200" s="158"/>
      <c r="N200" s="159"/>
    </row>
    <row r="201" spans="2:14" s="2" customFormat="1" ht="29.5" hidden="1" customHeight="1" x14ac:dyDescent="0.2">
      <c r="B201" s="160">
        <v>9</v>
      </c>
      <c r="C201" s="162" t="s">
        <v>282</v>
      </c>
      <c r="D201" s="163"/>
      <c r="E201" s="163"/>
      <c r="F201" s="163"/>
      <c r="G201" s="164"/>
      <c r="H201" s="218">
        <f>SUM(H198:H200)</f>
        <v>0</v>
      </c>
      <c r="I201" s="165"/>
      <c r="J201" s="165"/>
      <c r="K201" s="218">
        <f>SUM(K198:K200)</f>
        <v>0</v>
      </c>
      <c r="L201" s="165"/>
      <c r="M201" s="166"/>
    </row>
    <row r="202" spans="2:14" s="2" customFormat="1" ht="21" hidden="1" customHeight="1" x14ac:dyDescent="0.2"/>
    <row r="203" spans="2:14" s="2" customFormat="1" ht="28.25" hidden="1" customHeight="1" x14ac:dyDescent="0.2">
      <c r="B203" s="142" t="s">
        <v>283</v>
      </c>
      <c r="C203" s="144"/>
      <c r="D203" s="144"/>
      <c r="E203" s="144"/>
      <c r="F203" s="144"/>
      <c r="G203" s="146"/>
      <c r="H203" s="168" t="str">
        <f>IF(ISNUMBER(H189),H189,"")</f>
        <v/>
      </c>
      <c r="I203" s="144"/>
      <c r="J203" s="146"/>
      <c r="K203" s="167" t="str">
        <f>IF(ISNUMBER(K189),K189,"")</f>
        <v/>
      </c>
      <c r="L203" s="148"/>
      <c r="M203" s="149"/>
    </row>
    <row r="204" spans="2:14" s="2" customFormat="1" ht="29.5" hidden="1" customHeight="1" x14ac:dyDescent="0.2">
      <c r="B204" s="156"/>
      <c r="C204" s="314" t="s">
        <v>284</v>
      </c>
      <c r="D204" s="315"/>
      <c r="E204" s="315"/>
      <c r="F204" s="315"/>
      <c r="G204" s="315"/>
      <c r="H204" s="217">
        <f>H195</f>
        <v>0</v>
      </c>
      <c r="K204" s="217">
        <f>K195</f>
        <v>0</v>
      </c>
      <c r="M204" s="158"/>
    </row>
    <row r="205" spans="2:14" s="2" customFormat="1" ht="29.5" hidden="1" customHeight="1" x14ac:dyDescent="0.2">
      <c r="B205" s="160"/>
      <c r="C205" s="307" t="s">
        <v>285</v>
      </c>
      <c r="D205" s="308"/>
      <c r="E205" s="308"/>
      <c r="F205" s="308"/>
      <c r="G205" s="308"/>
      <c r="H205" s="217">
        <f>H201</f>
        <v>0</v>
      </c>
      <c r="K205" s="217">
        <f>K201</f>
        <v>0</v>
      </c>
      <c r="M205" s="158"/>
    </row>
    <row r="206" spans="2:14" s="2" customFormat="1" ht="29.5" hidden="1" customHeight="1" x14ac:dyDescent="0.2">
      <c r="B206" s="160"/>
      <c r="C206" s="316" t="s">
        <v>286</v>
      </c>
      <c r="D206" s="317"/>
      <c r="E206" s="317"/>
      <c r="F206" s="317"/>
      <c r="G206" s="317"/>
      <c r="H206" s="219" t="str">
        <f>IFERROR(H204/H205,"N/A")</f>
        <v>N/A</v>
      </c>
      <c r="I206" s="165"/>
      <c r="J206" s="165"/>
      <c r="K206" s="219" t="str">
        <f>IFERROR(K204/K205,"N/A")</f>
        <v>N/A</v>
      </c>
      <c r="L206" s="165"/>
      <c r="M206" s="166"/>
    </row>
    <row r="207" spans="2:14" s="2" customFormat="1" ht="21" hidden="1" customHeight="1" x14ac:dyDescent="0.2">
      <c r="H207" s="171"/>
      <c r="K207" s="171"/>
    </row>
    <row r="208" spans="2:14" s="2" customFormat="1" ht="28.25" hidden="1" customHeight="1" x14ac:dyDescent="0.2">
      <c r="B208" s="142" t="s">
        <v>287</v>
      </c>
      <c r="C208" s="144"/>
      <c r="D208" s="144"/>
      <c r="E208" s="144"/>
      <c r="F208" s="144"/>
      <c r="G208" s="146"/>
      <c r="H208" s="168" t="str">
        <f>IF(ISNUMBER(H189),H189,"")</f>
        <v/>
      </c>
      <c r="I208" s="144"/>
      <c r="J208" s="146"/>
      <c r="K208" s="168" t="str">
        <f>IF(ISNUMBER(K189),K189,"")</f>
        <v/>
      </c>
      <c r="L208" s="148"/>
      <c r="M208" s="149"/>
    </row>
    <row r="209" spans="2:14" s="2" customFormat="1" ht="29.5" hidden="1" customHeight="1" x14ac:dyDescent="0.2">
      <c r="B209" s="156"/>
      <c r="C209" s="305" t="s">
        <v>288</v>
      </c>
      <c r="D209" s="306"/>
      <c r="E209" s="306"/>
      <c r="F209" s="306"/>
      <c r="G209" s="306"/>
      <c r="H209" s="217">
        <f>H191+H192+H194</f>
        <v>0</v>
      </c>
      <c r="K209" s="217">
        <f>K191+K192+K194</f>
        <v>0</v>
      </c>
      <c r="M209" s="158"/>
    </row>
    <row r="210" spans="2:14" s="2" customFormat="1" ht="29.5" hidden="1" customHeight="1" x14ac:dyDescent="0.2">
      <c r="B210" s="160"/>
      <c r="C210" s="307" t="s">
        <v>285</v>
      </c>
      <c r="D210" s="308"/>
      <c r="E210" s="308"/>
      <c r="F210" s="308"/>
      <c r="G210" s="308"/>
      <c r="H210" s="217">
        <f>H201</f>
        <v>0</v>
      </c>
      <c r="K210" s="217">
        <f>K201</f>
        <v>0</v>
      </c>
      <c r="M210" s="158"/>
    </row>
    <row r="211" spans="2:14" s="2" customFormat="1" ht="29.5" hidden="1" customHeight="1" x14ac:dyDescent="0.2">
      <c r="B211" s="160"/>
      <c r="C211" s="309" t="s">
        <v>289</v>
      </c>
      <c r="D211" s="310"/>
      <c r="E211" s="310"/>
      <c r="F211" s="310"/>
      <c r="G211" s="310"/>
      <c r="H211" s="219" t="str">
        <f>IFERROR(H209/H210,"N/A")</f>
        <v>N/A</v>
      </c>
      <c r="I211" s="165"/>
      <c r="J211" s="165"/>
      <c r="K211" s="219" t="str">
        <f>IFERROR(K209/K210,"N/A")</f>
        <v>N/A</v>
      </c>
      <c r="L211" s="165"/>
      <c r="M211" s="166"/>
    </row>
    <row r="212" spans="2:14" s="2" customFormat="1" ht="14" customHeight="1" x14ac:dyDescent="0.2"/>
    <row r="213" spans="2:14" s="2" customFormat="1" ht="27" customHeight="1" x14ac:dyDescent="0.2">
      <c r="B213" s="319" t="s">
        <v>564</v>
      </c>
      <c r="C213" s="320"/>
      <c r="D213" s="137"/>
      <c r="E213" s="138" t="s">
        <v>270</v>
      </c>
      <c r="F213" s="321"/>
      <c r="G213" s="322"/>
      <c r="H213" s="323"/>
      <c r="I213" s="139"/>
      <c r="J213" s="140" t="s">
        <v>271</v>
      </c>
      <c r="K213" s="141"/>
      <c r="L213" s="324" t="s">
        <v>272</v>
      </c>
      <c r="M213" s="325"/>
    </row>
    <row r="214" spans="2:14" s="2" customFormat="1" ht="6" hidden="1" customHeight="1" x14ac:dyDescent="0.2"/>
    <row r="215" spans="2:14" s="2" customFormat="1" ht="28.25" hidden="1" customHeight="1" x14ac:dyDescent="0.2">
      <c r="B215" s="142" t="s">
        <v>273</v>
      </c>
      <c r="C215" s="143"/>
      <c r="D215" s="144"/>
      <c r="E215" s="144"/>
      <c r="F215" s="145" t="s">
        <v>536</v>
      </c>
      <c r="G215" s="146"/>
      <c r="H215" s="147"/>
      <c r="I215" s="144"/>
      <c r="J215" s="146"/>
      <c r="K215" s="147"/>
      <c r="L215" s="148"/>
      <c r="M215" s="149"/>
    </row>
    <row r="216" spans="2:14" s="154" customFormat="1" ht="4.5" hidden="1" customHeight="1" x14ac:dyDescent="0.2">
      <c r="B216" s="150"/>
      <c r="C216" s="151"/>
      <c r="D216" s="151"/>
      <c r="E216" s="151"/>
      <c r="F216" s="151"/>
      <c r="G216" s="152"/>
      <c r="H216" s="153"/>
      <c r="I216" s="151"/>
      <c r="J216" s="152"/>
      <c r="K216" s="153"/>
      <c r="M216" s="155"/>
    </row>
    <row r="217" spans="2:14" s="2" customFormat="1" ht="25.25" hidden="1" customHeight="1" x14ac:dyDescent="0.2">
      <c r="B217" s="156">
        <v>1</v>
      </c>
      <c r="C217" s="311" t="s">
        <v>274</v>
      </c>
      <c r="D217" s="308"/>
      <c r="E217" s="308"/>
      <c r="F217" s="308"/>
      <c r="G217" s="308"/>
      <c r="H217" s="215"/>
      <c r="K217" s="215"/>
      <c r="M217" s="158"/>
      <c r="N217" s="159"/>
    </row>
    <row r="218" spans="2:14" s="2" customFormat="1" ht="25.25" hidden="1" customHeight="1" x14ac:dyDescent="0.2">
      <c r="B218" s="160">
        <v>2</v>
      </c>
      <c r="C218" s="311" t="s">
        <v>275</v>
      </c>
      <c r="D218" s="308"/>
      <c r="E218" s="308"/>
      <c r="F218" s="308"/>
      <c r="G218" s="308"/>
      <c r="H218" s="216"/>
      <c r="K218" s="216"/>
      <c r="M218" s="158"/>
      <c r="N218" s="159"/>
    </row>
    <row r="219" spans="2:14" s="2" customFormat="1" ht="25.25" hidden="1" customHeight="1" x14ac:dyDescent="0.2">
      <c r="B219" s="160">
        <v>3</v>
      </c>
      <c r="C219" s="311" t="s">
        <v>276</v>
      </c>
      <c r="D219" s="308"/>
      <c r="E219" s="308"/>
      <c r="F219" s="308"/>
      <c r="G219" s="308"/>
      <c r="H219" s="216"/>
      <c r="K219" s="216"/>
      <c r="M219" s="158"/>
      <c r="N219" s="159"/>
    </row>
    <row r="220" spans="2:14" s="2" customFormat="1" ht="25.25" hidden="1" customHeight="1" x14ac:dyDescent="0.2">
      <c r="B220" s="160">
        <v>4</v>
      </c>
      <c r="C220" s="157" t="s">
        <v>196</v>
      </c>
      <c r="D220" s="318"/>
      <c r="E220" s="318"/>
      <c r="F220" s="318"/>
      <c r="G220" s="161"/>
      <c r="H220" s="216"/>
      <c r="K220" s="216"/>
      <c r="M220" s="158"/>
      <c r="N220" s="159"/>
    </row>
    <row r="221" spans="2:14" s="2" customFormat="1" ht="29.5" hidden="1" customHeight="1" x14ac:dyDescent="0.2">
      <c r="B221" s="160">
        <v>5</v>
      </c>
      <c r="C221" s="162" t="s">
        <v>277</v>
      </c>
      <c r="D221" s="163"/>
      <c r="E221" s="163"/>
      <c r="F221" s="163"/>
      <c r="G221" s="164"/>
      <c r="H221" s="217">
        <f>SUM(H217:H220)</f>
        <v>0</v>
      </c>
      <c r="I221" s="165"/>
      <c r="J221" s="165"/>
      <c r="K221" s="217">
        <f>SUM(K217:K220)</f>
        <v>0</v>
      </c>
      <c r="L221" s="165"/>
      <c r="M221" s="166"/>
    </row>
    <row r="222" spans="2:14" s="2" customFormat="1" ht="28.25" hidden="1" customHeight="1" x14ac:dyDescent="0.2">
      <c r="B222" s="142" t="s">
        <v>278</v>
      </c>
      <c r="C222" s="144"/>
      <c r="D222" s="143"/>
      <c r="E222" s="144"/>
      <c r="F222" s="144"/>
      <c r="G222" s="146"/>
      <c r="H222" s="167" t="str">
        <f>IF(ISNUMBER(H215),H215,"")</f>
        <v/>
      </c>
      <c r="I222" s="144"/>
      <c r="J222" s="146"/>
      <c r="K222" s="168" t="str">
        <f>IF(ISNUMBER(K215),K215,"")</f>
        <v/>
      </c>
      <c r="L222" s="148"/>
      <c r="M222" s="149"/>
    </row>
    <row r="223" spans="2:14" s="154" customFormat="1" ht="4.5" hidden="1" customHeight="1" x14ac:dyDescent="0.2">
      <c r="B223" s="150"/>
      <c r="C223" s="151"/>
      <c r="D223" s="151"/>
      <c r="E223" s="151"/>
      <c r="F223" s="151"/>
      <c r="G223" s="152"/>
      <c r="H223" s="169"/>
      <c r="I223" s="151"/>
      <c r="J223" s="152"/>
      <c r="K223" s="170"/>
      <c r="M223" s="155"/>
    </row>
    <row r="224" spans="2:14" s="2" customFormat="1" ht="25.25" hidden="1" customHeight="1" x14ac:dyDescent="0.2">
      <c r="B224" s="156">
        <v>6</v>
      </c>
      <c r="C224" s="311" t="s">
        <v>279</v>
      </c>
      <c r="D224" s="308"/>
      <c r="E224" s="308"/>
      <c r="F224" s="308"/>
      <c r="G224" s="308"/>
      <c r="H224" s="215"/>
      <c r="K224" s="215"/>
      <c r="M224" s="158"/>
      <c r="N224" s="159"/>
    </row>
    <row r="225" spans="2:14" s="2" customFormat="1" ht="25.25" hidden="1" customHeight="1" x14ac:dyDescent="0.2">
      <c r="B225" s="160">
        <v>7</v>
      </c>
      <c r="C225" s="311" t="s">
        <v>280</v>
      </c>
      <c r="D225" s="308"/>
      <c r="E225" s="308"/>
      <c r="F225" s="308"/>
      <c r="G225" s="308"/>
      <c r="H225" s="215"/>
      <c r="K225" s="215"/>
      <c r="M225" s="158"/>
      <c r="N225" s="159"/>
    </row>
    <row r="226" spans="2:14" s="2" customFormat="1" ht="25.25" hidden="1" customHeight="1" x14ac:dyDescent="0.2">
      <c r="B226" s="160">
        <v>8</v>
      </c>
      <c r="C226" s="312" t="s">
        <v>281</v>
      </c>
      <c r="D226" s="308"/>
      <c r="E226" s="308"/>
      <c r="F226" s="308"/>
      <c r="G226" s="313"/>
      <c r="H226" s="215"/>
      <c r="K226" s="215"/>
      <c r="M226" s="158"/>
      <c r="N226" s="159"/>
    </row>
    <row r="227" spans="2:14" s="2" customFormat="1" ht="29.5" hidden="1" customHeight="1" x14ac:dyDescent="0.2">
      <c r="B227" s="160">
        <v>9</v>
      </c>
      <c r="C227" s="162" t="s">
        <v>282</v>
      </c>
      <c r="D227" s="163"/>
      <c r="E227" s="163"/>
      <c r="F227" s="163"/>
      <c r="G227" s="164"/>
      <c r="H227" s="218">
        <f>SUM(H224:H226)</f>
        <v>0</v>
      </c>
      <c r="I227" s="165"/>
      <c r="J227" s="165"/>
      <c r="K227" s="218">
        <f>SUM(K224:K226)</f>
        <v>0</v>
      </c>
      <c r="L227" s="165"/>
      <c r="M227" s="166"/>
    </row>
    <row r="228" spans="2:14" s="2" customFormat="1" ht="21" hidden="1" customHeight="1" x14ac:dyDescent="0.2"/>
    <row r="229" spans="2:14" s="2" customFormat="1" ht="28.25" hidden="1" customHeight="1" x14ac:dyDescent="0.2">
      <c r="B229" s="142" t="s">
        <v>283</v>
      </c>
      <c r="C229" s="144"/>
      <c r="D229" s="144"/>
      <c r="E229" s="144"/>
      <c r="F229" s="144"/>
      <c r="G229" s="146"/>
      <c r="H229" s="168" t="str">
        <f>IF(ISNUMBER(H215),H215,"")</f>
        <v/>
      </c>
      <c r="I229" s="144"/>
      <c r="J229" s="146"/>
      <c r="K229" s="167" t="str">
        <f>IF(ISNUMBER(K215),K215,"")</f>
        <v/>
      </c>
      <c r="L229" s="148"/>
      <c r="M229" s="149"/>
    </row>
    <row r="230" spans="2:14" s="2" customFormat="1" ht="29.5" hidden="1" customHeight="1" x14ac:dyDescent="0.2">
      <c r="B230" s="156"/>
      <c r="C230" s="314" t="s">
        <v>284</v>
      </c>
      <c r="D230" s="315"/>
      <c r="E230" s="315"/>
      <c r="F230" s="315"/>
      <c r="G230" s="315"/>
      <c r="H230" s="217">
        <f>H221</f>
        <v>0</v>
      </c>
      <c r="K230" s="217">
        <f>K221</f>
        <v>0</v>
      </c>
      <c r="M230" s="158"/>
    </row>
    <row r="231" spans="2:14" s="2" customFormat="1" ht="29.5" hidden="1" customHeight="1" x14ac:dyDescent="0.2">
      <c r="B231" s="160"/>
      <c r="C231" s="307" t="s">
        <v>285</v>
      </c>
      <c r="D231" s="308"/>
      <c r="E231" s="308"/>
      <c r="F231" s="308"/>
      <c r="G231" s="308"/>
      <c r="H231" s="217">
        <f>H227</f>
        <v>0</v>
      </c>
      <c r="K231" s="217">
        <f>K227</f>
        <v>0</v>
      </c>
      <c r="M231" s="158"/>
    </row>
    <row r="232" spans="2:14" s="2" customFormat="1" ht="29.5" hidden="1" customHeight="1" x14ac:dyDescent="0.2">
      <c r="B232" s="160"/>
      <c r="C232" s="316" t="s">
        <v>286</v>
      </c>
      <c r="D232" s="317"/>
      <c r="E232" s="317"/>
      <c r="F232" s="317"/>
      <c r="G232" s="317"/>
      <c r="H232" s="219" t="str">
        <f>IFERROR(H230/H231,"N/A")</f>
        <v>N/A</v>
      </c>
      <c r="I232" s="165"/>
      <c r="J232" s="165"/>
      <c r="K232" s="219" t="str">
        <f>IFERROR(K230/K231,"N/A")</f>
        <v>N/A</v>
      </c>
      <c r="L232" s="165"/>
      <c r="M232" s="166"/>
    </row>
    <row r="233" spans="2:14" s="2" customFormat="1" ht="21" hidden="1" customHeight="1" x14ac:dyDescent="0.2">
      <c r="H233" s="171"/>
      <c r="K233" s="171"/>
    </row>
    <row r="234" spans="2:14" s="2" customFormat="1" ht="28.25" hidden="1" customHeight="1" x14ac:dyDescent="0.2">
      <c r="B234" s="142" t="s">
        <v>287</v>
      </c>
      <c r="C234" s="144"/>
      <c r="D234" s="144"/>
      <c r="E234" s="144"/>
      <c r="F234" s="144"/>
      <c r="G234" s="146"/>
      <c r="H234" s="168" t="str">
        <f>IF(ISNUMBER(H215),H215,"")</f>
        <v/>
      </c>
      <c r="I234" s="144"/>
      <c r="J234" s="146"/>
      <c r="K234" s="168" t="str">
        <f>IF(ISNUMBER(K215),K215,"")</f>
        <v/>
      </c>
      <c r="L234" s="148"/>
      <c r="M234" s="149"/>
    </row>
    <row r="235" spans="2:14" s="2" customFormat="1" ht="29.5" hidden="1" customHeight="1" x14ac:dyDescent="0.2">
      <c r="B235" s="156"/>
      <c r="C235" s="305" t="s">
        <v>288</v>
      </c>
      <c r="D235" s="306"/>
      <c r="E235" s="306"/>
      <c r="F235" s="306"/>
      <c r="G235" s="306"/>
      <c r="H235" s="217">
        <f>H217+H218+H220</f>
        <v>0</v>
      </c>
      <c r="K235" s="217">
        <f>K217+K218+K220</f>
        <v>0</v>
      </c>
      <c r="M235" s="158"/>
    </row>
    <row r="236" spans="2:14" s="2" customFormat="1" ht="29.5" hidden="1" customHeight="1" x14ac:dyDescent="0.2">
      <c r="B236" s="160"/>
      <c r="C236" s="307" t="s">
        <v>285</v>
      </c>
      <c r="D236" s="308"/>
      <c r="E236" s="308"/>
      <c r="F236" s="308"/>
      <c r="G236" s="308"/>
      <c r="H236" s="217">
        <f>H227</f>
        <v>0</v>
      </c>
      <c r="K236" s="217">
        <f>K227</f>
        <v>0</v>
      </c>
      <c r="M236" s="158"/>
    </row>
    <row r="237" spans="2:14" s="2" customFormat="1" ht="29.5" hidden="1" customHeight="1" x14ac:dyDescent="0.2">
      <c r="B237" s="160"/>
      <c r="C237" s="309" t="s">
        <v>289</v>
      </c>
      <c r="D237" s="310"/>
      <c r="E237" s="310"/>
      <c r="F237" s="310"/>
      <c r="G237" s="310"/>
      <c r="H237" s="219" t="str">
        <f>IFERROR(H235/H236,"N/A")</f>
        <v>N/A</v>
      </c>
      <c r="I237" s="165"/>
      <c r="J237" s="165"/>
      <c r="K237" s="219" t="str">
        <f>IFERROR(K235/K236,"N/A")</f>
        <v>N/A</v>
      </c>
      <c r="L237" s="165"/>
      <c r="M237" s="166"/>
    </row>
    <row r="238" spans="2:14" s="2" customFormat="1" ht="14" customHeight="1" x14ac:dyDescent="0.2"/>
    <row r="239" spans="2:14" s="2" customFormat="1" ht="27" customHeight="1" x14ac:dyDescent="0.2">
      <c r="B239" s="319" t="s">
        <v>564</v>
      </c>
      <c r="C239" s="320"/>
      <c r="D239" s="137"/>
      <c r="E239" s="138" t="s">
        <v>270</v>
      </c>
      <c r="F239" s="321"/>
      <c r="G239" s="322"/>
      <c r="H239" s="323"/>
      <c r="I239" s="139"/>
      <c r="J239" s="140" t="s">
        <v>271</v>
      </c>
      <c r="K239" s="141"/>
      <c r="L239" s="324" t="s">
        <v>272</v>
      </c>
      <c r="M239" s="325"/>
    </row>
    <row r="240" spans="2:14" s="2" customFormat="1" ht="6" hidden="1" customHeight="1" x14ac:dyDescent="0.2"/>
    <row r="241" spans="2:14" s="2" customFormat="1" ht="28.25" hidden="1" customHeight="1" x14ac:dyDescent="0.2">
      <c r="B241" s="142" t="s">
        <v>273</v>
      </c>
      <c r="C241" s="143"/>
      <c r="D241" s="144"/>
      <c r="E241" s="144"/>
      <c r="F241" s="145" t="s">
        <v>536</v>
      </c>
      <c r="G241" s="146"/>
      <c r="H241" s="147"/>
      <c r="I241" s="144"/>
      <c r="J241" s="146"/>
      <c r="K241" s="147"/>
      <c r="L241" s="148"/>
      <c r="M241" s="149"/>
    </row>
    <row r="242" spans="2:14" s="154" customFormat="1" ht="4.5" hidden="1" customHeight="1" x14ac:dyDescent="0.2">
      <c r="B242" s="150"/>
      <c r="C242" s="151"/>
      <c r="D242" s="151"/>
      <c r="E242" s="151"/>
      <c r="F242" s="151"/>
      <c r="G242" s="152"/>
      <c r="H242" s="153"/>
      <c r="I242" s="151"/>
      <c r="J242" s="152"/>
      <c r="K242" s="153"/>
      <c r="M242" s="155"/>
    </row>
    <row r="243" spans="2:14" s="2" customFormat="1" ht="25.25" hidden="1" customHeight="1" x14ac:dyDescent="0.2">
      <c r="B243" s="156">
        <v>1</v>
      </c>
      <c r="C243" s="311" t="s">
        <v>274</v>
      </c>
      <c r="D243" s="308"/>
      <c r="E243" s="308"/>
      <c r="F243" s="308"/>
      <c r="G243" s="308"/>
      <c r="H243" s="215"/>
      <c r="K243" s="215"/>
      <c r="M243" s="158"/>
      <c r="N243" s="159"/>
    </row>
    <row r="244" spans="2:14" s="2" customFormat="1" ht="25.25" hidden="1" customHeight="1" x14ac:dyDescent="0.2">
      <c r="B244" s="160">
        <v>2</v>
      </c>
      <c r="C244" s="311" t="s">
        <v>275</v>
      </c>
      <c r="D244" s="308"/>
      <c r="E244" s="308"/>
      <c r="F244" s="308"/>
      <c r="G244" s="308"/>
      <c r="H244" s="216"/>
      <c r="K244" s="216"/>
      <c r="M244" s="158"/>
      <c r="N244" s="159"/>
    </row>
    <row r="245" spans="2:14" s="2" customFormat="1" ht="25.25" hidden="1" customHeight="1" x14ac:dyDescent="0.2">
      <c r="B245" s="160">
        <v>3</v>
      </c>
      <c r="C245" s="311" t="s">
        <v>276</v>
      </c>
      <c r="D245" s="308"/>
      <c r="E245" s="308"/>
      <c r="F245" s="308"/>
      <c r="G245" s="308"/>
      <c r="H245" s="216"/>
      <c r="K245" s="216"/>
      <c r="M245" s="158"/>
      <c r="N245" s="159"/>
    </row>
    <row r="246" spans="2:14" s="2" customFormat="1" ht="25.25" hidden="1" customHeight="1" x14ac:dyDescent="0.2">
      <c r="B246" s="160">
        <v>4</v>
      </c>
      <c r="C246" s="157" t="s">
        <v>196</v>
      </c>
      <c r="D246" s="318"/>
      <c r="E246" s="318"/>
      <c r="F246" s="318"/>
      <c r="G246" s="161"/>
      <c r="H246" s="216"/>
      <c r="K246" s="216"/>
      <c r="M246" s="158"/>
      <c r="N246" s="159"/>
    </row>
    <row r="247" spans="2:14" s="2" customFormat="1" ht="29.5" hidden="1" customHeight="1" x14ac:dyDescent="0.2">
      <c r="B247" s="160">
        <v>5</v>
      </c>
      <c r="C247" s="162" t="s">
        <v>277</v>
      </c>
      <c r="D247" s="163"/>
      <c r="E247" s="163"/>
      <c r="F247" s="163"/>
      <c r="G247" s="164"/>
      <c r="H247" s="217">
        <f>SUM(H243:H246)</f>
        <v>0</v>
      </c>
      <c r="I247" s="165"/>
      <c r="J247" s="165"/>
      <c r="K247" s="217">
        <f>SUM(K243:K246)</f>
        <v>0</v>
      </c>
      <c r="L247" s="165"/>
      <c r="M247" s="166"/>
    </row>
    <row r="248" spans="2:14" s="2" customFormat="1" ht="28.25" hidden="1" customHeight="1" x14ac:dyDescent="0.2">
      <c r="B248" s="142" t="s">
        <v>278</v>
      </c>
      <c r="C248" s="144"/>
      <c r="D248" s="143"/>
      <c r="E248" s="144"/>
      <c r="F248" s="144"/>
      <c r="G248" s="146"/>
      <c r="H248" s="167" t="str">
        <f>IF(ISNUMBER(H241),H241,"")</f>
        <v/>
      </c>
      <c r="I248" s="144"/>
      <c r="J248" s="146"/>
      <c r="K248" s="168" t="str">
        <f>IF(ISNUMBER(K241),K241,"")</f>
        <v/>
      </c>
      <c r="L248" s="148"/>
      <c r="M248" s="149"/>
    </row>
    <row r="249" spans="2:14" s="154" customFormat="1" ht="4.5" hidden="1" customHeight="1" x14ac:dyDescent="0.2">
      <c r="B249" s="150"/>
      <c r="C249" s="151"/>
      <c r="D249" s="151"/>
      <c r="E249" s="151"/>
      <c r="F249" s="151"/>
      <c r="G249" s="152"/>
      <c r="H249" s="169"/>
      <c r="I249" s="151"/>
      <c r="J249" s="152"/>
      <c r="K249" s="170"/>
      <c r="M249" s="155"/>
    </row>
    <row r="250" spans="2:14" s="2" customFormat="1" ht="25.25" hidden="1" customHeight="1" x14ac:dyDescent="0.2">
      <c r="B250" s="156">
        <v>6</v>
      </c>
      <c r="C250" s="311" t="s">
        <v>279</v>
      </c>
      <c r="D250" s="308"/>
      <c r="E250" s="308"/>
      <c r="F250" s="308"/>
      <c r="G250" s="308"/>
      <c r="H250" s="215"/>
      <c r="K250" s="215"/>
      <c r="M250" s="158"/>
      <c r="N250" s="159"/>
    </row>
    <row r="251" spans="2:14" s="2" customFormat="1" ht="25.25" hidden="1" customHeight="1" x14ac:dyDescent="0.2">
      <c r="B251" s="160">
        <v>7</v>
      </c>
      <c r="C251" s="311" t="s">
        <v>280</v>
      </c>
      <c r="D251" s="308"/>
      <c r="E251" s="308"/>
      <c r="F251" s="308"/>
      <c r="G251" s="308"/>
      <c r="H251" s="215"/>
      <c r="K251" s="215"/>
      <c r="M251" s="158"/>
      <c r="N251" s="159"/>
    </row>
    <row r="252" spans="2:14" s="2" customFormat="1" ht="25.25" hidden="1" customHeight="1" x14ac:dyDescent="0.2">
      <c r="B252" s="160">
        <v>8</v>
      </c>
      <c r="C252" s="312" t="s">
        <v>281</v>
      </c>
      <c r="D252" s="308"/>
      <c r="E252" s="308"/>
      <c r="F252" s="308"/>
      <c r="G252" s="313"/>
      <c r="H252" s="215"/>
      <c r="K252" s="215"/>
      <c r="M252" s="158"/>
      <c r="N252" s="159"/>
    </row>
    <row r="253" spans="2:14" s="2" customFormat="1" ht="29.5" hidden="1" customHeight="1" x14ac:dyDescent="0.2">
      <c r="B253" s="160">
        <v>9</v>
      </c>
      <c r="C253" s="162" t="s">
        <v>282</v>
      </c>
      <c r="D253" s="163"/>
      <c r="E253" s="163"/>
      <c r="F253" s="163"/>
      <c r="G253" s="164"/>
      <c r="H253" s="218">
        <f>SUM(H250:H252)</f>
        <v>0</v>
      </c>
      <c r="I253" s="165"/>
      <c r="J253" s="165"/>
      <c r="K253" s="218">
        <f>SUM(K250:K252)</f>
        <v>0</v>
      </c>
      <c r="L253" s="165"/>
      <c r="M253" s="166"/>
    </row>
    <row r="254" spans="2:14" s="2" customFormat="1" ht="21" hidden="1" customHeight="1" x14ac:dyDescent="0.2"/>
    <row r="255" spans="2:14" s="2" customFormat="1" ht="28.25" hidden="1" customHeight="1" x14ac:dyDescent="0.2">
      <c r="B255" s="142" t="s">
        <v>283</v>
      </c>
      <c r="C255" s="144"/>
      <c r="D255" s="144"/>
      <c r="E255" s="144"/>
      <c r="F255" s="144"/>
      <c r="G255" s="146"/>
      <c r="H255" s="168" t="str">
        <f>IF(ISNUMBER(H241),H241,"")</f>
        <v/>
      </c>
      <c r="I255" s="144"/>
      <c r="J255" s="146"/>
      <c r="K255" s="167" t="str">
        <f>IF(ISNUMBER(K241),K241,"")</f>
        <v/>
      </c>
      <c r="L255" s="148"/>
      <c r="M255" s="149"/>
    </row>
    <row r="256" spans="2:14" s="2" customFormat="1" ht="29.5" hidden="1" customHeight="1" x14ac:dyDescent="0.2">
      <c r="B256" s="156"/>
      <c r="C256" s="314" t="s">
        <v>284</v>
      </c>
      <c r="D256" s="315"/>
      <c r="E256" s="315"/>
      <c r="F256" s="315"/>
      <c r="G256" s="315"/>
      <c r="H256" s="217">
        <f>H247</f>
        <v>0</v>
      </c>
      <c r="K256" s="217">
        <f>K247</f>
        <v>0</v>
      </c>
      <c r="M256" s="158"/>
    </row>
    <row r="257" spans="2:14" s="2" customFormat="1" ht="29.5" hidden="1" customHeight="1" x14ac:dyDescent="0.2">
      <c r="B257" s="160"/>
      <c r="C257" s="307" t="s">
        <v>285</v>
      </c>
      <c r="D257" s="308"/>
      <c r="E257" s="308"/>
      <c r="F257" s="308"/>
      <c r="G257" s="308"/>
      <c r="H257" s="217">
        <f>H253</f>
        <v>0</v>
      </c>
      <c r="K257" s="217">
        <f>K253</f>
        <v>0</v>
      </c>
      <c r="M257" s="158"/>
    </row>
    <row r="258" spans="2:14" s="2" customFormat="1" ht="29.5" hidden="1" customHeight="1" x14ac:dyDescent="0.2">
      <c r="B258" s="160"/>
      <c r="C258" s="316" t="s">
        <v>286</v>
      </c>
      <c r="D258" s="317"/>
      <c r="E258" s="317"/>
      <c r="F258" s="317"/>
      <c r="G258" s="317"/>
      <c r="H258" s="219" t="str">
        <f>IFERROR(H256/H257,"N/A")</f>
        <v>N/A</v>
      </c>
      <c r="I258" s="165"/>
      <c r="J258" s="165"/>
      <c r="K258" s="219" t="str">
        <f>IFERROR(K256/K257,"N/A")</f>
        <v>N/A</v>
      </c>
      <c r="L258" s="165"/>
      <c r="M258" s="166"/>
    </row>
    <row r="259" spans="2:14" s="2" customFormat="1" ht="21" hidden="1" customHeight="1" x14ac:dyDescent="0.2">
      <c r="H259" s="171"/>
      <c r="K259" s="171"/>
    </row>
    <row r="260" spans="2:14" s="2" customFormat="1" ht="28.25" hidden="1" customHeight="1" x14ac:dyDescent="0.2">
      <c r="B260" s="142" t="s">
        <v>287</v>
      </c>
      <c r="C260" s="144"/>
      <c r="D260" s="144"/>
      <c r="E260" s="144"/>
      <c r="F260" s="144"/>
      <c r="G260" s="146"/>
      <c r="H260" s="168" t="str">
        <f>IF(ISNUMBER(H241),H241,"")</f>
        <v/>
      </c>
      <c r="I260" s="144"/>
      <c r="J260" s="146"/>
      <c r="K260" s="168" t="str">
        <f>IF(ISNUMBER(K241),K241,"")</f>
        <v/>
      </c>
      <c r="L260" s="148"/>
      <c r="M260" s="149"/>
    </row>
    <row r="261" spans="2:14" s="2" customFormat="1" ht="29.5" hidden="1" customHeight="1" x14ac:dyDescent="0.2">
      <c r="B261" s="156"/>
      <c r="C261" s="305" t="s">
        <v>288</v>
      </c>
      <c r="D261" s="306"/>
      <c r="E261" s="306"/>
      <c r="F261" s="306"/>
      <c r="G261" s="306"/>
      <c r="H261" s="217">
        <f>H243+H244+H246</f>
        <v>0</v>
      </c>
      <c r="K261" s="217">
        <f>K243+K244+K246</f>
        <v>0</v>
      </c>
      <c r="M261" s="158"/>
    </row>
    <row r="262" spans="2:14" s="2" customFormat="1" ht="29.5" hidden="1" customHeight="1" x14ac:dyDescent="0.2">
      <c r="B262" s="160"/>
      <c r="C262" s="307" t="s">
        <v>285</v>
      </c>
      <c r="D262" s="308"/>
      <c r="E262" s="308"/>
      <c r="F262" s="308"/>
      <c r="G262" s="308"/>
      <c r="H262" s="217">
        <f>H253</f>
        <v>0</v>
      </c>
      <c r="K262" s="217">
        <f>K253</f>
        <v>0</v>
      </c>
      <c r="M262" s="158"/>
    </row>
    <row r="263" spans="2:14" s="2" customFormat="1" ht="29.5" hidden="1" customHeight="1" x14ac:dyDescent="0.2">
      <c r="B263" s="160"/>
      <c r="C263" s="309" t="s">
        <v>289</v>
      </c>
      <c r="D263" s="310"/>
      <c r="E263" s="310"/>
      <c r="F263" s="310"/>
      <c r="G263" s="310"/>
      <c r="H263" s="219" t="str">
        <f>IFERROR(H261/H262,"N/A")</f>
        <v>N/A</v>
      </c>
      <c r="I263" s="165"/>
      <c r="J263" s="165"/>
      <c r="K263" s="219" t="str">
        <f>IFERROR(K261/K262,"N/A")</f>
        <v>N/A</v>
      </c>
      <c r="L263" s="165"/>
      <c r="M263" s="166"/>
    </row>
    <row r="264" spans="2:14" s="2" customFormat="1" ht="14" customHeight="1" x14ac:dyDescent="0.2"/>
    <row r="265" spans="2:14" s="2" customFormat="1" ht="27" customHeight="1" x14ac:dyDescent="0.2">
      <c r="B265" s="319" t="s">
        <v>564</v>
      </c>
      <c r="C265" s="320"/>
      <c r="D265" s="137"/>
      <c r="E265" s="138" t="s">
        <v>270</v>
      </c>
      <c r="F265" s="321"/>
      <c r="G265" s="322"/>
      <c r="H265" s="323"/>
      <c r="I265" s="139"/>
      <c r="J265" s="140" t="s">
        <v>271</v>
      </c>
      <c r="K265" s="141"/>
      <c r="L265" s="324" t="s">
        <v>272</v>
      </c>
      <c r="M265" s="325"/>
    </row>
    <row r="266" spans="2:14" s="2" customFormat="1" ht="6" hidden="1" customHeight="1" x14ac:dyDescent="0.2"/>
    <row r="267" spans="2:14" s="2" customFormat="1" ht="28.25" hidden="1" customHeight="1" x14ac:dyDescent="0.2">
      <c r="B267" s="142" t="s">
        <v>273</v>
      </c>
      <c r="C267" s="143"/>
      <c r="D267" s="144"/>
      <c r="E267" s="144"/>
      <c r="F267" s="145" t="s">
        <v>536</v>
      </c>
      <c r="G267" s="146"/>
      <c r="H267" s="147"/>
      <c r="I267" s="144"/>
      <c r="J267" s="146"/>
      <c r="K267" s="147"/>
      <c r="L267" s="148"/>
      <c r="M267" s="149"/>
    </row>
    <row r="268" spans="2:14" s="154" customFormat="1" ht="4.5" hidden="1" customHeight="1" x14ac:dyDescent="0.2">
      <c r="B268" s="150"/>
      <c r="C268" s="151"/>
      <c r="D268" s="151"/>
      <c r="E268" s="151"/>
      <c r="F268" s="151"/>
      <c r="G268" s="152"/>
      <c r="H268" s="153"/>
      <c r="I268" s="151"/>
      <c r="J268" s="152"/>
      <c r="K268" s="153"/>
      <c r="M268" s="155"/>
    </row>
    <row r="269" spans="2:14" s="2" customFormat="1" ht="25.25" hidden="1" customHeight="1" x14ac:dyDescent="0.2">
      <c r="B269" s="156">
        <v>1</v>
      </c>
      <c r="C269" s="311" t="s">
        <v>274</v>
      </c>
      <c r="D269" s="308"/>
      <c r="E269" s="308"/>
      <c r="F269" s="308"/>
      <c r="G269" s="308"/>
      <c r="H269" s="215"/>
      <c r="K269" s="215"/>
      <c r="M269" s="158"/>
      <c r="N269" s="159"/>
    </row>
    <row r="270" spans="2:14" s="2" customFormat="1" ht="25.25" hidden="1" customHeight="1" x14ac:dyDescent="0.2">
      <c r="B270" s="160">
        <v>2</v>
      </c>
      <c r="C270" s="311" t="s">
        <v>275</v>
      </c>
      <c r="D270" s="308"/>
      <c r="E270" s="308"/>
      <c r="F270" s="308"/>
      <c r="G270" s="308"/>
      <c r="H270" s="216"/>
      <c r="K270" s="216"/>
      <c r="M270" s="158"/>
      <c r="N270" s="159"/>
    </row>
    <row r="271" spans="2:14" s="2" customFormat="1" ht="25.25" hidden="1" customHeight="1" x14ac:dyDescent="0.2">
      <c r="B271" s="160">
        <v>3</v>
      </c>
      <c r="C271" s="311" t="s">
        <v>276</v>
      </c>
      <c r="D271" s="308"/>
      <c r="E271" s="308"/>
      <c r="F271" s="308"/>
      <c r="G271" s="308"/>
      <c r="H271" s="216"/>
      <c r="K271" s="216"/>
      <c r="M271" s="158"/>
      <c r="N271" s="159"/>
    </row>
    <row r="272" spans="2:14" s="2" customFormat="1" ht="25.25" hidden="1" customHeight="1" x14ac:dyDescent="0.2">
      <c r="B272" s="160">
        <v>4</v>
      </c>
      <c r="C272" s="157" t="s">
        <v>196</v>
      </c>
      <c r="D272" s="318"/>
      <c r="E272" s="318"/>
      <c r="F272" s="318"/>
      <c r="G272" s="161"/>
      <c r="H272" s="216"/>
      <c r="K272" s="216"/>
      <c r="M272" s="158"/>
      <c r="N272" s="159"/>
    </row>
    <row r="273" spans="2:14" s="2" customFormat="1" ht="29.5" hidden="1" customHeight="1" x14ac:dyDescent="0.2">
      <c r="B273" s="160">
        <v>5</v>
      </c>
      <c r="C273" s="162" t="s">
        <v>277</v>
      </c>
      <c r="D273" s="163"/>
      <c r="E273" s="163"/>
      <c r="F273" s="163"/>
      <c r="G273" s="164"/>
      <c r="H273" s="217">
        <f>SUM(H269:H272)</f>
        <v>0</v>
      </c>
      <c r="I273" s="165"/>
      <c r="J273" s="165"/>
      <c r="K273" s="217">
        <f>SUM(K269:K272)</f>
        <v>0</v>
      </c>
      <c r="L273" s="165"/>
      <c r="M273" s="166"/>
    </row>
    <row r="274" spans="2:14" s="2" customFormat="1" ht="28.25" hidden="1" customHeight="1" x14ac:dyDescent="0.2">
      <c r="B274" s="142" t="s">
        <v>278</v>
      </c>
      <c r="C274" s="144"/>
      <c r="D274" s="143"/>
      <c r="E274" s="144"/>
      <c r="F274" s="144"/>
      <c r="G274" s="146"/>
      <c r="H274" s="167" t="str">
        <f>IF(ISNUMBER(H267),H267,"")</f>
        <v/>
      </c>
      <c r="I274" s="144"/>
      <c r="J274" s="146"/>
      <c r="K274" s="168" t="str">
        <f>IF(ISNUMBER(K267),K267,"")</f>
        <v/>
      </c>
      <c r="L274" s="148"/>
      <c r="M274" s="149"/>
    </row>
    <row r="275" spans="2:14" s="154" customFormat="1" ht="4.5" hidden="1" customHeight="1" x14ac:dyDescent="0.2">
      <c r="B275" s="150"/>
      <c r="C275" s="151"/>
      <c r="D275" s="151"/>
      <c r="E275" s="151"/>
      <c r="F275" s="151"/>
      <c r="G275" s="152"/>
      <c r="H275" s="169"/>
      <c r="I275" s="151"/>
      <c r="J275" s="152"/>
      <c r="K275" s="170"/>
      <c r="M275" s="155"/>
    </row>
    <row r="276" spans="2:14" s="2" customFormat="1" ht="25.25" hidden="1" customHeight="1" x14ac:dyDescent="0.2">
      <c r="B276" s="156">
        <v>6</v>
      </c>
      <c r="C276" s="311" t="s">
        <v>279</v>
      </c>
      <c r="D276" s="308"/>
      <c r="E276" s="308"/>
      <c r="F276" s="308"/>
      <c r="G276" s="308"/>
      <c r="H276" s="215"/>
      <c r="K276" s="215"/>
      <c r="M276" s="158"/>
      <c r="N276" s="159"/>
    </row>
    <row r="277" spans="2:14" s="2" customFormat="1" ht="25.25" hidden="1" customHeight="1" x14ac:dyDescent="0.2">
      <c r="B277" s="160">
        <v>7</v>
      </c>
      <c r="C277" s="311" t="s">
        <v>280</v>
      </c>
      <c r="D277" s="308"/>
      <c r="E277" s="308"/>
      <c r="F277" s="308"/>
      <c r="G277" s="308"/>
      <c r="H277" s="215"/>
      <c r="K277" s="215"/>
      <c r="M277" s="158"/>
      <c r="N277" s="159"/>
    </row>
    <row r="278" spans="2:14" s="2" customFormat="1" ht="25.25" hidden="1" customHeight="1" x14ac:dyDescent="0.2">
      <c r="B278" s="160">
        <v>8</v>
      </c>
      <c r="C278" s="312" t="s">
        <v>281</v>
      </c>
      <c r="D278" s="308"/>
      <c r="E278" s="308"/>
      <c r="F278" s="308"/>
      <c r="G278" s="313"/>
      <c r="H278" s="215"/>
      <c r="K278" s="215"/>
      <c r="M278" s="158"/>
      <c r="N278" s="159"/>
    </row>
    <row r="279" spans="2:14" s="2" customFormat="1" ht="29.5" hidden="1" customHeight="1" x14ac:dyDescent="0.2">
      <c r="B279" s="160">
        <v>9</v>
      </c>
      <c r="C279" s="162" t="s">
        <v>282</v>
      </c>
      <c r="D279" s="163"/>
      <c r="E279" s="163"/>
      <c r="F279" s="163"/>
      <c r="G279" s="164"/>
      <c r="H279" s="218">
        <f>SUM(H276:H278)</f>
        <v>0</v>
      </c>
      <c r="I279" s="165"/>
      <c r="J279" s="165"/>
      <c r="K279" s="218">
        <f>SUM(K276:K278)</f>
        <v>0</v>
      </c>
      <c r="L279" s="165"/>
      <c r="M279" s="166"/>
    </row>
    <row r="280" spans="2:14" s="2" customFormat="1" ht="21" hidden="1" customHeight="1" x14ac:dyDescent="0.2"/>
    <row r="281" spans="2:14" s="2" customFormat="1" ht="28.25" hidden="1" customHeight="1" x14ac:dyDescent="0.2">
      <c r="B281" s="142" t="s">
        <v>283</v>
      </c>
      <c r="C281" s="144"/>
      <c r="D281" s="144"/>
      <c r="E281" s="144"/>
      <c r="F281" s="144"/>
      <c r="G281" s="146"/>
      <c r="H281" s="168" t="str">
        <f>IF(ISNUMBER(H267),H267,"")</f>
        <v/>
      </c>
      <c r="I281" s="144"/>
      <c r="J281" s="146"/>
      <c r="K281" s="167" t="str">
        <f>IF(ISNUMBER(K267),K267,"")</f>
        <v/>
      </c>
      <c r="L281" s="148"/>
      <c r="M281" s="149"/>
    </row>
    <row r="282" spans="2:14" s="2" customFormat="1" ht="29.5" hidden="1" customHeight="1" x14ac:dyDescent="0.2">
      <c r="B282" s="156"/>
      <c r="C282" s="314" t="s">
        <v>284</v>
      </c>
      <c r="D282" s="315"/>
      <c r="E282" s="315"/>
      <c r="F282" s="315"/>
      <c r="G282" s="315"/>
      <c r="H282" s="217">
        <f>H273</f>
        <v>0</v>
      </c>
      <c r="K282" s="217">
        <f>K273</f>
        <v>0</v>
      </c>
      <c r="M282" s="158"/>
    </row>
    <row r="283" spans="2:14" s="2" customFormat="1" ht="29.5" hidden="1" customHeight="1" x14ac:dyDescent="0.2">
      <c r="B283" s="160"/>
      <c r="C283" s="307" t="s">
        <v>285</v>
      </c>
      <c r="D283" s="308"/>
      <c r="E283" s="308"/>
      <c r="F283" s="308"/>
      <c r="G283" s="308"/>
      <c r="H283" s="217">
        <f>H279</f>
        <v>0</v>
      </c>
      <c r="K283" s="217">
        <f>K279</f>
        <v>0</v>
      </c>
      <c r="M283" s="158"/>
    </row>
    <row r="284" spans="2:14" s="2" customFormat="1" ht="29.5" hidden="1" customHeight="1" x14ac:dyDescent="0.2">
      <c r="B284" s="160"/>
      <c r="C284" s="316" t="s">
        <v>286</v>
      </c>
      <c r="D284" s="317"/>
      <c r="E284" s="317"/>
      <c r="F284" s="317"/>
      <c r="G284" s="317"/>
      <c r="H284" s="219" t="str">
        <f>IFERROR(H282/H283,"N/A")</f>
        <v>N/A</v>
      </c>
      <c r="I284" s="165"/>
      <c r="J284" s="165"/>
      <c r="K284" s="219" t="str">
        <f>IFERROR(K282/K283,"N/A")</f>
        <v>N/A</v>
      </c>
      <c r="L284" s="165"/>
      <c r="M284" s="166"/>
    </row>
    <row r="285" spans="2:14" s="2" customFormat="1" ht="21" hidden="1" customHeight="1" x14ac:dyDescent="0.2">
      <c r="H285" s="171"/>
      <c r="K285" s="171"/>
    </row>
    <row r="286" spans="2:14" s="2" customFormat="1" ht="28.25" hidden="1" customHeight="1" x14ac:dyDescent="0.2">
      <c r="B286" s="142" t="s">
        <v>287</v>
      </c>
      <c r="C286" s="144"/>
      <c r="D286" s="144"/>
      <c r="E286" s="144"/>
      <c r="F286" s="144"/>
      <c r="G286" s="146"/>
      <c r="H286" s="168" t="str">
        <f>IF(ISNUMBER(H267),H267,"")</f>
        <v/>
      </c>
      <c r="I286" s="144"/>
      <c r="J286" s="146"/>
      <c r="K286" s="168" t="str">
        <f>IF(ISNUMBER(K267),K267,"")</f>
        <v/>
      </c>
      <c r="L286" s="148"/>
      <c r="M286" s="149"/>
    </row>
    <row r="287" spans="2:14" s="2" customFormat="1" ht="29.5" hidden="1" customHeight="1" x14ac:dyDescent="0.2">
      <c r="B287" s="156"/>
      <c r="C287" s="305" t="s">
        <v>288</v>
      </c>
      <c r="D287" s="306"/>
      <c r="E287" s="306"/>
      <c r="F287" s="306"/>
      <c r="G287" s="306"/>
      <c r="H287" s="217">
        <f>H269+H270+H272</f>
        <v>0</v>
      </c>
      <c r="K287" s="217">
        <f>K269+K270+K272</f>
        <v>0</v>
      </c>
      <c r="M287" s="158"/>
    </row>
    <row r="288" spans="2:14" s="2" customFormat="1" ht="29.5" hidden="1" customHeight="1" x14ac:dyDescent="0.2">
      <c r="B288" s="160"/>
      <c r="C288" s="307" t="s">
        <v>285</v>
      </c>
      <c r="D288" s="308"/>
      <c r="E288" s="308"/>
      <c r="F288" s="308"/>
      <c r="G288" s="308"/>
      <c r="H288" s="217">
        <f>H279</f>
        <v>0</v>
      </c>
      <c r="K288" s="217">
        <f>K279</f>
        <v>0</v>
      </c>
      <c r="M288" s="158"/>
    </row>
    <row r="289" spans="2:14" s="2" customFormat="1" ht="29.5" hidden="1" customHeight="1" x14ac:dyDescent="0.2">
      <c r="B289" s="160"/>
      <c r="C289" s="309" t="s">
        <v>289</v>
      </c>
      <c r="D289" s="310"/>
      <c r="E289" s="310"/>
      <c r="F289" s="310"/>
      <c r="G289" s="310"/>
      <c r="H289" s="219" t="str">
        <f>IFERROR(H287/H288,"N/A")</f>
        <v>N/A</v>
      </c>
      <c r="I289" s="165"/>
      <c r="J289" s="165"/>
      <c r="K289" s="219" t="str">
        <f>IFERROR(K287/K288,"N/A")</f>
        <v>N/A</v>
      </c>
      <c r="L289" s="165"/>
      <c r="M289" s="166"/>
    </row>
    <row r="290" spans="2:14" s="2" customFormat="1" ht="14" customHeight="1" x14ac:dyDescent="0.2"/>
    <row r="291" spans="2:14" s="2" customFormat="1" ht="27" customHeight="1" x14ac:dyDescent="0.2">
      <c r="B291" s="319" t="s">
        <v>564</v>
      </c>
      <c r="C291" s="320"/>
      <c r="D291" s="137"/>
      <c r="E291" s="138" t="s">
        <v>270</v>
      </c>
      <c r="F291" s="321"/>
      <c r="G291" s="322"/>
      <c r="H291" s="323"/>
      <c r="I291" s="139"/>
      <c r="J291" s="140" t="s">
        <v>271</v>
      </c>
      <c r="K291" s="141"/>
      <c r="L291" s="324" t="s">
        <v>272</v>
      </c>
      <c r="M291" s="325"/>
    </row>
    <row r="292" spans="2:14" s="2" customFormat="1" ht="6" hidden="1" customHeight="1" x14ac:dyDescent="0.2"/>
    <row r="293" spans="2:14" s="2" customFormat="1" ht="28.25" hidden="1" customHeight="1" x14ac:dyDescent="0.2">
      <c r="B293" s="142" t="s">
        <v>273</v>
      </c>
      <c r="C293" s="143"/>
      <c r="D293" s="144"/>
      <c r="E293" s="144"/>
      <c r="F293" s="145" t="s">
        <v>536</v>
      </c>
      <c r="G293" s="146"/>
      <c r="H293" s="147"/>
      <c r="I293" s="144"/>
      <c r="J293" s="146"/>
      <c r="K293" s="147"/>
      <c r="L293" s="148"/>
      <c r="M293" s="149"/>
    </row>
    <row r="294" spans="2:14" s="154" customFormat="1" ht="4.5" hidden="1" customHeight="1" x14ac:dyDescent="0.2">
      <c r="B294" s="150"/>
      <c r="C294" s="151"/>
      <c r="D294" s="151"/>
      <c r="E294" s="151"/>
      <c r="F294" s="151"/>
      <c r="G294" s="152"/>
      <c r="H294" s="153"/>
      <c r="I294" s="151"/>
      <c r="J294" s="152"/>
      <c r="K294" s="153"/>
      <c r="M294" s="155"/>
    </row>
    <row r="295" spans="2:14" s="2" customFormat="1" ht="25.25" hidden="1" customHeight="1" x14ac:dyDescent="0.2">
      <c r="B295" s="156">
        <v>1</v>
      </c>
      <c r="C295" s="311" t="s">
        <v>274</v>
      </c>
      <c r="D295" s="308"/>
      <c r="E295" s="308"/>
      <c r="F295" s="308"/>
      <c r="G295" s="308"/>
      <c r="H295" s="215"/>
      <c r="K295" s="215"/>
      <c r="M295" s="158"/>
      <c r="N295" s="159"/>
    </row>
    <row r="296" spans="2:14" s="2" customFormat="1" ht="25.25" hidden="1" customHeight="1" x14ac:dyDescent="0.2">
      <c r="B296" s="160">
        <v>2</v>
      </c>
      <c r="C296" s="311" t="s">
        <v>275</v>
      </c>
      <c r="D296" s="308"/>
      <c r="E296" s="308"/>
      <c r="F296" s="308"/>
      <c r="G296" s="308"/>
      <c r="H296" s="216"/>
      <c r="K296" s="216"/>
      <c r="M296" s="158"/>
      <c r="N296" s="159"/>
    </row>
    <row r="297" spans="2:14" s="2" customFormat="1" ht="25.25" hidden="1" customHeight="1" x14ac:dyDescent="0.2">
      <c r="B297" s="160">
        <v>3</v>
      </c>
      <c r="C297" s="311" t="s">
        <v>276</v>
      </c>
      <c r="D297" s="308"/>
      <c r="E297" s="308"/>
      <c r="F297" s="308"/>
      <c r="G297" s="308"/>
      <c r="H297" s="216"/>
      <c r="K297" s="216"/>
      <c r="M297" s="158"/>
      <c r="N297" s="159"/>
    </row>
    <row r="298" spans="2:14" s="2" customFormat="1" ht="25.25" hidden="1" customHeight="1" x14ac:dyDescent="0.2">
      <c r="B298" s="160">
        <v>4</v>
      </c>
      <c r="C298" s="157" t="s">
        <v>196</v>
      </c>
      <c r="D298" s="318"/>
      <c r="E298" s="318"/>
      <c r="F298" s="318"/>
      <c r="G298" s="161"/>
      <c r="H298" s="216"/>
      <c r="K298" s="216"/>
      <c r="M298" s="158"/>
      <c r="N298" s="159"/>
    </row>
    <row r="299" spans="2:14" s="2" customFormat="1" ht="29.5" hidden="1" customHeight="1" x14ac:dyDescent="0.2">
      <c r="B299" s="160">
        <v>5</v>
      </c>
      <c r="C299" s="162" t="s">
        <v>277</v>
      </c>
      <c r="D299" s="163"/>
      <c r="E299" s="163"/>
      <c r="F299" s="163"/>
      <c r="G299" s="164"/>
      <c r="H299" s="217">
        <f>SUM(H295:H298)</f>
        <v>0</v>
      </c>
      <c r="I299" s="165"/>
      <c r="J299" s="165"/>
      <c r="K299" s="217">
        <f>SUM(K295:K298)</f>
        <v>0</v>
      </c>
      <c r="L299" s="165"/>
      <c r="M299" s="166"/>
    </row>
    <row r="300" spans="2:14" s="2" customFormat="1" ht="28.25" hidden="1" customHeight="1" x14ac:dyDescent="0.2">
      <c r="B300" s="142" t="s">
        <v>278</v>
      </c>
      <c r="C300" s="144"/>
      <c r="D300" s="143"/>
      <c r="E300" s="144"/>
      <c r="F300" s="144"/>
      <c r="G300" s="146"/>
      <c r="H300" s="167" t="str">
        <f>IF(ISNUMBER(H293),H293,"")</f>
        <v/>
      </c>
      <c r="I300" s="144"/>
      <c r="J300" s="146"/>
      <c r="K300" s="168" t="str">
        <f>IF(ISNUMBER(K293),K293,"")</f>
        <v/>
      </c>
      <c r="L300" s="148"/>
      <c r="M300" s="149"/>
    </row>
    <row r="301" spans="2:14" s="154" customFormat="1" ht="4.5" hidden="1" customHeight="1" x14ac:dyDescent="0.2">
      <c r="B301" s="150"/>
      <c r="C301" s="151"/>
      <c r="D301" s="151"/>
      <c r="E301" s="151"/>
      <c r="F301" s="151"/>
      <c r="G301" s="152"/>
      <c r="H301" s="169"/>
      <c r="I301" s="151"/>
      <c r="J301" s="152"/>
      <c r="K301" s="170"/>
      <c r="M301" s="155"/>
    </row>
    <row r="302" spans="2:14" s="2" customFormat="1" ht="25.25" hidden="1" customHeight="1" x14ac:dyDescent="0.2">
      <c r="B302" s="156">
        <v>6</v>
      </c>
      <c r="C302" s="311" t="s">
        <v>279</v>
      </c>
      <c r="D302" s="308"/>
      <c r="E302" s="308"/>
      <c r="F302" s="308"/>
      <c r="G302" s="308"/>
      <c r="H302" s="215"/>
      <c r="K302" s="215"/>
      <c r="M302" s="158"/>
      <c r="N302" s="159"/>
    </row>
    <row r="303" spans="2:14" s="2" customFormat="1" ht="25.25" hidden="1" customHeight="1" x14ac:dyDescent="0.2">
      <c r="B303" s="160">
        <v>7</v>
      </c>
      <c r="C303" s="311" t="s">
        <v>280</v>
      </c>
      <c r="D303" s="308"/>
      <c r="E303" s="308"/>
      <c r="F303" s="308"/>
      <c r="G303" s="308"/>
      <c r="H303" s="215"/>
      <c r="K303" s="215"/>
      <c r="M303" s="158"/>
      <c r="N303" s="159"/>
    </row>
    <row r="304" spans="2:14" s="2" customFormat="1" ht="25.25" hidden="1" customHeight="1" x14ac:dyDescent="0.2">
      <c r="B304" s="160">
        <v>8</v>
      </c>
      <c r="C304" s="312" t="s">
        <v>281</v>
      </c>
      <c r="D304" s="308"/>
      <c r="E304" s="308"/>
      <c r="F304" s="308"/>
      <c r="G304" s="313"/>
      <c r="H304" s="215"/>
      <c r="K304" s="215"/>
      <c r="M304" s="158"/>
      <c r="N304" s="159"/>
    </row>
    <row r="305" spans="2:13" s="2" customFormat="1" ht="29.5" hidden="1" customHeight="1" x14ac:dyDescent="0.2">
      <c r="B305" s="160">
        <v>9</v>
      </c>
      <c r="C305" s="162" t="s">
        <v>282</v>
      </c>
      <c r="D305" s="163"/>
      <c r="E305" s="163"/>
      <c r="F305" s="163"/>
      <c r="G305" s="164"/>
      <c r="H305" s="218">
        <f>SUM(H302:H304)</f>
        <v>0</v>
      </c>
      <c r="I305" s="165"/>
      <c r="J305" s="165"/>
      <c r="K305" s="218">
        <f>SUM(K302:K304)</f>
        <v>0</v>
      </c>
      <c r="L305" s="165"/>
      <c r="M305" s="166"/>
    </row>
    <row r="306" spans="2:13" s="2" customFormat="1" ht="21" hidden="1" customHeight="1" x14ac:dyDescent="0.2"/>
    <row r="307" spans="2:13" s="2" customFormat="1" ht="28.25" hidden="1" customHeight="1" x14ac:dyDescent="0.2">
      <c r="B307" s="142" t="s">
        <v>283</v>
      </c>
      <c r="C307" s="144"/>
      <c r="D307" s="144"/>
      <c r="E307" s="144"/>
      <c r="F307" s="144"/>
      <c r="G307" s="146"/>
      <c r="H307" s="168" t="str">
        <f>IF(ISNUMBER(H293),H293,"")</f>
        <v/>
      </c>
      <c r="I307" s="144"/>
      <c r="J307" s="146"/>
      <c r="K307" s="167" t="str">
        <f>IF(ISNUMBER(K293),K293,"")</f>
        <v/>
      </c>
      <c r="L307" s="148"/>
      <c r="M307" s="149"/>
    </row>
    <row r="308" spans="2:13" s="2" customFormat="1" ht="29.5" hidden="1" customHeight="1" x14ac:dyDescent="0.2">
      <c r="B308" s="156"/>
      <c r="C308" s="314" t="s">
        <v>284</v>
      </c>
      <c r="D308" s="315"/>
      <c r="E308" s="315"/>
      <c r="F308" s="315"/>
      <c r="G308" s="315"/>
      <c r="H308" s="217">
        <f>H299</f>
        <v>0</v>
      </c>
      <c r="K308" s="217">
        <f>K299</f>
        <v>0</v>
      </c>
      <c r="M308" s="158"/>
    </row>
    <row r="309" spans="2:13" s="2" customFormat="1" ht="29.5" hidden="1" customHeight="1" x14ac:dyDescent="0.2">
      <c r="B309" s="160"/>
      <c r="C309" s="307" t="s">
        <v>285</v>
      </c>
      <c r="D309" s="308"/>
      <c r="E309" s="308"/>
      <c r="F309" s="308"/>
      <c r="G309" s="308"/>
      <c r="H309" s="217">
        <f>H305</f>
        <v>0</v>
      </c>
      <c r="K309" s="217">
        <f>K305</f>
        <v>0</v>
      </c>
      <c r="M309" s="158"/>
    </row>
    <row r="310" spans="2:13" s="2" customFormat="1" ht="29.5" hidden="1" customHeight="1" x14ac:dyDescent="0.2">
      <c r="B310" s="160"/>
      <c r="C310" s="316" t="s">
        <v>286</v>
      </c>
      <c r="D310" s="317"/>
      <c r="E310" s="317"/>
      <c r="F310" s="317"/>
      <c r="G310" s="317"/>
      <c r="H310" s="219" t="str">
        <f>IFERROR(H308/H309,"N/A")</f>
        <v>N/A</v>
      </c>
      <c r="I310" s="165"/>
      <c r="J310" s="165"/>
      <c r="K310" s="219" t="str">
        <f>IFERROR(K308/K309,"N/A")</f>
        <v>N/A</v>
      </c>
      <c r="L310" s="165"/>
      <c r="M310" s="166"/>
    </row>
    <row r="311" spans="2:13" s="2" customFormat="1" ht="21" hidden="1" customHeight="1" x14ac:dyDescent="0.2">
      <c r="H311" s="171"/>
      <c r="K311" s="171"/>
    </row>
    <row r="312" spans="2:13" s="2" customFormat="1" ht="28.25" hidden="1" customHeight="1" x14ac:dyDescent="0.2">
      <c r="B312" s="142" t="s">
        <v>287</v>
      </c>
      <c r="C312" s="144"/>
      <c r="D312" s="144"/>
      <c r="E312" s="144"/>
      <c r="F312" s="144"/>
      <c r="G312" s="146"/>
      <c r="H312" s="168" t="str">
        <f>IF(ISNUMBER(H293),H293,"")</f>
        <v/>
      </c>
      <c r="I312" s="144"/>
      <c r="J312" s="146"/>
      <c r="K312" s="168" t="str">
        <f>IF(ISNUMBER(K293),K293,"")</f>
        <v/>
      </c>
      <c r="L312" s="148"/>
      <c r="M312" s="149"/>
    </row>
    <row r="313" spans="2:13" s="2" customFormat="1" ht="29.5" hidden="1" customHeight="1" x14ac:dyDescent="0.2">
      <c r="B313" s="156"/>
      <c r="C313" s="305" t="s">
        <v>288</v>
      </c>
      <c r="D313" s="306"/>
      <c r="E313" s="306"/>
      <c r="F313" s="306"/>
      <c r="G313" s="306"/>
      <c r="H313" s="217">
        <f>H295+H296+H298</f>
        <v>0</v>
      </c>
      <c r="K313" s="217">
        <f>K295+K296+K298</f>
        <v>0</v>
      </c>
      <c r="M313" s="158"/>
    </row>
    <row r="314" spans="2:13" s="2" customFormat="1" ht="29.5" hidden="1" customHeight="1" x14ac:dyDescent="0.2">
      <c r="B314" s="160"/>
      <c r="C314" s="307" t="s">
        <v>285</v>
      </c>
      <c r="D314" s="308"/>
      <c r="E314" s="308"/>
      <c r="F314" s="308"/>
      <c r="G314" s="308"/>
      <c r="H314" s="217">
        <f>H305</f>
        <v>0</v>
      </c>
      <c r="K314" s="217">
        <f>K305</f>
        <v>0</v>
      </c>
      <c r="M314" s="158"/>
    </row>
    <row r="315" spans="2:13" s="2" customFormat="1" ht="29.5" hidden="1" customHeight="1" x14ac:dyDescent="0.2">
      <c r="B315" s="160"/>
      <c r="C315" s="309" t="s">
        <v>289</v>
      </c>
      <c r="D315" s="310"/>
      <c r="E315" s="310"/>
      <c r="F315" s="310"/>
      <c r="G315" s="310"/>
      <c r="H315" s="219" t="str">
        <f>IFERROR(H313/H314,"N/A")</f>
        <v>N/A</v>
      </c>
      <c r="I315" s="165"/>
      <c r="J315" s="165"/>
      <c r="K315" s="219" t="str">
        <f>IFERROR(K313/K314,"N/A")</f>
        <v>N/A</v>
      </c>
      <c r="L315" s="165"/>
      <c r="M315" s="166"/>
    </row>
    <row r="316" spans="2:13" s="2" customFormat="1" ht="14" customHeight="1" x14ac:dyDescent="0.2"/>
    <row r="317" spans="2:13" s="2" customFormat="1" ht="27" customHeight="1" x14ac:dyDescent="0.2">
      <c r="B317" s="319" t="s">
        <v>564</v>
      </c>
      <c r="C317" s="320"/>
      <c r="D317" s="137"/>
      <c r="E317" s="138" t="s">
        <v>270</v>
      </c>
      <c r="F317" s="321"/>
      <c r="G317" s="322"/>
      <c r="H317" s="323"/>
      <c r="I317" s="139"/>
      <c r="J317" s="140" t="s">
        <v>271</v>
      </c>
      <c r="K317" s="141"/>
      <c r="L317" s="324" t="s">
        <v>272</v>
      </c>
      <c r="M317" s="325"/>
    </row>
    <row r="318" spans="2:13" s="2" customFormat="1" ht="6" hidden="1" customHeight="1" x14ac:dyDescent="0.2"/>
    <row r="319" spans="2:13" s="2" customFormat="1" ht="28.25" hidden="1" customHeight="1" x14ac:dyDescent="0.2">
      <c r="B319" s="142" t="s">
        <v>273</v>
      </c>
      <c r="C319" s="143"/>
      <c r="D319" s="144"/>
      <c r="E319" s="144"/>
      <c r="F319" s="145" t="s">
        <v>536</v>
      </c>
      <c r="G319" s="146"/>
      <c r="H319" s="147"/>
      <c r="I319" s="144"/>
      <c r="J319" s="146"/>
      <c r="K319" s="147"/>
      <c r="L319" s="148"/>
      <c r="M319" s="149"/>
    </row>
    <row r="320" spans="2:13" s="154" customFormat="1" ht="4.5" hidden="1" customHeight="1" x14ac:dyDescent="0.2">
      <c r="B320" s="150"/>
      <c r="C320" s="151"/>
      <c r="D320" s="151"/>
      <c r="E320" s="151"/>
      <c r="F320" s="151"/>
      <c r="G320" s="152"/>
      <c r="H320" s="153"/>
      <c r="I320" s="151"/>
      <c r="J320" s="152"/>
      <c r="K320" s="153"/>
      <c r="M320" s="155"/>
    </row>
    <row r="321" spans="2:14" s="2" customFormat="1" ht="25.25" hidden="1" customHeight="1" x14ac:dyDescent="0.2">
      <c r="B321" s="156">
        <v>1</v>
      </c>
      <c r="C321" s="311" t="s">
        <v>274</v>
      </c>
      <c r="D321" s="308"/>
      <c r="E321" s="308"/>
      <c r="F321" s="308"/>
      <c r="G321" s="308"/>
      <c r="H321" s="215"/>
      <c r="K321" s="215"/>
      <c r="M321" s="158"/>
      <c r="N321" s="159"/>
    </row>
    <row r="322" spans="2:14" s="2" customFormat="1" ht="25.25" hidden="1" customHeight="1" x14ac:dyDescent="0.2">
      <c r="B322" s="160">
        <v>2</v>
      </c>
      <c r="C322" s="311" t="s">
        <v>275</v>
      </c>
      <c r="D322" s="308"/>
      <c r="E322" s="308"/>
      <c r="F322" s="308"/>
      <c r="G322" s="308"/>
      <c r="H322" s="216"/>
      <c r="K322" s="216"/>
      <c r="M322" s="158"/>
      <c r="N322" s="159"/>
    </row>
    <row r="323" spans="2:14" s="2" customFormat="1" ht="25.25" hidden="1" customHeight="1" x14ac:dyDescent="0.2">
      <c r="B323" s="160">
        <v>3</v>
      </c>
      <c r="C323" s="311" t="s">
        <v>276</v>
      </c>
      <c r="D323" s="308"/>
      <c r="E323" s="308"/>
      <c r="F323" s="308"/>
      <c r="G323" s="308"/>
      <c r="H323" s="216"/>
      <c r="K323" s="216"/>
      <c r="M323" s="158"/>
      <c r="N323" s="159"/>
    </row>
    <row r="324" spans="2:14" s="2" customFormat="1" ht="25.25" hidden="1" customHeight="1" x14ac:dyDescent="0.2">
      <c r="B324" s="160">
        <v>4</v>
      </c>
      <c r="C324" s="157" t="s">
        <v>196</v>
      </c>
      <c r="D324" s="318"/>
      <c r="E324" s="318"/>
      <c r="F324" s="318"/>
      <c r="G324" s="161"/>
      <c r="H324" s="216"/>
      <c r="K324" s="216"/>
      <c r="M324" s="158"/>
      <c r="N324" s="159"/>
    </row>
    <row r="325" spans="2:14" s="2" customFormat="1" ht="29.5" hidden="1" customHeight="1" x14ac:dyDescent="0.2">
      <c r="B325" s="160">
        <v>5</v>
      </c>
      <c r="C325" s="162" t="s">
        <v>277</v>
      </c>
      <c r="D325" s="163"/>
      <c r="E325" s="163"/>
      <c r="F325" s="163"/>
      <c r="G325" s="164"/>
      <c r="H325" s="217">
        <f>SUM(H321:H324)</f>
        <v>0</v>
      </c>
      <c r="I325" s="165"/>
      <c r="J325" s="165"/>
      <c r="K325" s="217">
        <f>SUM(K321:K324)</f>
        <v>0</v>
      </c>
      <c r="L325" s="165"/>
      <c r="M325" s="166"/>
    </row>
    <row r="326" spans="2:14" s="2" customFormat="1" ht="28.25" hidden="1" customHeight="1" x14ac:dyDescent="0.2">
      <c r="B326" s="142" t="s">
        <v>278</v>
      </c>
      <c r="C326" s="144"/>
      <c r="D326" s="143"/>
      <c r="E326" s="144"/>
      <c r="F326" s="144"/>
      <c r="G326" s="146"/>
      <c r="H326" s="167" t="str">
        <f>IF(ISNUMBER(H319),H319,"")</f>
        <v/>
      </c>
      <c r="I326" s="144"/>
      <c r="J326" s="146"/>
      <c r="K326" s="168" t="str">
        <f>IF(ISNUMBER(K319),K319,"")</f>
        <v/>
      </c>
      <c r="L326" s="148"/>
      <c r="M326" s="149"/>
    </row>
    <row r="327" spans="2:14" s="154" customFormat="1" ht="4.5" hidden="1" customHeight="1" x14ac:dyDescent="0.2">
      <c r="B327" s="150"/>
      <c r="C327" s="151"/>
      <c r="D327" s="151"/>
      <c r="E327" s="151"/>
      <c r="F327" s="151"/>
      <c r="G327" s="152"/>
      <c r="H327" s="169"/>
      <c r="I327" s="151"/>
      <c r="J327" s="152"/>
      <c r="K327" s="170"/>
      <c r="M327" s="155"/>
    </row>
    <row r="328" spans="2:14" s="2" customFormat="1" ht="25.25" hidden="1" customHeight="1" x14ac:dyDescent="0.2">
      <c r="B328" s="156">
        <v>6</v>
      </c>
      <c r="C328" s="311" t="s">
        <v>279</v>
      </c>
      <c r="D328" s="308"/>
      <c r="E328" s="308"/>
      <c r="F328" s="308"/>
      <c r="G328" s="308"/>
      <c r="H328" s="215"/>
      <c r="K328" s="215"/>
      <c r="M328" s="158"/>
      <c r="N328" s="159"/>
    </row>
    <row r="329" spans="2:14" s="2" customFormat="1" ht="25.25" hidden="1" customHeight="1" x14ac:dyDescent="0.2">
      <c r="B329" s="160">
        <v>7</v>
      </c>
      <c r="C329" s="311" t="s">
        <v>280</v>
      </c>
      <c r="D329" s="308"/>
      <c r="E329" s="308"/>
      <c r="F329" s="308"/>
      <c r="G329" s="308"/>
      <c r="H329" s="215"/>
      <c r="K329" s="215"/>
      <c r="M329" s="158"/>
      <c r="N329" s="159"/>
    </row>
    <row r="330" spans="2:14" s="2" customFormat="1" ht="25.25" hidden="1" customHeight="1" x14ac:dyDescent="0.2">
      <c r="B330" s="160">
        <v>8</v>
      </c>
      <c r="C330" s="312" t="s">
        <v>281</v>
      </c>
      <c r="D330" s="308"/>
      <c r="E330" s="308"/>
      <c r="F330" s="308"/>
      <c r="G330" s="313"/>
      <c r="H330" s="215"/>
      <c r="K330" s="215"/>
      <c r="M330" s="158"/>
      <c r="N330" s="159"/>
    </row>
    <row r="331" spans="2:14" s="2" customFormat="1" ht="29.5" hidden="1" customHeight="1" x14ac:dyDescent="0.2">
      <c r="B331" s="160">
        <v>9</v>
      </c>
      <c r="C331" s="162" t="s">
        <v>282</v>
      </c>
      <c r="D331" s="163"/>
      <c r="E331" s="163"/>
      <c r="F331" s="163"/>
      <c r="G331" s="164"/>
      <c r="H331" s="218">
        <f>SUM(H328:H330)</f>
        <v>0</v>
      </c>
      <c r="I331" s="165"/>
      <c r="J331" s="165"/>
      <c r="K331" s="218">
        <f>SUM(K328:K330)</f>
        <v>0</v>
      </c>
      <c r="L331" s="165"/>
      <c r="M331" s="166"/>
    </row>
    <row r="332" spans="2:14" s="2" customFormat="1" ht="21" hidden="1" customHeight="1" x14ac:dyDescent="0.2"/>
    <row r="333" spans="2:14" s="2" customFormat="1" ht="28.25" hidden="1" customHeight="1" x14ac:dyDescent="0.2">
      <c r="B333" s="142" t="s">
        <v>283</v>
      </c>
      <c r="C333" s="144"/>
      <c r="D333" s="144"/>
      <c r="E333" s="144"/>
      <c r="F333" s="144"/>
      <c r="G333" s="146"/>
      <c r="H333" s="168" t="str">
        <f>IF(ISNUMBER(H319),H319,"")</f>
        <v/>
      </c>
      <c r="I333" s="144"/>
      <c r="J333" s="146"/>
      <c r="K333" s="167" t="str">
        <f>IF(ISNUMBER(K319),K319,"")</f>
        <v/>
      </c>
      <c r="L333" s="148"/>
      <c r="M333" s="149"/>
    </row>
    <row r="334" spans="2:14" s="2" customFormat="1" ht="29.5" hidden="1" customHeight="1" x14ac:dyDescent="0.2">
      <c r="B334" s="156"/>
      <c r="C334" s="314" t="s">
        <v>284</v>
      </c>
      <c r="D334" s="315"/>
      <c r="E334" s="315"/>
      <c r="F334" s="315"/>
      <c r="G334" s="315"/>
      <c r="H334" s="217">
        <f>H325</f>
        <v>0</v>
      </c>
      <c r="K334" s="217">
        <f>K325</f>
        <v>0</v>
      </c>
      <c r="M334" s="158"/>
    </row>
    <row r="335" spans="2:14" s="2" customFormat="1" ht="29.5" hidden="1" customHeight="1" x14ac:dyDescent="0.2">
      <c r="B335" s="160"/>
      <c r="C335" s="307" t="s">
        <v>285</v>
      </c>
      <c r="D335" s="308"/>
      <c r="E335" s="308"/>
      <c r="F335" s="308"/>
      <c r="G335" s="308"/>
      <c r="H335" s="217">
        <f>H331</f>
        <v>0</v>
      </c>
      <c r="K335" s="217">
        <f>K331</f>
        <v>0</v>
      </c>
      <c r="M335" s="158"/>
    </row>
    <row r="336" spans="2:14" s="2" customFormat="1" ht="29.5" hidden="1" customHeight="1" x14ac:dyDescent="0.2">
      <c r="B336" s="160"/>
      <c r="C336" s="316" t="s">
        <v>286</v>
      </c>
      <c r="D336" s="317"/>
      <c r="E336" s="317"/>
      <c r="F336" s="317"/>
      <c r="G336" s="317"/>
      <c r="H336" s="219" t="str">
        <f>IFERROR(H334/H335,"N/A")</f>
        <v>N/A</v>
      </c>
      <c r="I336" s="165"/>
      <c r="J336" s="165"/>
      <c r="K336" s="219" t="str">
        <f>IFERROR(K334/K335,"N/A")</f>
        <v>N/A</v>
      </c>
      <c r="L336" s="165"/>
      <c r="M336" s="166"/>
    </row>
    <row r="337" spans="2:14" s="2" customFormat="1" ht="21" hidden="1" customHeight="1" x14ac:dyDescent="0.2">
      <c r="H337" s="171"/>
      <c r="K337" s="171"/>
    </row>
    <row r="338" spans="2:14" s="2" customFormat="1" ht="28.25" hidden="1" customHeight="1" x14ac:dyDescent="0.2">
      <c r="B338" s="142" t="s">
        <v>287</v>
      </c>
      <c r="C338" s="144"/>
      <c r="D338" s="144"/>
      <c r="E338" s="144"/>
      <c r="F338" s="144"/>
      <c r="G338" s="146"/>
      <c r="H338" s="168" t="str">
        <f>IF(ISNUMBER(H319),H319,"")</f>
        <v/>
      </c>
      <c r="I338" s="144"/>
      <c r="J338" s="146"/>
      <c r="K338" s="168" t="str">
        <f>IF(ISNUMBER(K319),K319,"")</f>
        <v/>
      </c>
      <c r="L338" s="148"/>
      <c r="M338" s="149"/>
    </row>
    <row r="339" spans="2:14" s="2" customFormat="1" ht="29.5" hidden="1" customHeight="1" x14ac:dyDescent="0.2">
      <c r="B339" s="156"/>
      <c r="C339" s="305" t="s">
        <v>288</v>
      </c>
      <c r="D339" s="306"/>
      <c r="E339" s="306"/>
      <c r="F339" s="306"/>
      <c r="G339" s="306"/>
      <c r="H339" s="217">
        <f>H321+H322+H324</f>
        <v>0</v>
      </c>
      <c r="K339" s="217">
        <f>K321+K322+K324</f>
        <v>0</v>
      </c>
      <c r="M339" s="158"/>
    </row>
    <row r="340" spans="2:14" s="2" customFormat="1" ht="29.5" hidden="1" customHeight="1" x14ac:dyDescent="0.2">
      <c r="B340" s="160"/>
      <c r="C340" s="307" t="s">
        <v>285</v>
      </c>
      <c r="D340" s="308"/>
      <c r="E340" s="308"/>
      <c r="F340" s="308"/>
      <c r="G340" s="308"/>
      <c r="H340" s="217">
        <f>H331</f>
        <v>0</v>
      </c>
      <c r="K340" s="217">
        <f>K331</f>
        <v>0</v>
      </c>
      <c r="M340" s="158"/>
    </row>
    <row r="341" spans="2:14" s="2" customFormat="1" ht="29.5" hidden="1" customHeight="1" x14ac:dyDescent="0.2">
      <c r="B341" s="160"/>
      <c r="C341" s="309" t="s">
        <v>289</v>
      </c>
      <c r="D341" s="310"/>
      <c r="E341" s="310"/>
      <c r="F341" s="310"/>
      <c r="G341" s="310"/>
      <c r="H341" s="219" t="str">
        <f>IFERROR(H339/H340,"N/A")</f>
        <v>N/A</v>
      </c>
      <c r="I341" s="165"/>
      <c r="J341" s="165"/>
      <c r="K341" s="219" t="str">
        <f>IFERROR(K339/K340,"N/A")</f>
        <v>N/A</v>
      </c>
      <c r="L341" s="165"/>
      <c r="M341" s="166"/>
    </row>
    <row r="342" spans="2:14" s="2" customFormat="1" ht="14" customHeight="1" x14ac:dyDescent="0.2"/>
    <row r="343" spans="2:14" s="2" customFormat="1" ht="27" customHeight="1" x14ac:dyDescent="0.2">
      <c r="B343" s="319" t="s">
        <v>564</v>
      </c>
      <c r="C343" s="320"/>
      <c r="D343" s="137"/>
      <c r="E343" s="138" t="s">
        <v>270</v>
      </c>
      <c r="F343" s="321"/>
      <c r="G343" s="322"/>
      <c r="H343" s="323"/>
      <c r="I343" s="139"/>
      <c r="J343" s="140" t="s">
        <v>271</v>
      </c>
      <c r="K343" s="141"/>
      <c r="L343" s="324" t="s">
        <v>272</v>
      </c>
      <c r="M343" s="325"/>
    </row>
    <row r="344" spans="2:14" s="2" customFormat="1" ht="6" hidden="1" customHeight="1" x14ac:dyDescent="0.2"/>
    <row r="345" spans="2:14" s="2" customFormat="1" ht="28.25" hidden="1" customHeight="1" x14ac:dyDescent="0.2">
      <c r="B345" s="142" t="s">
        <v>273</v>
      </c>
      <c r="C345" s="143"/>
      <c r="D345" s="144"/>
      <c r="E345" s="144"/>
      <c r="F345" s="145" t="s">
        <v>536</v>
      </c>
      <c r="G345" s="146"/>
      <c r="H345" s="147"/>
      <c r="I345" s="144"/>
      <c r="J345" s="146"/>
      <c r="K345" s="147"/>
      <c r="L345" s="148"/>
      <c r="M345" s="149"/>
    </row>
    <row r="346" spans="2:14" s="154" customFormat="1" ht="4.5" hidden="1" customHeight="1" x14ac:dyDescent="0.2">
      <c r="B346" s="150"/>
      <c r="C346" s="151"/>
      <c r="D346" s="151"/>
      <c r="E346" s="151"/>
      <c r="F346" s="151"/>
      <c r="G346" s="152"/>
      <c r="H346" s="153"/>
      <c r="I346" s="151"/>
      <c r="J346" s="152"/>
      <c r="K346" s="153"/>
      <c r="M346" s="155"/>
    </row>
    <row r="347" spans="2:14" s="2" customFormat="1" ht="25.25" hidden="1" customHeight="1" x14ac:dyDescent="0.2">
      <c r="B347" s="156">
        <v>1</v>
      </c>
      <c r="C347" s="311" t="s">
        <v>274</v>
      </c>
      <c r="D347" s="308"/>
      <c r="E347" s="308"/>
      <c r="F347" s="308"/>
      <c r="G347" s="308"/>
      <c r="H347" s="215"/>
      <c r="K347" s="215"/>
      <c r="M347" s="158"/>
      <c r="N347" s="159"/>
    </row>
    <row r="348" spans="2:14" s="2" customFormat="1" ht="25.25" hidden="1" customHeight="1" x14ac:dyDescent="0.2">
      <c r="B348" s="160">
        <v>2</v>
      </c>
      <c r="C348" s="311" t="s">
        <v>275</v>
      </c>
      <c r="D348" s="308"/>
      <c r="E348" s="308"/>
      <c r="F348" s="308"/>
      <c r="G348" s="308"/>
      <c r="H348" s="216"/>
      <c r="K348" s="216"/>
      <c r="M348" s="158"/>
      <c r="N348" s="159"/>
    </row>
    <row r="349" spans="2:14" s="2" customFormat="1" ht="25.25" hidden="1" customHeight="1" x14ac:dyDescent="0.2">
      <c r="B349" s="160">
        <v>3</v>
      </c>
      <c r="C349" s="311" t="s">
        <v>276</v>
      </c>
      <c r="D349" s="308"/>
      <c r="E349" s="308"/>
      <c r="F349" s="308"/>
      <c r="G349" s="308"/>
      <c r="H349" s="216"/>
      <c r="K349" s="216"/>
      <c r="M349" s="158"/>
      <c r="N349" s="159"/>
    </row>
    <row r="350" spans="2:14" s="2" customFormat="1" ht="25.25" hidden="1" customHeight="1" x14ac:dyDescent="0.2">
      <c r="B350" s="160">
        <v>4</v>
      </c>
      <c r="C350" s="157" t="s">
        <v>196</v>
      </c>
      <c r="D350" s="318"/>
      <c r="E350" s="318"/>
      <c r="F350" s="318"/>
      <c r="G350" s="161"/>
      <c r="H350" s="216"/>
      <c r="K350" s="216"/>
      <c r="M350" s="158"/>
      <c r="N350" s="159"/>
    </row>
    <row r="351" spans="2:14" s="2" customFormat="1" ht="29.5" hidden="1" customHeight="1" x14ac:dyDescent="0.2">
      <c r="B351" s="160">
        <v>5</v>
      </c>
      <c r="C351" s="162" t="s">
        <v>277</v>
      </c>
      <c r="D351" s="163"/>
      <c r="E351" s="163"/>
      <c r="F351" s="163"/>
      <c r="G351" s="164"/>
      <c r="H351" s="217">
        <f>SUM(H347:H350)</f>
        <v>0</v>
      </c>
      <c r="I351" s="165"/>
      <c r="J351" s="165"/>
      <c r="K351" s="217">
        <f>SUM(K347:K350)</f>
        <v>0</v>
      </c>
      <c r="L351" s="165"/>
      <c r="M351" s="166"/>
    </row>
    <row r="352" spans="2:14" s="2" customFormat="1" ht="28.25" hidden="1" customHeight="1" x14ac:dyDescent="0.2">
      <c r="B352" s="142" t="s">
        <v>278</v>
      </c>
      <c r="C352" s="144"/>
      <c r="D352" s="143"/>
      <c r="E352" s="144"/>
      <c r="F352" s="144"/>
      <c r="G352" s="146"/>
      <c r="H352" s="167" t="str">
        <f>IF(ISNUMBER(H345),H345,"")</f>
        <v/>
      </c>
      <c r="I352" s="144"/>
      <c r="J352" s="146"/>
      <c r="K352" s="168" t="str">
        <f>IF(ISNUMBER(K345),K345,"")</f>
        <v/>
      </c>
      <c r="L352" s="148"/>
      <c r="M352" s="149"/>
    </row>
    <row r="353" spans="2:14" s="154" customFormat="1" ht="4.5" hidden="1" customHeight="1" x14ac:dyDescent="0.2">
      <c r="B353" s="150"/>
      <c r="C353" s="151"/>
      <c r="D353" s="151"/>
      <c r="E353" s="151"/>
      <c r="F353" s="151"/>
      <c r="G353" s="152"/>
      <c r="H353" s="169"/>
      <c r="I353" s="151"/>
      <c r="J353" s="152"/>
      <c r="K353" s="170"/>
      <c r="M353" s="155"/>
    </row>
    <row r="354" spans="2:14" s="2" customFormat="1" ht="25.25" hidden="1" customHeight="1" x14ac:dyDescent="0.2">
      <c r="B354" s="156">
        <v>6</v>
      </c>
      <c r="C354" s="311" t="s">
        <v>279</v>
      </c>
      <c r="D354" s="308"/>
      <c r="E354" s="308"/>
      <c r="F354" s="308"/>
      <c r="G354" s="308"/>
      <c r="H354" s="215"/>
      <c r="K354" s="215"/>
      <c r="M354" s="158"/>
      <c r="N354" s="159"/>
    </row>
    <row r="355" spans="2:14" s="2" customFormat="1" ht="25.25" hidden="1" customHeight="1" x14ac:dyDescent="0.2">
      <c r="B355" s="160">
        <v>7</v>
      </c>
      <c r="C355" s="311" t="s">
        <v>280</v>
      </c>
      <c r="D355" s="308"/>
      <c r="E355" s="308"/>
      <c r="F355" s="308"/>
      <c r="G355" s="308"/>
      <c r="H355" s="215"/>
      <c r="K355" s="215"/>
      <c r="M355" s="158"/>
      <c r="N355" s="159"/>
    </row>
    <row r="356" spans="2:14" s="2" customFormat="1" ht="25.25" hidden="1" customHeight="1" x14ac:dyDescent="0.2">
      <c r="B356" s="160">
        <v>8</v>
      </c>
      <c r="C356" s="312" t="s">
        <v>281</v>
      </c>
      <c r="D356" s="308"/>
      <c r="E356" s="308"/>
      <c r="F356" s="308"/>
      <c r="G356" s="313"/>
      <c r="H356" s="215"/>
      <c r="K356" s="215"/>
      <c r="M356" s="158"/>
      <c r="N356" s="159"/>
    </row>
    <row r="357" spans="2:14" s="2" customFormat="1" ht="29.5" hidden="1" customHeight="1" x14ac:dyDescent="0.2">
      <c r="B357" s="160">
        <v>9</v>
      </c>
      <c r="C357" s="162" t="s">
        <v>282</v>
      </c>
      <c r="D357" s="163"/>
      <c r="E357" s="163"/>
      <c r="F357" s="163"/>
      <c r="G357" s="164"/>
      <c r="H357" s="218">
        <f>SUM(H354:H356)</f>
        <v>0</v>
      </c>
      <c r="I357" s="165"/>
      <c r="J357" s="165"/>
      <c r="K357" s="218">
        <f>SUM(K354:K356)</f>
        <v>0</v>
      </c>
      <c r="L357" s="165"/>
      <c r="M357" s="166"/>
    </row>
    <row r="358" spans="2:14" s="2" customFormat="1" ht="21" hidden="1" customHeight="1" x14ac:dyDescent="0.2"/>
    <row r="359" spans="2:14" s="2" customFormat="1" ht="28.25" hidden="1" customHeight="1" x14ac:dyDescent="0.2">
      <c r="B359" s="142" t="s">
        <v>283</v>
      </c>
      <c r="C359" s="144"/>
      <c r="D359" s="144"/>
      <c r="E359" s="144"/>
      <c r="F359" s="144"/>
      <c r="G359" s="146"/>
      <c r="H359" s="168" t="str">
        <f>IF(ISNUMBER(H345),H345,"")</f>
        <v/>
      </c>
      <c r="I359" s="144"/>
      <c r="J359" s="146"/>
      <c r="K359" s="167" t="str">
        <f>IF(ISNUMBER(K345),K345,"")</f>
        <v/>
      </c>
      <c r="L359" s="148"/>
      <c r="M359" s="149"/>
    </row>
    <row r="360" spans="2:14" s="2" customFormat="1" ht="29.5" hidden="1" customHeight="1" x14ac:dyDescent="0.2">
      <c r="B360" s="156"/>
      <c r="C360" s="314" t="s">
        <v>284</v>
      </c>
      <c r="D360" s="315"/>
      <c r="E360" s="315"/>
      <c r="F360" s="315"/>
      <c r="G360" s="315"/>
      <c r="H360" s="217">
        <f>H351</f>
        <v>0</v>
      </c>
      <c r="K360" s="217">
        <f>K351</f>
        <v>0</v>
      </c>
      <c r="M360" s="158"/>
    </row>
    <row r="361" spans="2:14" s="2" customFormat="1" ht="29.5" hidden="1" customHeight="1" x14ac:dyDescent="0.2">
      <c r="B361" s="160"/>
      <c r="C361" s="307" t="s">
        <v>285</v>
      </c>
      <c r="D361" s="308"/>
      <c r="E361" s="308"/>
      <c r="F361" s="308"/>
      <c r="G361" s="308"/>
      <c r="H361" s="217">
        <f>H357</f>
        <v>0</v>
      </c>
      <c r="K361" s="217">
        <f>K357</f>
        <v>0</v>
      </c>
      <c r="M361" s="158"/>
    </row>
    <row r="362" spans="2:14" s="2" customFormat="1" ht="29.5" hidden="1" customHeight="1" x14ac:dyDescent="0.2">
      <c r="B362" s="160"/>
      <c r="C362" s="316" t="s">
        <v>286</v>
      </c>
      <c r="D362" s="317"/>
      <c r="E362" s="317"/>
      <c r="F362" s="317"/>
      <c r="G362" s="317"/>
      <c r="H362" s="219" t="str">
        <f>IFERROR(H360/H361,"N/A")</f>
        <v>N/A</v>
      </c>
      <c r="I362" s="165"/>
      <c r="J362" s="165"/>
      <c r="K362" s="219" t="str">
        <f>IFERROR(K360/K361,"N/A")</f>
        <v>N/A</v>
      </c>
      <c r="L362" s="165"/>
      <c r="M362" s="166"/>
    </row>
    <row r="363" spans="2:14" s="2" customFormat="1" ht="21" hidden="1" customHeight="1" x14ac:dyDescent="0.2">
      <c r="H363" s="171"/>
      <c r="K363" s="171"/>
    </row>
    <row r="364" spans="2:14" s="2" customFormat="1" ht="28.25" hidden="1" customHeight="1" x14ac:dyDescent="0.2">
      <c r="B364" s="142" t="s">
        <v>287</v>
      </c>
      <c r="C364" s="144"/>
      <c r="D364" s="144"/>
      <c r="E364" s="144"/>
      <c r="F364" s="144"/>
      <c r="G364" s="146"/>
      <c r="H364" s="168" t="str">
        <f>IF(ISNUMBER(H345),H345,"")</f>
        <v/>
      </c>
      <c r="I364" s="144"/>
      <c r="J364" s="146"/>
      <c r="K364" s="168" t="str">
        <f>IF(ISNUMBER(K345),K345,"")</f>
        <v/>
      </c>
      <c r="L364" s="148"/>
      <c r="M364" s="149"/>
    </row>
    <row r="365" spans="2:14" s="2" customFormat="1" ht="29.5" hidden="1" customHeight="1" x14ac:dyDescent="0.2">
      <c r="B365" s="156"/>
      <c r="C365" s="305" t="s">
        <v>288</v>
      </c>
      <c r="D365" s="306"/>
      <c r="E365" s="306"/>
      <c r="F365" s="306"/>
      <c r="G365" s="306"/>
      <c r="H365" s="217">
        <f>H347+H348+H350</f>
        <v>0</v>
      </c>
      <c r="K365" s="217">
        <f>K347+K348+K350</f>
        <v>0</v>
      </c>
      <c r="M365" s="158"/>
    </row>
    <row r="366" spans="2:14" s="2" customFormat="1" ht="29.5" hidden="1" customHeight="1" x14ac:dyDescent="0.2">
      <c r="B366" s="160"/>
      <c r="C366" s="307" t="s">
        <v>285</v>
      </c>
      <c r="D366" s="308"/>
      <c r="E366" s="308"/>
      <c r="F366" s="308"/>
      <c r="G366" s="308"/>
      <c r="H366" s="217">
        <f>H357</f>
        <v>0</v>
      </c>
      <c r="K366" s="217">
        <f>K357</f>
        <v>0</v>
      </c>
      <c r="M366" s="158"/>
    </row>
    <row r="367" spans="2:14" s="2" customFormat="1" ht="29.5" hidden="1" customHeight="1" x14ac:dyDescent="0.2">
      <c r="B367" s="160"/>
      <c r="C367" s="309" t="s">
        <v>289</v>
      </c>
      <c r="D367" s="310"/>
      <c r="E367" s="310"/>
      <c r="F367" s="310"/>
      <c r="G367" s="310"/>
      <c r="H367" s="219" t="str">
        <f>IFERROR(H365/H366,"N/A")</f>
        <v>N/A</v>
      </c>
      <c r="I367" s="165"/>
      <c r="J367" s="165"/>
      <c r="K367" s="219" t="str">
        <f>IFERROR(K365/K366,"N/A")</f>
        <v>N/A</v>
      </c>
      <c r="L367" s="165"/>
      <c r="M367" s="166"/>
    </row>
    <row r="368" spans="2:14" s="2" customFormat="1" ht="14" customHeight="1" x14ac:dyDescent="0.2"/>
    <row r="369" spans="2:14" s="2" customFormat="1" ht="27" customHeight="1" x14ac:dyDescent="0.2">
      <c r="B369" s="319" t="s">
        <v>564</v>
      </c>
      <c r="C369" s="320"/>
      <c r="D369" s="137"/>
      <c r="E369" s="138" t="s">
        <v>270</v>
      </c>
      <c r="F369" s="321"/>
      <c r="G369" s="322"/>
      <c r="H369" s="323"/>
      <c r="I369" s="139"/>
      <c r="J369" s="140" t="s">
        <v>271</v>
      </c>
      <c r="K369" s="141"/>
      <c r="L369" s="324" t="s">
        <v>272</v>
      </c>
      <c r="M369" s="325"/>
    </row>
    <row r="370" spans="2:14" s="2" customFormat="1" ht="6" hidden="1" customHeight="1" x14ac:dyDescent="0.2"/>
    <row r="371" spans="2:14" s="2" customFormat="1" ht="28.25" hidden="1" customHeight="1" x14ac:dyDescent="0.2">
      <c r="B371" s="142" t="s">
        <v>273</v>
      </c>
      <c r="C371" s="143"/>
      <c r="D371" s="144"/>
      <c r="E371" s="144"/>
      <c r="F371" s="145" t="s">
        <v>536</v>
      </c>
      <c r="G371" s="146"/>
      <c r="H371" s="147"/>
      <c r="I371" s="144"/>
      <c r="J371" s="146"/>
      <c r="K371" s="147"/>
      <c r="L371" s="148"/>
      <c r="M371" s="149"/>
    </row>
    <row r="372" spans="2:14" s="154" customFormat="1" ht="4.5" hidden="1" customHeight="1" x14ac:dyDescent="0.2">
      <c r="B372" s="150"/>
      <c r="C372" s="151"/>
      <c r="D372" s="151"/>
      <c r="E372" s="151"/>
      <c r="F372" s="151"/>
      <c r="G372" s="152"/>
      <c r="H372" s="153"/>
      <c r="I372" s="151"/>
      <c r="J372" s="152"/>
      <c r="K372" s="153"/>
      <c r="M372" s="155"/>
    </row>
    <row r="373" spans="2:14" s="2" customFormat="1" ht="25.25" hidden="1" customHeight="1" x14ac:dyDescent="0.2">
      <c r="B373" s="156">
        <v>1</v>
      </c>
      <c r="C373" s="311" t="s">
        <v>274</v>
      </c>
      <c r="D373" s="308"/>
      <c r="E373" s="308"/>
      <c r="F373" s="308"/>
      <c r="G373" s="308"/>
      <c r="H373" s="215"/>
      <c r="K373" s="215"/>
      <c r="M373" s="158"/>
      <c r="N373" s="159"/>
    </row>
    <row r="374" spans="2:14" s="2" customFormat="1" ht="25.25" hidden="1" customHeight="1" x14ac:dyDescent="0.2">
      <c r="B374" s="160">
        <v>2</v>
      </c>
      <c r="C374" s="311" t="s">
        <v>275</v>
      </c>
      <c r="D374" s="308"/>
      <c r="E374" s="308"/>
      <c r="F374" s="308"/>
      <c r="G374" s="308"/>
      <c r="H374" s="216"/>
      <c r="K374" s="216"/>
      <c r="M374" s="158"/>
      <c r="N374" s="159"/>
    </row>
    <row r="375" spans="2:14" s="2" customFormat="1" ht="25.25" hidden="1" customHeight="1" x14ac:dyDescent="0.2">
      <c r="B375" s="160">
        <v>3</v>
      </c>
      <c r="C375" s="311" t="s">
        <v>276</v>
      </c>
      <c r="D375" s="308"/>
      <c r="E375" s="308"/>
      <c r="F375" s="308"/>
      <c r="G375" s="308"/>
      <c r="H375" s="216"/>
      <c r="K375" s="216"/>
      <c r="M375" s="158"/>
      <c r="N375" s="159"/>
    </row>
    <row r="376" spans="2:14" s="2" customFormat="1" ht="25.25" hidden="1" customHeight="1" x14ac:dyDescent="0.2">
      <c r="B376" s="160">
        <v>4</v>
      </c>
      <c r="C376" s="157" t="s">
        <v>196</v>
      </c>
      <c r="D376" s="318"/>
      <c r="E376" s="318"/>
      <c r="F376" s="318"/>
      <c r="G376" s="161"/>
      <c r="H376" s="216"/>
      <c r="K376" s="216"/>
      <c r="M376" s="158"/>
      <c r="N376" s="159"/>
    </row>
    <row r="377" spans="2:14" s="2" customFormat="1" ht="29.5" hidden="1" customHeight="1" x14ac:dyDescent="0.2">
      <c r="B377" s="160">
        <v>5</v>
      </c>
      <c r="C377" s="162" t="s">
        <v>277</v>
      </c>
      <c r="D377" s="163"/>
      <c r="E377" s="163"/>
      <c r="F377" s="163"/>
      <c r="G377" s="164"/>
      <c r="H377" s="217">
        <f>SUM(H373:H376)</f>
        <v>0</v>
      </c>
      <c r="I377" s="165"/>
      <c r="J377" s="165"/>
      <c r="K377" s="217">
        <f>SUM(K373:K376)</f>
        <v>0</v>
      </c>
      <c r="L377" s="165"/>
      <c r="M377" s="166"/>
    </row>
    <row r="378" spans="2:14" s="2" customFormat="1" ht="28.25" hidden="1" customHeight="1" x14ac:dyDescent="0.2">
      <c r="B378" s="142" t="s">
        <v>278</v>
      </c>
      <c r="C378" s="144"/>
      <c r="D378" s="143"/>
      <c r="E378" s="144"/>
      <c r="F378" s="144"/>
      <c r="G378" s="146"/>
      <c r="H378" s="167" t="str">
        <f>IF(ISNUMBER(H371),H371,"")</f>
        <v/>
      </c>
      <c r="I378" s="144"/>
      <c r="J378" s="146"/>
      <c r="K378" s="168" t="str">
        <f>IF(ISNUMBER(K371),K371,"")</f>
        <v/>
      </c>
      <c r="L378" s="148"/>
      <c r="M378" s="149"/>
    </row>
    <row r="379" spans="2:14" s="154" customFormat="1" ht="4.5" hidden="1" customHeight="1" x14ac:dyDescent="0.2">
      <c r="B379" s="150"/>
      <c r="C379" s="151"/>
      <c r="D379" s="151"/>
      <c r="E379" s="151"/>
      <c r="F379" s="151"/>
      <c r="G379" s="152"/>
      <c r="H379" s="169"/>
      <c r="I379" s="151"/>
      <c r="J379" s="152"/>
      <c r="K379" s="170"/>
      <c r="M379" s="155"/>
    </row>
    <row r="380" spans="2:14" s="2" customFormat="1" ht="25.25" hidden="1" customHeight="1" x14ac:dyDescent="0.2">
      <c r="B380" s="156">
        <v>6</v>
      </c>
      <c r="C380" s="311" t="s">
        <v>279</v>
      </c>
      <c r="D380" s="308"/>
      <c r="E380" s="308"/>
      <c r="F380" s="308"/>
      <c r="G380" s="308"/>
      <c r="H380" s="215"/>
      <c r="K380" s="215"/>
      <c r="M380" s="158"/>
      <c r="N380" s="159"/>
    </row>
    <row r="381" spans="2:14" s="2" customFormat="1" ht="25.25" hidden="1" customHeight="1" x14ac:dyDescent="0.2">
      <c r="B381" s="160">
        <v>7</v>
      </c>
      <c r="C381" s="311" t="s">
        <v>280</v>
      </c>
      <c r="D381" s="308"/>
      <c r="E381" s="308"/>
      <c r="F381" s="308"/>
      <c r="G381" s="308"/>
      <c r="H381" s="215"/>
      <c r="K381" s="215"/>
      <c r="M381" s="158"/>
      <c r="N381" s="159"/>
    </row>
    <row r="382" spans="2:14" s="2" customFormat="1" ht="25.25" hidden="1" customHeight="1" x14ac:dyDescent="0.2">
      <c r="B382" s="160">
        <v>8</v>
      </c>
      <c r="C382" s="312" t="s">
        <v>281</v>
      </c>
      <c r="D382" s="308"/>
      <c r="E382" s="308"/>
      <c r="F382" s="308"/>
      <c r="G382" s="313"/>
      <c r="H382" s="215"/>
      <c r="K382" s="215"/>
      <c r="M382" s="158"/>
      <c r="N382" s="159"/>
    </row>
    <row r="383" spans="2:14" s="2" customFormat="1" ht="29.5" hidden="1" customHeight="1" x14ac:dyDescent="0.2">
      <c r="B383" s="160">
        <v>9</v>
      </c>
      <c r="C383" s="162" t="s">
        <v>282</v>
      </c>
      <c r="D383" s="163"/>
      <c r="E383" s="163"/>
      <c r="F383" s="163"/>
      <c r="G383" s="164"/>
      <c r="H383" s="218">
        <f>SUM(H380:H382)</f>
        <v>0</v>
      </c>
      <c r="I383" s="165"/>
      <c r="J383" s="165"/>
      <c r="K383" s="218">
        <f>SUM(K380:K382)</f>
        <v>0</v>
      </c>
      <c r="L383" s="165"/>
      <c r="M383" s="166"/>
    </row>
    <row r="384" spans="2:14" s="2" customFormat="1" ht="21" hidden="1" customHeight="1" x14ac:dyDescent="0.2"/>
    <row r="385" spans="2:13" s="2" customFormat="1" ht="28.25" hidden="1" customHeight="1" x14ac:dyDescent="0.2">
      <c r="B385" s="142" t="s">
        <v>283</v>
      </c>
      <c r="C385" s="144"/>
      <c r="D385" s="144"/>
      <c r="E385" s="144"/>
      <c r="F385" s="144"/>
      <c r="G385" s="146"/>
      <c r="H385" s="168" t="str">
        <f>IF(ISNUMBER(H371),H371,"")</f>
        <v/>
      </c>
      <c r="I385" s="144"/>
      <c r="J385" s="146"/>
      <c r="K385" s="167" t="str">
        <f>IF(ISNUMBER(K371),K371,"")</f>
        <v/>
      </c>
      <c r="L385" s="148"/>
      <c r="M385" s="149"/>
    </row>
    <row r="386" spans="2:13" s="2" customFormat="1" ht="29.5" hidden="1" customHeight="1" x14ac:dyDescent="0.2">
      <c r="B386" s="156"/>
      <c r="C386" s="314" t="s">
        <v>284</v>
      </c>
      <c r="D386" s="315"/>
      <c r="E386" s="315"/>
      <c r="F386" s="315"/>
      <c r="G386" s="315"/>
      <c r="H386" s="217">
        <f>H377</f>
        <v>0</v>
      </c>
      <c r="K386" s="217">
        <f>K377</f>
        <v>0</v>
      </c>
      <c r="M386" s="158"/>
    </row>
    <row r="387" spans="2:13" s="2" customFormat="1" ht="29.5" hidden="1" customHeight="1" x14ac:dyDescent="0.2">
      <c r="B387" s="160"/>
      <c r="C387" s="307" t="s">
        <v>285</v>
      </c>
      <c r="D387" s="308"/>
      <c r="E387" s="308"/>
      <c r="F387" s="308"/>
      <c r="G387" s="308"/>
      <c r="H387" s="217">
        <f>H383</f>
        <v>0</v>
      </c>
      <c r="K387" s="217">
        <f>K383</f>
        <v>0</v>
      </c>
      <c r="M387" s="158"/>
    </row>
    <row r="388" spans="2:13" s="2" customFormat="1" ht="29.5" hidden="1" customHeight="1" x14ac:dyDescent="0.2">
      <c r="B388" s="160"/>
      <c r="C388" s="316" t="s">
        <v>286</v>
      </c>
      <c r="D388" s="317"/>
      <c r="E388" s="317"/>
      <c r="F388" s="317"/>
      <c r="G388" s="317"/>
      <c r="H388" s="219" t="str">
        <f>IFERROR(H386/H387,"N/A")</f>
        <v>N/A</v>
      </c>
      <c r="I388" s="165"/>
      <c r="J388" s="165"/>
      <c r="K388" s="219" t="str">
        <f>IFERROR(K386/K387,"N/A")</f>
        <v>N/A</v>
      </c>
      <c r="L388" s="165"/>
      <c r="M388" s="166"/>
    </row>
    <row r="389" spans="2:13" s="2" customFormat="1" ht="21" hidden="1" customHeight="1" x14ac:dyDescent="0.2">
      <c r="H389" s="171"/>
      <c r="K389" s="171"/>
    </row>
    <row r="390" spans="2:13" s="2" customFormat="1" ht="28.25" hidden="1" customHeight="1" x14ac:dyDescent="0.2">
      <c r="B390" s="142" t="s">
        <v>287</v>
      </c>
      <c r="C390" s="144"/>
      <c r="D390" s="144"/>
      <c r="E390" s="144"/>
      <c r="F390" s="144"/>
      <c r="G390" s="146"/>
      <c r="H390" s="168" t="str">
        <f>IF(ISNUMBER(H371),H371,"")</f>
        <v/>
      </c>
      <c r="I390" s="144"/>
      <c r="J390" s="146"/>
      <c r="K390" s="168" t="str">
        <f>IF(ISNUMBER(K371),K371,"")</f>
        <v/>
      </c>
      <c r="L390" s="148"/>
      <c r="M390" s="149"/>
    </row>
    <row r="391" spans="2:13" s="2" customFormat="1" ht="29.5" hidden="1" customHeight="1" x14ac:dyDescent="0.2">
      <c r="B391" s="156"/>
      <c r="C391" s="305" t="s">
        <v>288</v>
      </c>
      <c r="D391" s="306"/>
      <c r="E391" s="306"/>
      <c r="F391" s="306"/>
      <c r="G391" s="306"/>
      <c r="H391" s="217">
        <f>H373+H374+H376</f>
        <v>0</v>
      </c>
      <c r="K391" s="217">
        <f>K373+K374+K376</f>
        <v>0</v>
      </c>
      <c r="M391" s="158"/>
    </row>
    <row r="392" spans="2:13" s="2" customFormat="1" ht="29.5" hidden="1" customHeight="1" x14ac:dyDescent="0.2">
      <c r="B392" s="160"/>
      <c r="C392" s="307" t="s">
        <v>285</v>
      </c>
      <c r="D392" s="308"/>
      <c r="E392" s="308"/>
      <c r="F392" s="308"/>
      <c r="G392" s="308"/>
      <c r="H392" s="217">
        <f>H383</f>
        <v>0</v>
      </c>
      <c r="K392" s="217">
        <f>K383</f>
        <v>0</v>
      </c>
      <c r="M392" s="158"/>
    </row>
    <row r="393" spans="2:13" s="2" customFormat="1" ht="29.5" hidden="1" customHeight="1" x14ac:dyDescent="0.2">
      <c r="B393" s="160"/>
      <c r="C393" s="309" t="s">
        <v>289</v>
      </c>
      <c r="D393" s="310"/>
      <c r="E393" s="310"/>
      <c r="F393" s="310"/>
      <c r="G393" s="310"/>
      <c r="H393" s="219" t="str">
        <f>IFERROR(H391/H392,"N/A")</f>
        <v>N/A</v>
      </c>
      <c r="I393" s="165"/>
      <c r="J393" s="165"/>
      <c r="K393" s="219" t="str">
        <f>IFERROR(K391/K392,"N/A")</f>
        <v>N/A</v>
      </c>
      <c r="L393" s="165"/>
      <c r="M393" s="166"/>
    </row>
    <row r="394" spans="2:13" s="2" customFormat="1" ht="14" customHeight="1" x14ac:dyDescent="0.2"/>
    <row r="395" spans="2:13" ht="9.5" customHeight="1" x14ac:dyDescent="0.2"/>
    <row r="396" spans="2:13" s="2" customFormat="1" ht="24" customHeight="1" x14ac:dyDescent="0.2">
      <c r="B396" s="46"/>
      <c r="C396" s="47" t="s">
        <v>148</v>
      </c>
      <c r="D396" s="48"/>
      <c r="E396" s="48"/>
      <c r="F396" s="48"/>
      <c r="G396" s="48"/>
      <c r="H396" s="48"/>
      <c r="I396" s="48"/>
      <c r="J396" s="48"/>
      <c r="K396" s="48"/>
      <c r="L396" s="82"/>
      <c r="M396" s="49"/>
    </row>
    <row r="397" spans="2:13" s="4" customFormat="1" ht="22.25" customHeight="1" x14ac:dyDescent="0.2">
      <c r="B397" s="50"/>
      <c r="C397" s="328"/>
      <c r="D397" s="329"/>
      <c r="E397" s="329"/>
      <c r="F397" s="329"/>
      <c r="G397" s="329"/>
      <c r="H397" s="329"/>
      <c r="I397" s="329"/>
      <c r="J397" s="329"/>
      <c r="K397" s="329"/>
      <c r="L397" s="330"/>
      <c r="M397" s="66" t="s">
        <v>65</v>
      </c>
    </row>
    <row r="398" spans="2:13" s="4" customFormat="1" ht="22.25" customHeight="1" x14ac:dyDescent="0.2">
      <c r="B398" s="50"/>
      <c r="C398" s="331"/>
      <c r="D398" s="332"/>
      <c r="E398" s="332"/>
      <c r="F398" s="332"/>
      <c r="G398" s="332"/>
      <c r="H398" s="332"/>
      <c r="I398" s="332"/>
      <c r="J398" s="332"/>
      <c r="K398" s="332"/>
      <c r="L398" s="333"/>
      <c r="M398" s="66" t="s">
        <v>65</v>
      </c>
    </row>
    <row r="399" spans="2:13" s="4" customFormat="1" ht="22.25" customHeight="1" x14ac:dyDescent="0.2">
      <c r="B399" s="50"/>
      <c r="C399" s="331"/>
      <c r="D399" s="332"/>
      <c r="E399" s="332"/>
      <c r="F399" s="332"/>
      <c r="G399" s="332"/>
      <c r="H399" s="332"/>
      <c r="I399" s="332"/>
      <c r="J399" s="332"/>
      <c r="K399" s="332"/>
      <c r="L399" s="333"/>
      <c r="M399" s="66" t="s">
        <v>65</v>
      </c>
    </row>
    <row r="400" spans="2:13" s="4" customFormat="1" ht="22.25" customHeight="1" x14ac:dyDescent="0.2">
      <c r="B400" s="50"/>
      <c r="C400" s="331"/>
      <c r="D400" s="332"/>
      <c r="E400" s="332"/>
      <c r="F400" s="332"/>
      <c r="G400" s="332"/>
      <c r="H400" s="332"/>
      <c r="I400" s="332"/>
      <c r="J400" s="332"/>
      <c r="K400" s="332"/>
      <c r="L400" s="333"/>
      <c r="M400" s="66" t="s">
        <v>65</v>
      </c>
    </row>
    <row r="401" spans="2:13" s="4" customFormat="1" ht="22.25" customHeight="1" x14ac:dyDescent="0.2">
      <c r="B401" s="50"/>
      <c r="C401" s="331"/>
      <c r="D401" s="332"/>
      <c r="E401" s="332"/>
      <c r="F401" s="332"/>
      <c r="G401" s="332"/>
      <c r="H401" s="332"/>
      <c r="I401" s="332"/>
      <c r="J401" s="332"/>
      <c r="K401" s="332"/>
      <c r="L401" s="333"/>
      <c r="M401" s="66" t="s">
        <v>65</v>
      </c>
    </row>
    <row r="402" spans="2:13" s="4" customFormat="1" ht="22.25" customHeight="1" x14ac:dyDescent="0.2">
      <c r="B402" s="50"/>
      <c r="C402" s="331"/>
      <c r="D402" s="332"/>
      <c r="E402" s="332"/>
      <c r="F402" s="332"/>
      <c r="G402" s="332"/>
      <c r="H402" s="332"/>
      <c r="I402" s="332"/>
      <c r="J402" s="332"/>
      <c r="K402" s="332"/>
      <c r="L402" s="333"/>
      <c r="M402" s="66" t="s">
        <v>65</v>
      </c>
    </row>
    <row r="403" spans="2:13" s="4" customFormat="1" ht="22.25" customHeight="1" x14ac:dyDescent="0.2">
      <c r="B403" s="50"/>
      <c r="C403" s="331"/>
      <c r="D403" s="332"/>
      <c r="E403" s="332"/>
      <c r="F403" s="332"/>
      <c r="G403" s="332"/>
      <c r="H403" s="332"/>
      <c r="I403" s="332"/>
      <c r="J403" s="332"/>
      <c r="K403" s="332"/>
      <c r="L403" s="333"/>
      <c r="M403" s="66" t="s">
        <v>65</v>
      </c>
    </row>
    <row r="404" spans="2:13" s="4" customFormat="1" ht="24" customHeight="1" x14ac:dyDescent="0.2">
      <c r="B404" s="50"/>
      <c r="C404" s="334"/>
      <c r="D404" s="335"/>
      <c r="E404" s="335"/>
      <c r="F404" s="335"/>
      <c r="G404" s="335"/>
      <c r="H404" s="335"/>
      <c r="I404" s="335"/>
      <c r="J404" s="335"/>
      <c r="K404" s="335"/>
      <c r="L404" s="336"/>
      <c r="M404" s="66" t="s">
        <v>65</v>
      </c>
    </row>
    <row r="405" spans="2:13" ht="21.5" customHeight="1" x14ac:dyDescent="0.2">
      <c r="B405" s="51"/>
      <c r="C405" s="52"/>
      <c r="D405" s="52"/>
      <c r="E405" s="52"/>
      <c r="F405" s="52"/>
      <c r="G405" s="52"/>
      <c r="H405" s="52"/>
      <c r="I405" s="52"/>
      <c r="J405" s="52"/>
      <c r="K405" s="52"/>
      <c r="L405" s="52"/>
      <c r="M405" s="53"/>
    </row>
  </sheetData>
  <sheetProtection algorithmName="SHA-512" hashValue="gab/RHAin5GraKE6HszlthmOXo522fG47AIPncWtyrCS0198ef3GxHqxmKcVmGm2xF5pmpFPSbTdjD6pOpT1xg==" saltValue="lg1+uRHnOhbdsmY4AGhCOQ==" spinCount="100000" sheet="1" objects="1" scenarios="1"/>
  <mergeCells count="241">
    <mergeCell ref="C397:L404"/>
    <mergeCell ref="C11:G11"/>
    <mergeCell ref="D12:F12"/>
    <mergeCell ref="C16:G16"/>
    <mergeCell ref="C17:G17"/>
    <mergeCell ref="C18:G18"/>
    <mergeCell ref="C22:G22"/>
    <mergeCell ref="C23:G23"/>
    <mergeCell ref="C24:G24"/>
    <mergeCell ref="C27:G27"/>
    <mergeCell ref="C28:G28"/>
    <mergeCell ref="C29:G29"/>
    <mergeCell ref="B31:C31"/>
    <mergeCell ref="F31:H31"/>
    <mergeCell ref="L31:M31"/>
    <mergeCell ref="C35:G35"/>
    <mergeCell ref="C36:G36"/>
    <mergeCell ref="C37:G37"/>
    <mergeCell ref="D38:F38"/>
    <mergeCell ref="C42:G42"/>
    <mergeCell ref="C43:G43"/>
    <mergeCell ref="C69:G69"/>
    <mergeCell ref="C70:G70"/>
    <mergeCell ref="C74:G74"/>
    <mergeCell ref="C10:G10"/>
    <mergeCell ref="B3:M3"/>
    <mergeCell ref="B5:C5"/>
    <mergeCell ref="F5:H5"/>
    <mergeCell ref="C9:G9"/>
    <mergeCell ref="C54:G54"/>
    <mergeCell ref="C55:G55"/>
    <mergeCell ref="B57:C57"/>
    <mergeCell ref="F57:H57"/>
    <mergeCell ref="L57:M57"/>
    <mergeCell ref="C44:G44"/>
    <mergeCell ref="C48:G48"/>
    <mergeCell ref="C49:G49"/>
    <mergeCell ref="C50:G50"/>
    <mergeCell ref="C53:G53"/>
    <mergeCell ref="C75:G75"/>
    <mergeCell ref="C76:G76"/>
    <mergeCell ref="C61:G61"/>
    <mergeCell ref="C62:G62"/>
    <mergeCell ref="C63:G63"/>
    <mergeCell ref="D64:F64"/>
    <mergeCell ref="C68:G68"/>
    <mergeCell ref="L83:M83"/>
    <mergeCell ref="C87:G87"/>
    <mergeCell ref="C88:G88"/>
    <mergeCell ref="C89:G89"/>
    <mergeCell ref="D90:F90"/>
    <mergeCell ref="C79:G79"/>
    <mergeCell ref="C80:G80"/>
    <mergeCell ref="C81:G81"/>
    <mergeCell ref="B83:C83"/>
    <mergeCell ref="F83:H83"/>
    <mergeCell ref="C102:G102"/>
    <mergeCell ref="C105:G105"/>
    <mergeCell ref="C106:G106"/>
    <mergeCell ref="C107:G107"/>
    <mergeCell ref="B109:C109"/>
    <mergeCell ref="F109:H109"/>
    <mergeCell ref="C94:G94"/>
    <mergeCell ref="C95:G95"/>
    <mergeCell ref="C96:G96"/>
    <mergeCell ref="C100:G100"/>
    <mergeCell ref="C101:G101"/>
    <mergeCell ref="C120:G120"/>
    <mergeCell ref="C121:G121"/>
    <mergeCell ref="C122:G122"/>
    <mergeCell ref="C126:G126"/>
    <mergeCell ref="C127:G127"/>
    <mergeCell ref="L109:M109"/>
    <mergeCell ref="C113:G113"/>
    <mergeCell ref="C114:G114"/>
    <mergeCell ref="C115:G115"/>
    <mergeCell ref="D116:F116"/>
    <mergeCell ref="L265:M265"/>
    <mergeCell ref="C269:G269"/>
    <mergeCell ref="C270:G270"/>
    <mergeCell ref="C271:G271"/>
    <mergeCell ref="D272:F272"/>
    <mergeCell ref="C128:G128"/>
    <mergeCell ref="C131:G131"/>
    <mergeCell ref="C132:G132"/>
    <mergeCell ref="C133:G133"/>
    <mergeCell ref="B265:C265"/>
    <mergeCell ref="F265:H265"/>
    <mergeCell ref="F161:H161"/>
    <mergeCell ref="C172:G172"/>
    <mergeCell ref="C173:G173"/>
    <mergeCell ref="C174:G174"/>
    <mergeCell ref="C178:G178"/>
    <mergeCell ref="C179:G179"/>
    <mergeCell ref="C180:G180"/>
    <mergeCell ref="C183:G183"/>
    <mergeCell ref="C184:G184"/>
    <mergeCell ref="C185:G185"/>
    <mergeCell ref="L135:M135"/>
    <mergeCell ref="C139:G139"/>
    <mergeCell ref="C140:G140"/>
    <mergeCell ref="C284:G284"/>
    <mergeCell ref="C287:G287"/>
    <mergeCell ref="C288:G288"/>
    <mergeCell ref="C289:G289"/>
    <mergeCell ref="B291:C291"/>
    <mergeCell ref="F291:H291"/>
    <mergeCell ref="C276:G276"/>
    <mergeCell ref="C277:G277"/>
    <mergeCell ref="C278:G278"/>
    <mergeCell ref="C282:G282"/>
    <mergeCell ref="C283:G283"/>
    <mergeCell ref="C302:G302"/>
    <mergeCell ref="C303:G303"/>
    <mergeCell ref="C304:G304"/>
    <mergeCell ref="C308:G308"/>
    <mergeCell ref="C309:G309"/>
    <mergeCell ref="L291:M291"/>
    <mergeCell ref="C295:G295"/>
    <mergeCell ref="C296:G296"/>
    <mergeCell ref="C297:G297"/>
    <mergeCell ref="D298:F298"/>
    <mergeCell ref="L317:M317"/>
    <mergeCell ref="C321:G321"/>
    <mergeCell ref="C322:G322"/>
    <mergeCell ref="C323:G323"/>
    <mergeCell ref="D324:F324"/>
    <mergeCell ref="C310:G310"/>
    <mergeCell ref="C313:G313"/>
    <mergeCell ref="C314:G314"/>
    <mergeCell ref="C315:G315"/>
    <mergeCell ref="B317:C317"/>
    <mergeCell ref="F317:H317"/>
    <mergeCell ref="C336:G336"/>
    <mergeCell ref="C339:G339"/>
    <mergeCell ref="C340:G340"/>
    <mergeCell ref="C341:G341"/>
    <mergeCell ref="B343:C343"/>
    <mergeCell ref="F343:H343"/>
    <mergeCell ref="C328:G328"/>
    <mergeCell ref="C329:G329"/>
    <mergeCell ref="C330:G330"/>
    <mergeCell ref="C334:G334"/>
    <mergeCell ref="C335:G335"/>
    <mergeCell ref="C354:G354"/>
    <mergeCell ref="C355:G355"/>
    <mergeCell ref="C356:G356"/>
    <mergeCell ref="C360:G360"/>
    <mergeCell ref="C361:G361"/>
    <mergeCell ref="L343:M343"/>
    <mergeCell ref="C347:G347"/>
    <mergeCell ref="C348:G348"/>
    <mergeCell ref="C349:G349"/>
    <mergeCell ref="D350:F350"/>
    <mergeCell ref="C386:G386"/>
    <mergeCell ref="C387:G387"/>
    <mergeCell ref="L369:M369"/>
    <mergeCell ref="C373:G373"/>
    <mergeCell ref="C374:G374"/>
    <mergeCell ref="C375:G375"/>
    <mergeCell ref="D376:F376"/>
    <mergeCell ref="C362:G362"/>
    <mergeCell ref="C365:G365"/>
    <mergeCell ref="C366:G366"/>
    <mergeCell ref="C367:G367"/>
    <mergeCell ref="B369:C369"/>
    <mergeCell ref="F369:H369"/>
    <mergeCell ref="C141:G141"/>
    <mergeCell ref="D142:F142"/>
    <mergeCell ref="C388:G388"/>
    <mergeCell ref="C391:G391"/>
    <mergeCell ref="C392:G392"/>
    <mergeCell ref="C393:G393"/>
    <mergeCell ref="B135:C135"/>
    <mergeCell ref="F135:H135"/>
    <mergeCell ref="C146:G146"/>
    <mergeCell ref="C147:G147"/>
    <mergeCell ref="C148:G148"/>
    <mergeCell ref="C152:G152"/>
    <mergeCell ref="C153:G153"/>
    <mergeCell ref="C154:G154"/>
    <mergeCell ref="C157:G157"/>
    <mergeCell ref="C158:G158"/>
    <mergeCell ref="C159:G159"/>
    <mergeCell ref="B161:C161"/>
    <mergeCell ref="C380:G380"/>
    <mergeCell ref="C381:G381"/>
    <mergeCell ref="C382:G382"/>
    <mergeCell ref="B187:C187"/>
    <mergeCell ref="F187:H187"/>
    <mergeCell ref="C205:G205"/>
    <mergeCell ref="L187:M187"/>
    <mergeCell ref="C191:G191"/>
    <mergeCell ref="C192:G192"/>
    <mergeCell ref="L161:M161"/>
    <mergeCell ref="C165:G165"/>
    <mergeCell ref="C166:G166"/>
    <mergeCell ref="C167:G167"/>
    <mergeCell ref="D168:F168"/>
    <mergeCell ref="C204:G204"/>
    <mergeCell ref="C206:G206"/>
    <mergeCell ref="C209:G209"/>
    <mergeCell ref="C210:G210"/>
    <mergeCell ref="C193:G193"/>
    <mergeCell ref="D194:F194"/>
    <mergeCell ref="C198:G198"/>
    <mergeCell ref="C199:G199"/>
    <mergeCell ref="C200:G200"/>
    <mergeCell ref="C218:G218"/>
    <mergeCell ref="C219:G219"/>
    <mergeCell ref="D220:F220"/>
    <mergeCell ref="C224:G224"/>
    <mergeCell ref="C225:G225"/>
    <mergeCell ref="C211:G211"/>
    <mergeCell ref="B213:C213"/>
    <mergeCell ref="F213:H213"/>
    <mergeCell ref="L213:M213"/>
    <mergeCell ref="C217:G217"/>
    <mergeCell ref="C236:G236"/>
    <mergeCell ref="C237:G237"/>
    <mergeCell ref="B239:C239"/>
    <mergeCell ref="F239:H239"/>
    <mergeCell ref="L239:M239"/>
    <mergeCell ref="C226:G226"/>
    <mergeCell ref="C230:G230"/>
    <mergeCell ref="C231:G231"/>
    <mergeCell ref="C232:G232"/>
    <mergeCell ref="C235:G235"/>
    <mergeCell ref="C261:G261"/>
    <mergeCell ref="C262:G262"/>
    <mergeCell ref="C263:G263"/>
    <mergeCell ref="C251:G251"/>
    <mergeCell ref="C252:G252"/>
    <mergeCell ref="C256:G256"/>
    <mergeCell ref="C257:G257"/>
    <mergeCell ref="C258:G258"/>
    <mergeCell ref="C243:G243"/>
    <mergeCell ref="C244:G244"/>
    <mergeCell ref="C245:G245"/>
    <mergeCell ref="D246:F246"/>
    <mergeCell ref="C250:G250"/>
  </mergeCells>
  <dataValidations count="9">
    <dataValidation type="date" operator="greaterThan" allowBlank="1" showInputMessage="1" showErrorMessage="1" errorTitle="Invalid Date..." error="Please enter a valid date into this cell." sqref="K5 K31 K57 K83 K109 K265 K291 K317 K343 K369 K135 K161 K187 K213 K239" xr:uid="{A46A7011-39A3-41E9-98CA-855B93A42950}">
      <formula1>1</formula1>
    </dataValidation>
    <dataValidation allowBlank="1" showErrorMessage="1" errorTitle="Too Many Characters" error="You have entered too many characters in this text field.  The maximum number of characters allowed is 186.  Please re-enter." sqref="C397:L404" xr:uid="{1BC51B98-4449-402A-9FCC-ADB6F652A0CB}"/>
    <dataValidation type="custom" allowBlank="1" showErrorMessage="1" errorTitle="Non-Numeric Entry" error="You have entered a non-numeric value in the current cell.  This is not allowed.  Please enter a number or leave the cell blank to continue." sqref="H9:H12 K9:K12 H16:H18 K16:K18 H35:H38 K35:K38 H42:H44 K42:K44 H61:H64 K61:K64 H68:H70 K68:K70 H87:H90 K87:K90 H94:H96 K94:K96 H113:H116 K113:K116 H120:H122 K120:K122 H269:H272 K269:K272 H276:H278 K276:K278 H295:H298 K295:K298 H302:H304 K302:K304 H321:H324 K321:K324 H328:H330 K328:K330 H347:H350 K347:K350 H354:H356 K354:K356 H373:H376 K373:K376 H380:H382 K380:K382 H139:H142 K139:K142 H146:H148 K146:K148 H165:H168 K165:K168 H172:H174 K172:K174 H191:H194 K191:K194 H198:H200 K198:K200 H217:H220 K217:K220 H224:H226 K224:K226 H243:H246 K243:K246 H250:H252 K250:K252" xr:uid="{1A020B36-86E9-4403-93E7-28AA90EB3C83}">
      <formula1>IF(ISNUMBER(H9),TRUE,FALSE)</formula1>
    </dataValidation>
    <dataValidation allowBlank="1" sqref="K14:K15 H14:H15 H21 K21 H26 K26 K40:K41 H40:H41 H47 K47 H52 K52 K66:K67 H66:H67 H73 K73 H78 K78 K92:K93 H92:H93 H99 K99 H104 K104 K118:K119 H118:H119 H125 K125 H130 K130 K274:K275 H274:H275 H281 K281 H286 K286 K300:K301 H300:H301 H307 K307 H312 K312 K326:K327 H326:H327 H333 K333 H338 K338 K352:K353 H352:H353 H359 K359 H364 K364 K378:K379 H378:H379 H385 K385 H390 K390 K144:K145 H144:H145 H151 K151 H156 K156 K170:K171 H170:H171 H177 K177 H182 K182 K196:K197 H196:H197 H203 K203 H208 K208 K222:K223 H222:H223 H229 K229 H234 K234 K248:K249 H248:H249 H255 K255 H260 K260" xr:uid="{5F424783-A3A1-4524-9194-106065E01314}"/>
    <dataValidation allowBlank="1" errorTitle="Non-Numeric Entry" error="You have entered a non-numeric value in the current cell.  This is not allowed.  Please enter a number or leave the cell blank to continue." sqref="K13 H13 K19 H19 K22:K24 H22:H24 K27:K29 H27:H29 K39 H39 K45 H45 K48:K50 H48:H50 K53:K55 H53:H55 K65 H65 K71 H71 K74:K76 H74:H76 K79:K81 H79:H81 K91 H91 K97 H97 K100:K102 H100:H102 K105:K107 H105:H107 K117 H117 K123 H123 K126:K128 H126:H128 K131:K133 H131:H133 K273 H273 K279 H279 K282:K284 H282:H284 K287:K289 H287:H289 K299 H299 K305 H305 K308:K310 H308:H310 K313:K315 H313:H315 K325 H325 K331 H331 K334:K336 H334:H336 K339:K341 H339:H341 K351 H351 K357 H357 K360:K362 H360:H362 K365:K367 H365:H367 K377 H377 K383 H383 K386:K388 H386:H388 K391:K393 H391:H393 K143 H143 K149 H149 K152:K154 H152:H154 K157:K159 H157:H159 K169 H169 K175 H175 K178:K180 H178:H180 K183:K185 H183:H185 K195 H195 K201 H201 K204:K206 H204:H206 K209:K211 H209:H211 K221 H221 K227 H227 K230:K232 H230:H232 K235:K237 H235:H237 K247 H247 K253 H253 K256:K258 H256:H258 K261:K263 H261:H263" xr:uid="{891FA176-80C5-4CDB-8AA8-7566572F4A93}"/>
    <dataValidation allowBlank="1" errorTitle="Too Many Characters..." error="You have entered too many characters in this text field.  The maximum number of characters allowed is 50.  Please re-enter." sqref="D13:F13 G12:G13 D19:G19 D39:F39 G38:G39 D45:G45 D65:F65 G64:G65 D71:G71 D91:F91 G90:G91 D97:G97 D117:F117 G116:G117 D123:G123 D273:F273 G272:G273 D279:G279 D299:F299 G298:G299 D305:G305 D325:F325 G324:G325 D331:G331 D351:F351 G350:G351 D357:G357 D377:F377 G376:G377 D383:G383 D143:F143 G142:G143 D149:G149 D169:F169 G168:G169 D175:G175 D195:F195 G194:G195 D201:G201 D221:F221 G220:G221 D227:G227 D247:F247 G246:G247 D253:G253" xr:uid="{A74538FB-01AC-4F68-BB7C-B4092894F5C5}"/>
    <dataValidation type="textLength" allowBlank="1" showInputMessage="1" showErrorMessage="1" errorTitle="Too Many Characters..." error="You have entered too many characters in this text field.  The maximum number of characters allowed is 50.  Please re-enter." sqref="D12:F12 D5:F5 D38:F38 D31:F31 D64:F64 D57:F57 D90:F90 D83:F83 D116:F116 D109:F109 D272:F272 D265:F265 D298:F298 D291:F291 D324:F324 D317:F317 D350:F350 D343:F343 D376:F376 D369:F369 D142:F142 D135:F135 D168:F168 D161:F161 D194:F194 D187:F187 D220:F220 D213:F213 D246:F246 D239:F239" xr:uid="{D201228C-38A8-4FB5-9167-581E8B04671A}">
      <formula1>0</formula1>
      <formula2>50</formula2>
    </dataValidation>
    <dataValidation type="list" allowBlank="1" showInputMessage="1" showErrorMessage="1" sqref="H8 K8 H34 K34 H60 K60 H86 K86 H112 K112 H268 K268 H294 K294 H320 K320 H346 K346 H372 K372 H138 K138 H164 K164 H190 K190 H216 K216 H242 K242" xr:uid="{38299823-E514-4D4A-A4FF-16B290DC1283}">
      <formula1>LKP_YEAR</formula1>
    </dataValidation>
    <dataValidation type="whole" allowBlank="1" showErrorMessage="1" errorTitle="Invalid Year..." error="Please enter a four digit year from 2022 to 2025." sqref="H7 K7 H33 K33 H59 K59 H85 K85 H111 K111 H137 K137 H163 K163 H189 K189 H215 K215 H241 K241 H267 K267 H293 K293 H319 K319 H345 K345 H371 K371" xr:uid="{2EA3C724-4AE8-4A17-BE02-680A8573CE97}">
      <formula1>MIN(LKP_YEAR_LIQUIDITY)</formula1>
      <formula2>MAX(LKP_YEAR_LIQUIDITY)</formula2>
    </dataValidation>
  </dataValidations>
  <pageMargins left="0.7" right="0.7" top="0.75" bottom="0.75" header="0.3" footer="0.3"/>
  <pageSetup scale="55" fitToHeight="0"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D63AE6-0EB5-4E45-9D24-5D10A4DDBD9B}">
  <sheetPr codeName="shComparative">
    <pageSetUpPr fitToPage="1"/>
  </sheetPr>
  <dimension ref="B1:W591"/>
  <sheetViews>
    <sheetView showGridLines="0" zoomScaleNormal="100" workbookViewId="0">
      <pane ySplit="1" topLeftCell="A2" activePane="bottomLeft" state="frozen"/>
      <selection activeCell="D5" sqref="D5:H5"/>
      <selection pane="bottomLeft" activeCell="D5" sqref="D5:F5"/>
    </sheetView>
  </sheetViews>
  <sheetFormatPr baseColWidth="10" defaultColWidth="9.1640625" defaultRowHeight="15" x14ac:dyDescent="0.2"/>
  <cols>
    <col min="1" max="2" width="2.33203125" customWidth="1"/>
    <col min="3" max="3" width="17.5" customWidth="1"/>
    <col min="4" max="4" width="7.6640625" customWidth="1"/>
    <col min="5" max="5" width="43.6640625" customWidth="1"/>
    <col min="6" max="7" width="8.33203125" customWidth="1"/>
    <col min="8" max="8" width="3.5" customWidth="1"/>
    <col min="9" max="10" width="9.6640625" customWidth="1"/>
    <col min="11" max="11" width="2.6640625" customWidth="1"/>
    <col min="12" max="13" width="9.6640625" customWidth="1"/>
    <col min="14" max="14" width="2.6640625" customWidth="1"/>
    <col min="15" max="16" width="9.6640625" customWidth="1"/>
    <col min="17" max="17" width="1.6640625" customWidth="1"/>
    <col min="18" max="18" width="2.6640625" customWidth="1"/>
    <col min="19" max="19" width="3.6640625" customWidth="1"/>
    <col min="20" max="20" width="27.5" customWidth="1"/>
    <col min="21" max="24" width="3.6640625" customWidth="1"/>
  </cols>
  <sheetData>
    <row r="1" spans="2:20" s="1" customFormat="1" ht="40.25" customHeight="1" thickBot="1" x14ac:dyDescent="0.5">
      <c r="B1" s="172" t="s">
        <v>291</v>
      </c>
      <c r="C1" s="173"/>
      <c r="D1" s="173"/>
      <c r="E1" s="174"/>
      <c r="F1" s="174"/>
      <c r="G1" s="174"/>
      <c r="H1" s="175"/>
      <c r="I1" s="175"/>
      <c r="J1" s="175"/>
      <c r="K1" s="174"/>
      <c r="L1" s="174"/>
      <c r="M1" s="174"/>
      <c r="N1" s="174"/>
      <c r="O1" s="174"/>
      <c r="P1" s="174"/>
      <c r="Q1" s="174"/>
    </row>
    <row r="2" spans="2:20" ht="4.25" hidden="1" customHeight="1" thickTop="1" x14ac:dyDescent="0.2"/>
    <row r="3" spans="2:20" ht="137.5" customHeight="1" thickTop="1" x14ac:dyDescent="0.2">
      <c r="B3" s="365" t="s">
        <v>581</v>
      </c>
      <c r="C3" s="366"/>
      <c r="D3" s="366"/>
      <c r="E3" s="366"/>
      <c r="F3" s="366"/>
      <c r="G3" s="366"/>
      <c r="H3" s="366"/>
      <c r="I3" s="366"/>
      <c r="J3" s="366"/>
      <c r="K3" s="366"/>
      <c r="L3" s="366"/>
      <c r="M3" s="366"/>
      <c r="N3" s="366"/>
      <c r="O3" s="366"/>
      <c r="P3" s="366"/>
      <c r="Q3" s="366"/>
    </row>
    <row r="4" spans="2:20" ht="1.25" customHeight="1" thickBot="1" x14ac:dyDescent="0.25"/>
    <row r="5" spans="2:20" s="2" customFormat="1" ht="21" customHeight="1" thickTop="1" thickBot="1" x14ac:dyDescent="0.25">
      <c r="B5" s="176"/>
      <c r="C5" s="177" t="s">
        <v>269</v>
      </c>
      <c r="D5" s="353"/>
      <c r="E5" s="353"/>
      <c r="F5" s="353"/>
      <c r="G5" s="354" t="s">
        <v>271</v>
      </c>
      <c r="H5" s="354"/>
      <c r="I5" s="355"/>
      <c r="J5" s="356"/>
      <c r="K5" s="178"/>
      <c r="L5" s="357" t="s">
        <v>272</v>
      </c>
      <c r="M5" s="354"/>
      <c r="N5" s="354"/>
      <c r="O5" s="358"/>
      <c r="P5" s="359"/>
      <c r="Q5" s="179"/>
    </row>
    <row r="6" spans="2:20" s="2" customFormat="1" ht="21" customHeight="1" thickTop="1" thickBot="1" x14ac:dyDescent="0.25">
      <c r="B6" s="176"/>
      <c r="C6" s="180" t="s">
        <v>270</v>
      </c>
      <c r="D6" s="353"/>
      <c r="E6" s="353"/>
      <c r="F6" s="353"/>
      <c r="G6" s="354"/>
      <c r="H6" s="354"/>
      <c r="I6" s="354"/>
      <c r="J6" s="354"/>
      <c r="K6" s="178"/>
      <c r="L6" s="357" t="s">
        <v>272</v>
      </c>
      <c r="M6" s="354"/>
      <c r="N6" s="354"/>
      <c r="O6" s="358"/>
      <c r="P6" s="359"/>
      <c r="Q6" s="179"/>
    </row>
    <row r="7" spans="2:20" s="2" customFormat="1" ht="24" customHeight="1" thickTop="1" thickBot="1" x14ac:dyDescent="0.25">
      <c r="C7" s="181"/>
      <c r="D7" s="182"/>
      <c r="E7" s="182"/>
      <c r="F7" s="363" t="s">
        <v>242</v>
      </c>
      <c r="G7" s="363"/>
      <c r="H7" s="17"/>
      <c r="I7" s="364"/>
      <c r="J7" s="364"/>
      <c r="K7" s="17"/>
      <c r="L7" s="364"/>
      <c r="M7" s="364"/>
      <c r="N7" s="17"/>
      <c r="O7" s="364"/>
      <c r="P7" s="364"/>
      <c r="Q7" s="64"/>
    </row>
    <row r="8" spans="2:20" s="2" customFormat="1" ht="24" customHeight="1" thickTop="1" thickBot="1" x14ac:dyDescent="0.25">
      <c r="C8" s="181" t="s">
        <v>292</v>
      </c>
      <c r="D8" s="182"/>
      <c r="E8" s="182"/>
      <c r="F8" s="182"/>
      <c r="G8" s="182"/>
      <c r="H8" s="17"/>
      <c r="I8" s="360"/>
      <c r="J8" s="360"/>
      <c r="K8" s="17"/>
      <c r="L8" s="360"/>
      <c r="M8" s="360"/>
      <c r="N8" s="17"/>
      <c r="O8" s="360"/>
      <c r="P8" s="360"/>
    </row>
    <row r="9" spans="2:20" s="2" customFormat="1" ht="24" customHeight="1" thickTop="1" thickBot="1" x14ac:dyDescent="0.25">
      <c r="C9" s="181" t="s">
        <v>293</v>
      </c>
      <c r="D9" s="182"/>
      <c r="E9" s="182"/>
      <c r="F9" s="182"/>
      <c r="G9" s="182"/>
      <c r="H9" s="17"/>
      <c r="I9" s="360"/>
      <c r="J9" s="360"/>
      <c r="K9" s="17"/>
      <c r="L9" s="360"/>
      <c r="M9" s="360"/>
      <c r="N9" s="17"/>
      <c r="O9" s="360"/>
      <c r="P9" s="360"/>
    </row>
    <row r="10" spans="2:20" s="2" customFormat="1" ht="24" customHeight="1" thickTop="1" thickBot="1" x14ac:dyDescent="0.25">
      <c r="C10" s="181" t="s">
        <v>294</v>
      </c>
      <c r="D10" s="182"/>
      <c r="E10" s="182"/>
      <c r="F10" s="182"/>
      <c r="G10" s="182"/>
      <c r="H10" s="17"/>
      <c r="I10" s="360"/>
      <c r="J10" s="360"/>
      <c r="K10" s="17"/>
      <c r="L10" s="360"/>
      <c r="M10" s="360"/>
      <c r="N10" s="17"/>
      <c r="O10" s="360"/>
      <c r="P10" s="360"/>
      <c r="T10" s="183"/>
    </row>
    <row r="11" spans="2:20" s="2" customFormat="1" ht="24" customHeight="1" thickTop="1" x14ac:dyDescent="0.2">
      <c r="C11" s="181" t="s">
        <v>295</v>
      </c>
      <c r="D11" s="182"/>
      <c r="E11" s="182"/>
      <c r="F11" s="182"/>
      <c r="G11" s="182"/>
      <c r="H11" s="17"/>
      <c r="I11" s="361"/>
      <c r="J11" s="361"/>
      <c r="K11" s="17"/>
      <c r="L11" s="361"/>
      <c r="M11" s="361"/>
      <c r="N11" s="17"/>
      <c r="O11" s="361"/>
      <c r="P11" s="361"/>
    </row>
    <row r="12" spans="2:20" s="2" customFormat="1" ht="17.5" customHeight="1" x14ac:dyDescent="0.2">
      <c r="C12" s="181" t="s">
        <v>296</v>
      </c>
      <c r="D12" s="182"/>
      <c r="E12" s="182"/>
      <c r="F12" s="182"/>
      <c r="G12" s="182"/>
      <c r="H12" s="17"/>
      <c r="I12" s="17"/>
      <c r="J12" s="17"/>
      <c r="K12" s="17"/>
      <c r="L12" s="17"/>
      <c r="M12" s="17"/>
      <c r="N12" s="17"/>
      <c r="O12" s="17"/>
    </row>
    <row r="13" spans="2:20" s="2" customFormat="1" ht="17.5" customHeight="1" x14ac:dyDescent="0.2">
      <c r="C13" s="181" t="s">
        <v>297</v>
      </c>
      <c r="D13" s="182"/>
      <c r="E13" s="182"/>
      <c r="F13" s="182"/>
      <c r="G13" s="182"/>
      <c r="H13" s="17"/>
      <c r="I13" s="17"/>
      <c r="J13" s="17"/>
      <c r="K13" s="17"/>
      <c r="L13" s="17"/>
      <c r="M13" s="17"/>
      <c r="N13" s="17"/>
      <c r="O13" s="17"/>
    </row>
    <row r="14" spans="2:20" s="2" customFormat="1" ht="24" customHeight="1" x14ac:dyDescent="0.2">
      <c r="C14" s="181"/>
      <c r="D14" s="182"/>
      <c r="E14" s="182"/>
      <c r="F14" s="182"/>
      <c r="G14" s="182"/>
      <c r="H14" s="17"/>
      <c r="I14" s="17"/>
      <c r="J14" s="17"/>
      <c r="K14" s="17"/>
      <c r="L14" s="17"/>
      <c r="M14" s="17"/>
      <c r="N14" s="17"/>
      <c r="O14" s="17"/>
    </row>
    <row r="15" spans="2:20" s="2" customFormat="1" ht="24" customHeight="1" x14ac:dyDescent="0.2">
      <c r="C15" s="181" t="s">
        <v>180</v>
      </c>
      <c r="D15" s="182"/>
      <c r="E15" s="182"/>
      <c r="F15" s="182"/>
      <c r="G15" s="182"/>
      <c r="H15" s="17"/>
      <c r="I15" s="362"/>
      <c r="J15" s="362"/>
      <c r="K15" s="184"/>
      <c r="L15" s="362"/>
      <c r="M15" s="362"/>
      <c r="N15" s="184"/>
      <c r="O15" s="362"/>
      <c r="P15" s="362"/>
      <c r="Q15" s="220"/>
    </row>
    <row r="16" spans="2:20" s="2" customFormat="1" ht="18.5" customHeight="1" x14ac:dyDescent="0.2">
      <c r="C16" s="181" t="s">
        <v>298</v>
      </c>
      <c r="D16" s="182"/>
      <c r="E16" s="182"/>
      <c r="F16" s="182"/>
      <c r="G16" s="182"/>
      <c r="H16" s="17"/>
      <c r="I16" s="220"/>
      <c r="J16" s="17"/>
      <c r="K16" s="17"/>
      <c r="L16" s="220"/>
      <c r="M16" s="17"/>
      <c r="N16" s="17"/>
      <c r="O16" s="220"/>
    </row>
    <row r="17" spans="2:17" s="2" customFormat="1" ht="18.5" customHeight="1" x14ac:dyDescent="0.2">
      <c r="C17" s="181" t="s">
        <v>299</v>
      </c>
      <c r="D17" s="182"/>
      <c r="E17" s="182"/>
      <c r="F17" s="182"/>
      <c r="G17" s="182"/>
      <c r="H17" s="17"/>
      <c r="I17" s="17"/>
      <c r="J17" s="17"/>
      <c r="K17" s="17"/>
      <c r="L17" s="17"/>
      <c r="M17" s="17"/>
      <c r="N17" s="17"/>
      <c r="O17" s="17"/>
    </row>
    <row r="18" spans="2:17" s="2" customFormat="1" ht="18.5" customHeight="1" x14ac:dyDescent="0.2">
      <c r="C18" s="181" t="s">
        <v>300</v>
      </c>
      <c r="D18" s="182"/>
      <c r="E18" s="182"/>
      <c r="F18" s="182"/>
      <c r="G18" s="182"/>
      <c r="H18" s="17"/>
      <c r="I18" s="17"/>
      <c r="J18" s="17"/>
      <c r="K18" s="17"/>
      <c r="L18" s="17"/>
      <c r="M18" s="17"/>
      <c r="N18" s="17"/>
      <c r="O18" s="17"/>
    </row>
    <row r="19" spans="2:17" s="2" customFormat="1" ht="18.5" customHeight="1" thickBot="1" x14ac:dyDescent="0.25">
      <c r="C19" s="181"/>
      <c r="D19" s="182"/>
      <c r="E19" s="182"/>
      <c r="F19" s="182"/>
      <c r="G19" s="182"/>
      <c r="H19" s="17"/>
      <c r="I19" s="17"/>
      <c r="J19" s="17"/>
      <c r="K19" s="17"/>
      <c r="L19" s="17"/>
      <c r="M19" s="17"/>
      <c r="N19" s="17"/>
      <c r="O19" s="17"/>
    </row>
    <row r="20" spans="2:17" s="2" customFormat="1" ht="33" customHeight="1" thickTop="1" x14ac:dyDescent="0.2">
      <c r="B20" s="185"/>
      <c r="C20" s="186" t="s">
        <v>301</v>
      </c>
      <c r="D20" s="187"/>
      <c r="E20" s="221">
        <f>I8</f>
        <v>0</v>
      </c>
      <c r="F20" s="187"/>
      <c r="G20" s="188"/>
      <c r="H20" s="188"/>
      <c r="I20" s="337">
        <f>L8</f>
        <v>0</v>
      </c>
      <c r="J20" s="337"/>
      <c r="K20" s="188"/>
      <c r="L20" s="188"/>
      <c r="M20" s="338">
        <f>O8</f>
        <v>0</v>
      </c>
      <c r="N20" s="338"/>
      <c r="O20" s="338"/>
      <c r="P20" s="189"/>
      <c r="Q20" s="190"/>
    </row>
    <row r="21" spans="2:17" s="2" customFormat="1" ht="33" customHeight="1" thickBot="1" x14ac:dyDescent="0.25">
      <c r="B21" s="191"/>
      <c r="C21" s="192"/>
      <c r="D21" s="193"/>
      <c r="E21" s="192" t="s">
        <v>302</v>
      </c>
      <c r="F21" s="339" t="str">
        <f>IFERROR(((I20-E20)/ABS(E20)),"-")</f>
        <v>-</v>
      </c>
      <c r="G21" s="339"/>
      <c r="H21" s="194"/>
      <c r="I21" s="194"/>
      <c r="J21" s="194"/>
      <c r="K21" s="339" t="str">
        <f>IFERROR(((M20-I20)/ABS(I20)),"-")</f>
        <v>-</v>
      </c>
      <c r="L21" s="339"/>
      <c r="M21" s="339"/>
      <c r="N21" s="194"/>
      <c r="O21" s="194"/>
      <c r="P21" s="195"/>
      <c r="Q21" s="196"/>
    </row>
    <row r="22" spans="2:17" s="2" customFormat="1" ht="33" customHeight="1" thickTop="1" x14ac:dyDescent="0.2">
      <c r="B22" s="185"/>
      <c r="C22" s="186" t="s">
        <v>303</v>
      </c>
      <c r="D22" s="187"/>
      <c r="E22" s="221">
        <f>I8-I9</f>
        <v>0</v>
      </c>
      <c r="F22" s="187"/>
      <c r="G22" s="188"/>
      <c r="H22" s="188"/>
      <c r="I22" s="337">
        <f>L8-L9</f>
        <v>0</v>
      </c>
      <c r="J22" s="337"/>
      <c r="K22" s="188"/>
      <c r="L22" s="188"/>
      <c r="M22" s="338">
        <f>O8-O9</f>
        <v>0</v>
      </c>
      <c r="N22" s="338"/>
      <c r="O22" s="338"/>
      <c r="P22" s="189"/>
      <c r="Q22" s="190"/>
    </row>
    <row r="23" spans="2:17" s="2" customFormat="1" ht="33" customHeight="1" x14ac:dyDescent="0.2">
      <c r="B23" s="197"/>
      <c r="C23" s="181" t="s">
        <v>304</v>
      </c>
      <c r="D23" s="182"/>
      <c r="E23" s="181"/>
      <c r="F23" s="181"/>
      <c r="G23" s="17"/>
      <c r="H23" s="17"/>
      <c r="I23" s="17"/>
      <c r="J23" s="17"/>
      <c r="K23" s="17"/>
      <c r="L23" s="17"/>
      <c r="M23" s="17"/>
      <c r="N23" s="17"/>
      <c r="O23" s="17"/>
      <c r="Q23" s="198"/>
    </row>
    <row r="24" spans="2:17" s="2" customFormat="1" ht="33" customHeight="1" thickBot="1" x14ac:dyDescent="0.25">
      <c r="B24" s="191"/>
      <c r="C24" s="192"/>
      <c r="D24" s="193"/>
      <c r="E24" s="192" t="s">
        <v>302</v>
      </c>
      <c r="F24" s="339" t="str">
        <f>IFERROR(((I22-E22)/ABS(E22)),"-")</f>
        <v>-</v>
      </c>
      <c r="G24" s="339"/>
      <c r="H24" s="194"/>
      <c r="I24" s="194"/>
      <c r="J24" s="194"/>
      <c r="K24" s="339" t="str">
        <f>IFERROR(((M22-I22)/ABS(I22)),"-")</f>
        <v>-</v>
      </c>
      <c r="L24" s="339"/>
      <c r="M24" s="339"/>
      <c r="N24" s="194"/>
      <c r="O24" s="194"/>
      <c r="P24" s="195"/>
      <c r="Q24" s="196"/>
    </row>
    <row r="25" spans="2:17" s="2" customFormat="1" ht="33" customHeight="1" thickTop="1" x14ac:dyDescent="0.2">
      <c r="B25" s="185"/>
      <c r="C25" s="186" t="s">
        <v>305</v>
      </c>
      <c r="D25" s="187"/>
      <c r="E25" s="221">
        <f>I10</f>
        <v>0</v>
      </c>
      <c r="F25" s="187"/>
      <c r="G25" s="188"/>
      <c r="H25" s="188"/>
      <c r="I25" s="337">
        <f>L10</f>
        <v>0</v>
      </c>
      <c r="J25" s="337"/>
      <c r="K25" s="188"/>
      <c r="L25" s="188"/>
      <c r="M25" s="338">
        <f>O10</f>
        <v>0</v>
      </c>
      <c r="N25" s="338"/>
      <c r="O25" s="338"/>
      <c r="P25" s="189"/>
      <c r="Q25" s="190"/>
    </row>
    <row r="26" spans="2:17" s="2" customFormat="1" ht="33" customHeight="1" thickBot="1" x14ac:dyDescent="0.25">
      <c r="B26" s="191"/>
      <c r="C26" s="192"/>
      <c r="D26" s="193"/>
      <c r="E26" s="192" t="s">
        <v>302</v>
      </c>
      <c r="F26" s="339" t="str">
        <f>IFERROR(((I25-E25)/ABS(E25)),"-")</f>
        <v>-</v>
      </c>
      <c r="G26" s="339"/>
      <c r="H26" s="194"/>
      <c r="I26" s="194"/>
      <c r="J26" s="194"/>
      <c r="K26" s="339" t="str">
        <f>IFERROR(((M25-I25)/ABS(I25)),"-")</f>
        <v>-</v>
      </c>
      <c r="L26" s="339"/>
      <c r="M26" s="339"/>
      <c r="N26" s="194"/>
      <c r="O26" s="194"/>
      <c r="P26" s="195"/>
      <c r="Q26" s="196"/>
    </row>
    <row r="27" spans="2:17" s="2" customFormat="1" ht="33" customHeight="1" thickTop="1" x14ac:dyDescent="0.2">
      <c r="B27" s="185"/>
      <c r="C27" s="186" t="s">
        <v>306</v>
      </c>
      <c r="D27" s="187"/>
      <c r="E27" s="221">
        <f>I10+I11</f>
        <v>0</v>
      </c>
      <c r="F27" s="340" t="str">
        <f>IFERROR(TEXT((E27/E22),"+0%;-0%")&amp;" *","n/a*")</f>
        <v>n/a*</v>
      </c>
      <c r="G27" s="340"/>
      <c r="H27" s="188"/>
      <c r="I27" s="337">
        <f>L10+L11</f>
        <v>0</v>
      </c>
      <c r="J27" s="337"/>
      <c r="K27" s="340" t="str">
        <f>IFERROR(TEXT((I27/I22),"+0%;-0%")&amp;" *","n/a*")</f>
        <v>n/a*</v>
      </c>
      <c r="L27" s="340"/>
      <c r="M27" s="338">
        <f>O10+O11</f>
        <v>0</v>
      </c>
      <c r="N27" s="338"/>
      <c r="O27" s="338"/>
      <c r="P27" s="340" t="str">
        <f>IFERROR(ROUND((M27/M22)*100,0)&amp;"% *","n/a*")</f>
        <v>n/a*</v>
      </c>
      <c r="Q27" s="341"/>
    </row>
    <row r="28" spans="2:17" s="2" customFormat="1" ht="33" customHeight="1" x14ac:dyDescent="0.2">
      <c r="B28" s="197"/>
      <c r="C28" s="181" t="s">
        <v>307</v>
      </c>
      <c r="D28" s="182"/>
      <c r="E28" s="181"/>
      <c r="F28" s="181"/>
      <c r="G28" s="17"/>
      <c r="H28" s="17"/>
      <c r="I28" s="17"/>
      <c r="J28" s="17"/>
      <c r="K28" s="17"/>
      <c r="L28" s="17"/>
      <c r="M28" s="17"/>
      <c r="N28" s="17"/>
      <c r="O28" s="17"/>
      <c r="Q28" s="198"/>
    </row>
    <row r="29" spans="2:17" s="2" customFormat="1" ht="33" customHeight="1" thickBot="1" x14ac:dyDescent="0.25">
      <c r="B29" s="191"/>
      <c r="C29" s="192"/>
      <c r="D29" s="193"/>
      <c r="E29" s="192" t="s">
        <v>302</v>
      </c>
      <c r="F29" s="339" t="str">
        <f>IFERROR(((I27-E27)/ABS(E27)),"-")</f>
        <v>-</v>
      </c>
      <c r="G29" s="339"/>
      <c r="H29" s="194"/>
      <c r="I29" s="194"/>
      <c r="J29" s="194"/>
      <c r="K29" s="339" t="str">
        <f>IFERROR(((M27-I27)/ABS(I27)),"-")</f>
        <v>-</v>
      </c>
      <c r="L29" s="339"/>
      <c r="M29" s="339"/>
      <c r="N29" s="194"/>
      <c r="O29" s="194"/>
      <c r="P29" s="195"/>
      <c r="Q29" s="196"/>
    </row>
    <row r="30" spans="2:17" s="2" customFormat="1" ht="33" customHeight="1" thickTop="1" x14ac:dyDescent="0.2">
      <c r="B30" s="185"/>
      <c r="C30" s="186" t="s">
        <v>308</v>
      </c>
      <c r="D30" s="187"/>
      <c r="E30" s="221">
        <f>I8-I9-I10</f>
        <v>0</v>
      </c>
      <c r="F30" s="187"/>
      <c r="G30" s="188"/>
      <c r="H30" s="188"/>
      <c r="I30" s="337">
        <f>L8-L9-L10</f>
        <v>0</v>
      </c>
      <c r="J30" s="337"/>
      <c r="K30" s="188"/>
      <c r="L30" s="188"/>
      <c r="M30" s="338">
        <f>O8-O9-O10</f>
        <v>0</v>
      </c>
      <c r="N30" s="338"/>
      <c r="O30" s="338"/>
      <c r="P30" s="189"/>
      <c r="Q30" s="190"/>
    </row>
    <row r="31" spans="2:17" s="2" customFormat="1" ht="33" customHeight="1" x14ac:dyDescent="0.2">
      <c r="B31" s="197"/>
      <c r="C31" s="181" t="s">
        <v>309</v>
      </c>
      <c r="D31" s="182"/>
      <c r="E31" s="181"/>
      <c r="F31" s="181"/>
      <c r="G31" s="17"/>
      <c r="H31" s="17"/>
      <c r="I31" s="17"/>
      <c r="J31" s="17"/>
      <c r="K31" s="17"/>
      <c r="L31" s="17"/>
      <c r="M31" s="17"/>
      <c r="N31" s="17"/>
      <c r="O31" s="17"/>
      <c r="Q31" s="198"/>
    </row>
    <row r="32" spans="2:17" s="2" customFormat="1" ht="33" customHeight="1" thickBot="1" x14ac:dyDescent="0.25">
      <c r="B32" s="191"/>
      <c r="C32" s="192"/>
      <c r="D32" s="193"/>
      <c r="E32" s="192" t="s">
        <v>302</v>
      </c>
      <c r="F32" s="339" t="str">
        <f>IFERROR(((I30-E30)/ABS(E30)),"-")</f>
        <v>-</v>
      </c>
      <c r="G32" s="339"/>
      <c r="H32" s="194"/>
      <c r="I32" s="194"/>
      <c r="J32" s="194"/>
      <c r="K32" s="339" t="str">
        <f>IFERROR(((M30-I30)/ABS(I30)),"-")</f>
        <v>-</v>
      </c>
      <c r="L32" s="339"/>
      <c r="M32" s="339"/>
      <c r="N32" s="194"/>
      <c r="O32" s="194"/>
      <c r="P32" s="195"/>
      <c r="Q32" s="196"/>
    </row>
    <row r="33" spans="2:20" s="2" customFormat="1" ht="33" customHeight="1" thickTop="1" x14ac:dyDescent="0.2">
      <c r="B33" s="185"/>
      <c r="C33" s="186" t="s">
        <v>180</v>
      </c>
      <c r="D33" s="187"/>
      <c r="E33" s="221">
        <f>I15</f>
        <v>0</v>
      </c>
      <c r="F33" s="351" t="str">
        <f>IFERROR(ROUND((E33/E22)*100,0)&amp;"% **","n/a**")</f>
        <v>n/a**</v>
      </c>
      <c r="G33" s="351"/>
      <c r="H33" s="188"/>
      <c r="I33" s="337">
        <f>L15</f>
        <v>0</v>
      </c>
      <c r="J33" s="337"/>
      <c r="K33" s="351" t="str">
        <f>IFERROR(TEXT((I33/I22),"+0%;-0%")&amp;" **","n/a**")</f>
        <v>n/a**</v>
      </c>
      <c r="L33" s="351"/>
      <c r="M33" s="338">
        <f>O15</f>
        <v>0</v>
      </c>
      <c r="N33" s="338"/>
      <c r="O33" s="338"/>
      <c r="P33" s="351" t="str">
        <f>IFERROR(ROUND((M33/M22)*100,0)&amp;"% **","n/a**")</f>
        <v>n/a**</v>
      </c>
      <c r="Q33" s="352"/>
    </row>
    <row r="34" spans="2:20" s="2" customFormat="1" ht="33" customHeight="1" thickBot="1" x14ac:dyDescent="0.25">
      <c r="B34" s="191"/>
      <c r="C34" s="192"/>
      <c r="D34" s="193"/>
      <c r="E34" s="192" t="s">
        <v>302</v>
      </c>
      <c r="F34" s="339" t="str">
        <f>IFERROR(((I33-E33)/ABS(E33)),"-")</f>
        <v>-</v>
      </c>
      <c r="G34" s="339"/>
      <c r="H34" s="194"/>
      <c r="I34" s="194"/>
      <c r="J34" s="194"/>
      <c r="K34" s="339" t="str">
        <f>IFERROR(((M33-I33)/ABS(I33)),"-")</f>
        <v>-</v>
      </c>
      <c r="L34" s="339"/>
      <c r="M34" s="339"/>
      <c r="N34" s="194"/>
      <c r="O34" s="194"/>
      <c r="P34" s="195"/>
      <c r="Q34" s="196"/>
    </row>
    <row r="35" spans="2:20" s="2" customFormat="1" ht="18.5" customHeight="1" thickTop="1" x14ac:dyDescent="0.2">
      <c r="B35" s="25"/>
      <c r="C35" s="25" t="s">
        <v>310</v>
      </c>
      <c r="D35" s="182"/>
      <c r="E35" s="182"/>
      <c r="F35" s="182"/>
      <c r="G35" s="17"/>
      <c r="H35" s="17"/>
      <c r="I35" s="17"/>
      <c r="J35" s="17"/>
      <c r="K35" s="17"/>
      <c r="L35" s="17"/>
      <c r="M35" s="17"/>
      <c r="N35" s="17"/>
      <c r="O35" s="17"/>
    </row>
    <row r="36" spans="2:20" ht="13.5" customHeight="1" thickBot="1" x14ac:dyDescent="0.25"/>
    <row r="37" spans="2:20" s="2" customFormat="1" ht="21" customHeight="1" thickTop="1" thickBot="1" x14ac:dyDescent="0.25">
      <c r="B37" s="176"/>
      <c r="C37" s="177" t="s">
        <v>269</v>
      </c>
      <c r="D37" s="353"/>
      <c r="E37" s="353"/>
      <c r="F37" s="353"/>
      <c r="G37" s="354" t="s">
        <v>271</v>
      </c>
      <c r="H37" s="354"/>
      <c r="I37" s="355"/>
      <c r="J37" s="356"/>
      <c r="K37" s="178"/>
      <c r="L37" s="357" t="s">
        <v>272</v>
      </c>
      <c r="M37" s="354"/>
      <c r="N37" s="354"/>
      <c r="O37" s="358"/>
      <c r="P37" s="359"/>
      <c r="Q37" s="179"/>
    </row>
    <row r="38" spans="2:20" s="2" customFormat="1" ht="21" hidden="1" customHeight="1" thickTop="1" thickBot="1" x14ac:dyDescent="0.25">
      <c r="B38" s="176"/>
      <c r="C38" s="180" t="s">
        <v>270</v>
      </c>
      <c r="D38" s="353"/>
      <c r="E38" s="353"/>
      <c r="F38" s="353"/>
      <c r="G38" s="354"/>
      <c r="H38" s="354"/>
      <c r="I38" s="354"/>
      <c r="J38" s="354"/>
      <c r="K38" s="178"/>
      <c r="L38" s="357" t="s">
        <v>272</v>
      </c>
      <c r="M38" s="354"/>
      <c r="N38" s="354"/>
      <c r="O38" s="358"/>
      <c r="P38" s="359"/>
      <c r="Q38" s="179"/>
    </row>
    <row r="39" spans="2:20" s="2" customFormat="1" ht="24" hidden="1" customHeight="1" thickTop="1" thickBot="1" x14ac:dyDescent="0.25">
      <c r="C39" s="181"/>
      <c r="D39" s="182"/>
      <c r="E39" s="182"/>
      <c r="F39" s="363" t="s">
        <v>242</v>
      </c>
      <c r="G39" s="363"/>
      <c r="H39" s="17"/>
      <c r="I39" s="364"/>
      <c r="J39" s="364"/>
      <c r="K39" s="17"/>
      <c r="L39" s="364"/>
      <c r="M39" s="364"/>
      <c r="N39" s="17"/>
      <c r="O39" s="364"/>
      <c r="P39" s="364"/>
      <c r="Q39" s="64"/>
    </row>
    <row r="40" spans="2:20" s="2" customFormat="1" ht="24" hidden="1" customHeight="1" thickTop="1" thickBot="1" x14ac:dyDescent="0.25">
      <c r="C40" s="181" t="s">
        <v>292</v>
      </c>
      <c r="D40" s="182"/>
      <c r="E40" s="182"/>
      <c r="F40" s="182"/>
      <c r="G40" s="182"/>
      <c r="H40" s="17"/>
      <c r="I40" s="360"/>
      <c r="J40" s="360"/>
      <c r="K40" s="17"/>
      <c r="L40" s="360"/>
      <c r="M40" s="360"/>
      <c r="N40" s="17"/>
      <c r="O40" s="360"/>
      <c r="P40" s="360"/>
    </row>
    <row r="41" spans="2:20" s="2" customFormat="1" ht="24" hidden="1" customHeight="1" thickTop="1" thickBot="1" x14ac:dyDescent="0.25">
      <c r="C41" s="181" t="s">
        <v>293</v>
      </c>
      <c r="D41" s="182"/>
      <c r="E41" s="182"/>
      <c r="F41" s="182"/>
      <c r="G41" s="182"/>
      <c r="H41" s="17"/>
      <c r="I41" s="360"/>
      <c r="J41" s="360"/>
      <c r="K41" s="17"/>
      <c r="L41" s="360"/>
      <c r="M41" s="360"/>
      <c r="N41" s="17"/>
      <c r="O41" s="360"/>
      <c r="P41" s="360"/>
    </row>
    <row r="42" spans="2:20" s="2" customFormat="1" ht="24" hidden="1" customHeight="1" thickTop="1" thickBot="1" x14ac:dyDescent="0.25">
      <c r="C42" s="181" t="s">
        <v>294</v>
      </c>
      <c r="D42" s="182"/>
      <c r="E42" s="182"/>
      <c r="F42" s="182"/>
      <c r="G42" s="182"/>
      <c r="H42" s="17"/>
      <c r="I42" s="360"/>
      <c r="J42" s="360"/>
      <c r="K42" s="17"/>
      <c r="L42" s="360"/>
      <c r="M42" s="360"/>
      <c r="N42" s="17"/>
      <c r="O42" s="360"/>
      <c r="P42" s="360"/>
      <c r="T42" s="183"/>
    </row>
    <row r="43" spans="2:20" s="2" customFormat="1" ht="24" hidden="1" customHeight="1" thickTop="1" x14ac:dyDescent="0.2">
      <c r="C43" s="181" t="s">
        <v>295</v>
      </c>
      <c r="D43" s="182"/>
      <c r="E43" s="182"/>
      <c r="F43" s="182"/>
      <c r="G43" s="182"/>
      <c r="H43" s="17"/>
      <c r="I43" s="361"/>
      <c r="J43" s="361"/>
      <c r="K43" s="17"/>
      <c r="L43" s="361"/>
      <c r="M43" s="361"/>
      <c r="N43" s="17"/>
      <c r="O43" s="361"/>
      <c r="P43" s="361"/>
    </row>
    <row r="44" spans="2:20" s="2" customFormat="1" ht="17.5" hidden="1" customHeight="1" x14ac:dyDescent="0.2">
      <c r="C44" s="181" t="s">
        <v>296</v>
      </c>
      <c r="D44" s="182"/>
      <c r="E44" s="182"/>
      <c r="F44" s="182"/>
      <c r="G44" s="182"/>
      <c r="H44" s="17"/>
      <c r="I44" s="17"/>
      <c r="J44" s="17"/>
      <c r="K44" s="17"/>
      <c r="L44" s="17"/>
      <c r="M44" s="17"/>
      <c r="N44" s="17"/>
      <c r="O44" s="17"/>
    </row>
    <row r="45" spans="2:20" s="2" customFormat="1" ht="17.5" hidden="1" customHeight="1" x14ac:dyDescent="0.2">
      <c r="C45" s="181" t="s">
        <v>297</v>
      </c>
      <c r="D45" s="182"/>
      <c r="E45" s="182"/>
      <c r="F45" s="182"/>
      <c r="G45" s="182"/>
      <c r="H45" s="17"/>
      <c r="I45" s="17"/>
      <c r="J45" s="17"/>
      <c r="K45" s="17"/>
      <c r="L45" s="17"/>
      <c r="M45" s="17"/>
      <c r="N45" s="17"/>
      <c r="O45" s="17"/>
    </row>
    <row r="46" spans="2:20" s="2" customFormat="1" ht="24" hidden="1" customHeight="1" x14ac:dyDescent="0.2">
      <c r="C46" s="181"/>
      <c r="D46" s="182"/>
      <c r="E46" s="182"/>
      <c r="F46" s="182"/>
      <c r="G46" s="182"/>
      <c r="H46" s="17"/>
      <c r="I46" s="17"/>
      <c r="J46" s="17"/>
      <c r="K46" s="17"/>
      <c r="L46" s="17"/>
      <c r="M46" s="17"/>
      <c r="N46" s="17"/>
      <c r="O46" s="17"/>
    </row>
    <row r="47" spans="2:20" s="2" customFormat="1" ht="24" hidden="1" customHeight="1" x14ac:dyDescent="0.2">
      <c r="C47" s="181" t="s">
        <v>180</v>
      </c>
      <c r="D47" s="182"/>
      <c r="E47" s="182"/>
      <c r="F47" s="182"/>
      <c r="G47" s="182"/>
      <c r="H47" s="17"/>
      <c r="I47" s="362"/>
      <c r="J47" s="362"/>
      <c r="K47" s="184"/>
      <c r="L47" s="362"/>
      <c r="M47" s="362"/>
      <c r="N47" s="184"/>
      <c r="O47" s="362"/>
      <c r="P47" s="362"/>
      <c r="Q47" s="220"/>
    </row>
    <row r="48" spans="2:20" s="2" customFormat="1" ht="18.5" hidden="1" customHeight="1" x14ac:dyDescent="0.2">
      <c r="C48" s="181" t="s">
        <v>298</v>
      </c>
      <c r="D48" s="182"/>
      <c r="E48" s="182"/>
      <c r="F48" s="182"/>
      <c r="G48" s="182"/>
      <c r="H48" s="17"/>
      <c r="I48" s="220"/>
      <c r="J48" s="17"/>
      <c r="K48" s="17"/>
      <c r="L48" s="220"/>
      <c r="M48" s="17"/>
      <c r="N48" s="17"/>
      <c r="O48" s="220"/>
    </row>
    <row r="49" spans="2:17" s="2" customFormat="1" ht="18.5" hidden="1" customHeight="1" x14ac:dyDescent="0.2">
      <c r="C49" s="181" t="s">
        <v>299</v>
      </c>
      <c r="D49" s="182"/>
      <c r="E49" s="182"/>
      <c r="F49" s="182"/>
      <c r="G49" s="182"/>
      <c r="H49" s="17"/>
      <c r="I49" s="17"/>
      <c r="J49" s="17"/>
      <c r="K49" s="17"/>
      <c r="L49" s="17"/>
      <c r="M49" s="17"/>
      <c r="N49" s="17"/>
      <c r="O49" s="17"/>
    </row>
    <row r="50" spans="2:17" s="2" customFormat="1" ht="18.5" hidden="1" customHeight="1" x14ac:dyDescent="0.2">
      <c r="C50" s="181" t="s">
        <v>300</v>
      </c>
      <c r="D50" s="182"/>
      <c r="E50" s="182"/>
      <c r="F50" s="182"/>
      <c r="G50" s="182"/>
      <c r="H50" s="17"/>
      <c r="I50" s="17"/>
      <c r="J50" s="17"/>
      <c r="K50" s="17"/>
      <c r="L50" s="17"/>
      <c r="M50" s="17"/>
      <c r="N50" s="17"/>
      <c r="O50" s="17"/>
    </row>
    <row r="51" spans="2:17" s="2" customFormat="1" ht="18.5" hidden="1" customHeight="1" thickBot="1" x14ac:dyDescent="0.25">
      <c r="C51" s="181"/>
      <c r="D51" s="182"/>
      <c r="E51" s="182"/>
      <c r="F51" s="182"/>
      <c r="G51" s="182"/>
      <c r="H51" s="17"/>
      <c r="I51" s="17"/>
      <c r="J51" s="17"/>
      <c r="K51" s="17"/>
      <c r="L51" s="17"/>
      <c r="M51" s="17"/>
      <c r="N51" s="17"/>
      <c r="O51" s="17"/>
    </row>
    <row r="52" spans="2:17" s="2" customFormat="1" ht="33" hidden="1" customHeight="1" thickTop="1" x14ac:dyDescent="0.2">
      <c r="B52" s="185"/>
      <c r="C52" s="186" t="s">
        <v>301</v>
      </c>
      <c r="D52" s="187"/>
      <c r="E52" s="221">
        <f>I40</f>
        <v>0</v>
      </c>
      <c r="F52" s="187"/>
      <c r="G52" s="188"/>
      <c r="H52" s="188"/>
      <c r="I52" s="337">
        <f>L40</f>
        <v>0</v>
      </c>
      <c r="J52" s="337"/>
      <c r="K52" s="188"/>
      <c r="L52" s="188"/>
      <c r="M52" s="338">
        <f>O40</f>
        <v>0</v>
      </c>
      <c r="N52" s="338"/>
      <c r="O52" s="338"/>
      <c r="P52" s="189"/>
      <c r="Q52" s="190"/>
    </row>
    <row r="53" spans="2:17" s="2" customFormat="1" ht="33" hidden="1" customHeight="1" thickBot="1" x14ac:dyDescent="0.25">
      <c r="B53" s="191"/>
      <c r="C53" s="192"/>
      <c r="D53" s="193"/>
      <c r="E53" s="192" t="s">
        <v>302</v>
      </c>
      <c r="F53" s="339" t="str">
        <f>IFERROR(((I52-E52)/ABS(E52)),"-")</f>
        <v>-</v>
      </c>
      <c r="G53" s="339"/>
      <c r="H53" s="194"/>
      <c r="I53" s="194"/>
      <c r="J53" s="194"/>
      <c r="K53" s="339" t="str">
        <f>IFERROR(((M52-I52)/ABS(I52)),"-")</f>
        <v>-</v>
      </c>
      <c r="L53" s="339"/>
      <c r="M53" s="339"/>
      <c r="N53" s="194"/>
      <c r="O53" s="194"/>
      <c r="P53" s="195"/>
      <c r="Q53" s="196"/>
    </row>
    <row r="54" spans="2:17" s="2" customFormat="1" ht="33" hidden="1" customHeight="1" thickTop="1" x14ac:dyDescent="0.2">
      <c r="B54" s="185"/>
      <c r="C54" s="186" t="s">
        <v>303</v>
      </c>
      <c r="D54" s="187"/>
      <c r="E54" s="221">
        <f>I40-I41</f>
        <v>0</v>
      </c>
      <c r="F54" s="187"/>
      <c r="G54" s="188"/>
      <c r="H54" s="188"/>
      <c r="I54" s="337">
        <f>L40-L41</f>
        <v>0</v>
      </c>
      <c r="J54" s="337"/>
      <c r="K54" s="188"/>
      <c r="L54" s="188"/>
      <c r="M54" s="338">
        <f>O40-O41</f>
        <v>0</v>
      </c>
      <c r="N54" s="338"/>
      <c r="O54" s="338"/>
      <c r="P54" s="189"/>
      <c r="Q54" s="190"/>
    </row>
    <row r="55" spans="2:17" s="2" customFormat="1" ht="33" hidden="1" customHeight="1" x14ac:dyDescent="0.2">
      <c r="B55" s="197"/>
      <c r="C55" s="181" t="s">
        <v>304</v>
      </c>
      <c r="D55" s="182"/>
      <c r="E55" s="181"/>
      <c r="F55" s="181"/>
      <c r="G55" s="17"/>
      <c r="H55" s="17"/>
      <c r="I55" s="17"/>
      <c r="J55" s="17"/>
      <c r="K55" s="17"/>
      <c r="L55" s="17"/>
      <c r="M55" s="17"/>
      <c r="N55" s="17"/>
      <c r="O55" s="17"/>
      <c r="Q55" s="198"/>
    </row>
    <row r="56" spans="2:17" s="2" customFormat="1" ht="33" hidden="1" customHeight="1" thickBot="1" x14ac:dyDescent="0.25">
      <c r="B56" s="191"/>
      <c r="C56" s="192"/>
      <c r="D56" s="193"/>
      <c r="E56" s="192" t="s">
        <v>302</v>
      </c>
      <c r="F56" s="339" t="str">
        <f>IFERROR(((I54-E54)/ABS(E54)),"-")</f>
        <v>-</v>
      </c>
      <c r="G56" s="339"/>
      <c r="H56" s="194"/>
      <c r="I56" s="194"/>
      <c r="J56" s="194"/>
      <c r="K56" s="339" t="str">
        <f>IFERROR(((M54-I54)/ABS(I54)),"-")</f>
        <v>-</v>
      </c>
      <c r="L56" s="339"/>
      <c r="M56" s="339"/>
      <c r="N56" s="194"/>
      <c r="O56" s="194"/>
      <c r="P56" s="195"/>
      <c r="Q56" s="196"/>
    </row>
    <row r="57" spans="2:17" s="2" customFormat="1" ht="33" hidden="1" customHeight="1" thickTop="1" x14ac:dyDescent="0.2">
      <c r="B57" s="185"/>
      <c r="C57" s="186" t="s">
        <v>305</v>
      </c>
      <c r="D57" s="187"/>
      <c r="E57" s="221">
        <f>I42</f>
        <v>0</v>
      </c>
      <c r="F57" s="187"/>
      <c r="G57" s="188"/>
      <c r="H57" s="188"/>
      <c r="I57" s="337">
        <f>L42</f>
        <v>0</v>
      </c>
      <c r="J57" s="337"/>
      <c r="K57" s="188"/>
      <c r="L57" s="188"/>
      <c r="M57" s="338">
        <f>O42</f>
        <v>0</v>
      </c>
      <c r="N57" s="338"/>
      <c r="O57" s="338"/>
      <c r="P57" s="189"/>
      <c r="Q57" s="190"/>
    </row>
    <row r="58" spans="2:17" s="2" customFormat="1" ht="33" hidden="1" customHeight="1" thickBot="1" x14ac:dyDescent="0.25">
      <c r="B58" s="191"/>
      <c r="C58" s="192"/>
      <c r="D58" s="193"/>
      <c r="E58" s="192" t="s">
        <v>302</v>
      </c>
      <c r="F58" s="339" t="str">
        <f>IFERROR(((I57-E57)/ABS(E57)),"-")</f>
        <v>-</v>
      </c>
      <c r="G58" s="339"/>
      <c r="H58" s="194"/>
      <c r="I58" s="194"/>
      <c r="J58" s="194"/>
      <c r="K58" s="339" t="str">
        <f>IFERROR(((M57-I57)/ABS(I57)),"-")</f>
        <v>-</v>
      </c>
      <c r="L58" s="339"/>
      <c r="M58" s="339"/>
      <c r="N58" s="194"/>
      <c r="O58" s="194"/>
      <c r="P58" s="195"/>
      <c r="Q58" s="196"/>
    </row>
    <row r="59" spans="2:17" s="2" customFormat="1" ht="33" hidden="1" customHeight="1" thickTop="1" x14ac:dyDescent="0.2">
      <c r="B59" s="185"/>
      <c r="C59" s="186" t="s">
        <v>306</v>
      </c>
      <c r="D59" s="187"/>
      <c r="E59" s="221">
        <f>I42+I43</f>
        <v>0</v>
      </c>
      <c r="F59" s="340" t="str">
        <f>IFERROR(TEXT((E59/E54),"+0%;-0%")&amp;" *","n/a*")</f>
        <v>n/a*</v>
      </c>
      <c r="G59" s="340"/>
      <c r="H59" s="188"/>
      <c r="I59" s="337">
        <f>L42+L43</f>
        <v>0</v>
      </c>
      <c r="J59" s="337"/>
      <c r="K59" s="340" t="str">
        <f>IFERROR(TEXT((I59/I54),"+0%;-0%")&amp;" *","n/a*")</f>
        <v>n/a*</v>
      </c>
      <c r="L59" s="340"/>
      <c r="M59" s="338">
        <f>O42+O43</f>
        <v>0</v>
      </c>
      <c r="N59" s="338"/>
      <c r="O59" s="338"/>
      <c r="P59" s="340" t="str">
        <f>IFERROR(ROUND((M59/M54)*100,0)&amp;"% *","n/a*")</f>
        <v>n/a*</v>
      </c>
      <c r="Q59" s="341"/>
    </row>
    <row r="60" spans="2:17" s="2" customFormat="1" ht="33" hidden="1" customHeight="1" x14ac:dyDescent="0.2">
      <c r="B60" s="197"/>
      <c r="C60" s="181" t="s">
        <v>307</v>
      </c>
      <c r="D60" s="182"/>
      <c r="E60" s="181"/>
      <c r="F60" s="181"/>
      <c r="G60" s="17"/>
      <c r="H60" s="17"/>
      <c r="I60" s="17"/>
      <c r="J60" s="17"/>
      <c r="K60" s="17"/>
      <c r="L60" s="17"/>
      <c r="M60" s="17"/>
      <c r="N60" s="17"/>
      <c r="O60" s="17"/>
      <c r="Q60" s="198"/>
    </row>
    <row r="61" spans="2:17" s="2" customFormat="1" ht="33" hidden="1" customHeight="1" thickBot="1" x14ac:dyDescent="0.25">
      <c r="B61" s="191"/>
      <c r="C61" s="192"/>
      <c r="D61" s="193"/>
      <c r="E61" s="192" t="s">
        <v>302</v>
      </c>
      <c r="F61" s="339" t="str">
        <f>IFERROR(((I59-E59)/ABS(E59)),"-")</f>
        <v>-</v>
      </c>
      <c r="G61" s="339"/>
      <c r="H61" s="194"/>
      <c r="I61" s="194"/>
      <c r="J61" s="194"/>
      <c r="K61" s="339" t="str">
        <f>IFERROR(((M59-I59)/ABS(I59)),"-")</f>
        <v>-</v>
      </c>
      <c r="L61" s="339"/>
      <c r="M61" s="339"/>
      <c r="N61" s="194"/>
      <c r="O61" s="194"/>
      <c r="P61" s="195"/>
      <c r="Q61" s="196"/>
    </row>
    <row r="62" spans="2:17" s="2" customFormat="1" ht="33" hidden="1" customHeight="1" thickTop="1" x14ac:dyDescent="0.2">
      <c r="B62" s="185"/>
      <c r="C62" s="186" t="s">
        <v>308</v>
      </c>
      <c r="D62" s="187"/>
      <c r="E62" s="221">
        <f>I40-I41-I42</f>
        <v>0</v>
      </c>
      <c r="F62" s="187"/>
      <c r="G62" s="188"/>
      <c r="H62" s="188"/>
      <c r="I62" s="337">
        <f>L40-L41-L42</f>
        <v>0</v>
      </c>
      <c r="J62" s="337"/>
      <c r="K62" s="188"/>
      <c r="L62" s="188"/>
      <c r="M62" s="338">
        <f>O40-O41-O42</f>
        <v>0</v>
      </c>
      <c r="N62" s="338"/>
      <c r="O62" s="338"/>
      <c r="P62" s="189"/>
      <c r="Q62" s="190"/>
    </row>
    <row r="63" spans="2:17" s="2" customFormat="1" ht="33" hidden="1" customHeight="1" x14ac:dyDescent="0.2">
      <c r="B63" s="197"/>
      <c r="C63" s="181" t="s">
        <v>309</v>
      </c>
      <c r="D63" s="182"/>
      <c r="E63" s="181"/>
      <c r="F63" s="181"/>
      <c r="G63" s="17"/>
      <c r="H63" s="17"/>
      <c r="I63" s="17"/>
      <c r="J63" s="17"/>
      <c r="K63" s="17"/>
      <c r="L63" s="17"/>
      <c r="M63" s="17"/>
      <c r="N63" s="17"/>
      <c r="O63" s="17"/>
      <c r="Q63" s="198"/>
    </row>
    <row r="64" spans="2:17" s="2" customFormat="1" ht="33" hidden="1" customHeight="1" thickBot="1" x14ac:dyDescent="0.25">
      <c r="B64" s="191"/>
      <c r="C64" s="192"/>
      <c r="D64" s="193"/>
      <c r="E64" s="192" t="s">
        <v>302</v>
      </c>
      <c r="F64" s="339" t="str">
        <f>IFERROR(((I62-E62)/ABS(E62)),"-")</f>
        <v>-</v>
      </c>
      <c r="G64" s="339"/>
      <c r="H64" s="194"/>
      <c r="I64" s="194"/>
      <c r="J64" s="194"/>
      <c r="K64" s="339" t="str">
        <f>IFERROR(((M62-I62)/ABS(I62)),"-")</f>
        <v>-</v>
      </c>
      <c r="L64" s="339"/>
      <c r="M64" s="339"/>
      <c r="N64" s="194"/>
      <c r="O64" s="194"/>
      <c r="P64" s="195"/>
      <c r="Q64" s="196"/>
    </row>
    <row r="65" spans="2:20" s="2" customFormat="1" ht="33" hidden="1" customHeight="1" thickTop="1" x14ac:dyDescent="0.2">
      <c r="B65" s="185"/>
      <c r="C65" s="186" t="s">
        <v>180</v>
      </c>
      <c r="D65" s="187"/>
      <c r="E65" s="221">
        <f>I47</f>
        <v>0</v>
      </c>
      <c r="F65" s="351" t="str">
        <f>IFERROR(ROUND((E65/E54)*100,0)&amp;"% **","n/a**")</f>
        <v>n/a**</v>
      </c>
      <c r="G65" s="351"/>
      <c r="H65" s="188"/>
      <c r="I65" s="337">
        <f>L47</f>
        <v>0</v>
      </c>
      <c r="J65" s="337"/>
      <c r="K65" s="351" t="str">
        <f>IFERROR(TEXT((I65/I54),"+0%;-0%")&amp;" **","n/a**")</f>
        <v>n/a**</v>
      </c>
      <c r="L65" s="351"/>
      <c r="M65" s="338">
        <f>O47</f>
        <v>0</v>
      </c>
      <c r="N65" s="338"/>
      <c r="O65" s="338"/>
      <c r="P65" s="351" t="str">
        <f>IFERROR(ROUND((M65/M54)*100,0)&amp;"% **","n/a**")</f>
        <v>n/a**</v>
      </c>
      <c r="Q65" s="352"/>
    </row>
    <row r="66" spans="2:20" s="2" customFormat="1" ht="33" hidden="1" customHeight="1" thickBot="1" x14ac:dyDescent="0.25">
      <c r="B66" s="191"/>
      <c r="C66" s="192"/>
      <c r="D66" s="193"/>
      <c r="E66" s="192" t="s">
        <v>302</v>
      </c>
      <c r="F66" s="339" t="str">
        <f>IFERROR(((I65-E65)/ABS(E65)),"-")</f>
        <v>-</v>
      </c>
      <c r="G66" s="339"/>
      <c r="H66" s="194"/>
      <c r="I66" s="194"/>
      <c r="J66" s="194"/>
      <c r="K66" s="339" t="str">
        <f>IFERROR(((M65-I65)/ABS(I65)),"-")</f>
        <v>-</v>
      </c>
      <c r="L66" s="339"/>
      <c r="M66" s="339"/>
      <c r="N66" s="194"/>
      <c r="O66" s="194"/>
      <c r="P66" s="195"/>
      <c r="Q66" s="196"/>
    </row>
    <row r="67" spans="2:20" s="2" customFormat="1" ht="18.5" hidden="1" customHeight="1" thickTop="1" x14ac:dyDescent="0.2">
      <c r="B67" s="25"/>
      <c r="C67" s="25" t="s">
        <v>310</v>
      </c>
      <c r="D67" s="182"/>
      <c r="E67" s="182"/>
      <c r="F67" s="182"/>
      <c r="G67" s="17"/>
      <c r="H67" s="17"/>
      <c r="I67" s="17"/>
      <c r="J67" s="17"/>
      <c r="K67" s="17"/>
      <c r="L67" s="17"/>
      <c r="M67" s="17"/>
      <c r="N67" s="17"/>
      <c r="O67" s="17"/>
    </row>
    <row r="68" spans="2:20" ht="13.5" customHeight="1" thickTop="1" thickBot="1" x14ac:dyDescent="0.25"/>
    <row r="69" spans="2:20" s="2" customFormat="1" ht="21" customHeight="1" thickTop="1" thickBot="1" x14ac:dyDescent="0.25">
      <c r="B69" s="176"/>
      <c r="C69" s="177" t="s">
        <v>269</v>
      </c>
      <c r="D69" s="353"/>
      <c r="E69" s="353"/>
      <c r="F69" s="353"/>
      <c r="G69" s="354" t="s">
        <v>271</v>
      </c>
      <c r="H69" s="354"/>
      <c r="I69" s="355"/>
      <c r="J69" s="356"/>
      <c r="K69" s="178"/>
      <c r="L69" s="357" t="s">
        <v>272</v>
      </c>
      <c r="M69" s="354"/>
      <c r="N69" s="354"/>
      <c r="O69" s="358"/>
      <c r="P69" s="359"/>
      <c r="Q69" s="179"/>
    </row>
    <row r="70" spans="2:20" s="2" customFormat="1" ht="21" hidden="1" customHeight="1" thickTop="1" thickBot="1" x14ac:dyDescent="0.25">
      <c r="B70" s="176"/>
      <c r="C70" s="180" t="s">
        <v>270</v>
      </c>
      <c r="D70" s="353"/>
      <c r="E70" s="353"/>
      <c r="F70" s="353"/>
      <c r="G70" s="354"/>
      <c r="H70" s="354"/>
      <c r="I70" s="354"/>
      <c r="J70" s="354"/>
      <c r="K70" s="178"/>
      <c r="L70" s="357" t="s">
        <v>272</v>
      </c>
      <c r="M70" s="354"/>
      <c r="N70" s="354"/>
      <c r="O70" s="358"/>
      <c r="P70" s="359"/>
      <c r="Q70" s="179"/>
    </row>
    <row r="71" spans="2:20" s="2" customFormat="1" ht="24" hidden="1" customHeight="1" thickTop="1" thickBot="1" x14ac:dyDescent="0.25">
      <c r="C71" s="181"/>
      <c r="D71" s="182"/>
      <c r="E71" s="182"/>
      <c r="F71" s="363" t="s">
        <v>242</v>
      </c>
      <c r="G71" s="363"/>
      <c r="H71" s="17"/>
      <c r="I71" s="364"/>
      <c r="J71" s="364"/>
      <c r="K71" s="17"/>
      <c r="L71" s="364"/>
      <c r="M71" s="364"/>
      <c r="N71" s="17"/>
      <c r="O71" s="364"/>
      <c r="P71" s="364"/>
      <c r="Q71" s="64"/>
    </row>
    <row r="72" spans="2:20" s="2" customFormat="1" ht="24" hidden="1" customHeight="1" thickTop="1" thickBot="1" x14ac:dyDescent="0.25">
      <c r="C72" s="181" t="s">
        <v>292</v>
      </c>
      <c r="D72" s="182"/>
      <c r="E72" s="182"/>
      <c r="F72" s="182"/>
      <c r="G72" s="182"/>
      <c r="H72" s="17"/>
      <c r="I72" s="360"/>
      <c r="J72" s="360"/>
      <c r="K72" s="17"/>
      <c r="L72" s="360"/>
      <c r="M72" s="360"/>
      <c r="N72" s="17"/>
      <c r="O72" s="360"/>
      <c r="P72" s="360"/>
    </row>
    <row r="73" spans="2:20" s="2" customFormat="1" ht="24" hidden="1" customHeight="1" thickTop="1" thickBot="1" x14ac:dyDescent="0.25">
      <c r="C73" s="181" t="s">
        <v>293</v>
      </c>
      <c r="D73" s="182"/>
      <c r="E73" s="182"/>
      <c r="F73" s="182"/>
      <c r="G73" s="182"/>
      <c r="H73" s="17"/>
      <c r="I73" s="360"/>
      <c r="J73" s="360"/>
      <c r="K73" s="17"/>
      <c r="L73" s="360"/>
      <c r="M73" s="360"/>
      <c r="N73" s="17"/>
      <c r="O73" s="360"/>
      <c r="P73" s="360"/>
    </row>
    <row r="74" spans="2:20" s="2" customFormat="1" ht="24" hidden="1" customHeight="1" thickTop="1" thickBot="1" x14ac:dyDescent="0.25">
      <c r="C74" s="181" t="s">
        <v>294</v>
      </c>
      <c r="D74" s="182"/>
      <c r="E74" s="182"/>
      <c r="F74" s="182"/>
      <c r="G74" s="182"/>
      <c r="H74" s="17"/>
      <c r="I74" s="360"/>
      <c r="J74" s="360"/>
      <c r="K74" s="17"/>
      <c r="L74" s="360"/>
      <c r="M74" s="360"/>
      <c r="N74" s="17"/>
      <c r="O74" s="360"/>
      <c r="P74" s="360"/>
      <c r="T74" s="183"/>
    </row>
    <row r="75" spans="2:20" s="2" customFormat="1" ht="24" hidden="1" customHeight="1" thickTop="1" x14ac:dyDescent="0.2">
      <c r="C75" s="181" t="s">
        <v>295</v>
      </c>
      <c r="D75" s="182"/>
      <c r="E75" s="182"/>
      <c r="F75" s="182"/>
      <c r="G75" s="182"/>
      <c r="H75" s="17"/>
      <c r="I75" s="361"/>
      <c r="J75" s="361"/>
      <c r="K75" s="17"/>
      <c r="L75" s="361"/>
      <c r="M75" s="361"/>
      <c r="N75" s="17"/>
      <c r="O75" s="361"/>
      <c r="P75" s="361"/>
    </row>
    <row r="76" spans="2:20" s="2" customFormat="1" ht="17.5" hidden="1" customHeight="1" x14ac:dyDescent="0.2">
      <c r="C76" s="181" t="s">
        <v>296</v>
      </c>
      <c r="D76" s="182"/>
      <c r="E76" s="182"/>
      <c r="F76" s="182"/>
      <c r="G76" s="182"/>
      <c r="H76" s="17"/>
      <c r="I76" s="17"/>
      <c r="J76" s="17"/>
      <c r="K76" s="17"/>
      <c r="L76" s="17"/>
      <c r="M76" s="17"/>
      <c r="N76" s="17"/>
      <c r="O76" s="17"/>
    </row>
    <row r="77" spans="2:20" s="2" customFormat="1" ht="17.5" hidden="1" customHeight="1" x14ac:dyDescent="0.2">
      <c r="C77" s="181" t="s">
        <v>297</v>
      </c>
      <c r="D77" s="182"/>
      <c r="E77" s="182"/>
      <c r="F77" s="182"/>
      <c r="G77" s="182"/>
      <c r="H77" s="17"/>
      <c r="I77" s="17"/>
      <c r="J77" s="17"/>
      <c r="K77" s="17"/>
      <c r="L77" s="17"/>
      <c r="M77" s="17"/>
      <c r="N77" s="17"/>
      <c r="O77" s="17"/>
    </row>
    <row r="78" spans="2:20" s="2" customFormat="1" ht="24" hidden="1" customHeight="1" x14ac:dyDescent="0.2">
      <c r="C78" s="181"/>
      <c r="D78" s="182"/>
      <c r="E78" s="182"/>
      <c r="F78" s="182"/>
      <c r="G78" s="182"/>
      <c r="H78" s="17"/>
      <c r="I78" s="17"/>
      <c r="J78" s="17"/>
      <c r="K78" s="17"/>
      <c r="L78" s="17"/>
      <c r="M78" s="17"/>
      <c r="N78" s="17"/>
      <c r="O78" s="17"/>
    </row>
    <row r="79" spans="2:20" s="2" customFormat="1" ht="24" hidden="1" customHeight="1" x14ac:dyDescent="0.2">
      <c r="C79" s="181" t="s">
        <v>180</v>
      </c>
      <c r="D79" s="182"/>
      <c r="E79" s="182"/>
      <c r="F79" s="182"/>
      <c r="G79" s="182"/>
      <c r="H79" s="17"/>
      <c r="I79" s="362"/>
      <c r="J79" s="362"/>
      <c r="K79" s="184"/>
      <c r="L79" s="362"/>
      <c r="M79" s="362"/>
      <c r="N79" s="184"/>
      <c r="O79" s="362"/>
      <c r="P79" s="362"/>
      <c r="Q79" s="220"/>
    </row>
    <row r="80" spans="2:20" s="2" customFormat="1" ht="18.5" hidden="1" customHeight="1" x14ac:dyDescent="0.2">
      <c r="C80" s="181" t="s">
        <v>298</v>
      </c>
      <c r="D80" s="182"/>
      <c r="E80" s="182"/>
      <c r="F80" s="182"/>
      <c r="G80" s="182"/>
      <c r="H80" s="17"/>
      <c r="I80" s="220"/>
      <c r="J80" s="17"/>
      <c r="K80" s="17"/>
      <c r="L80" s="220"/>
      <c r="M80" s="17"/>
      <c r="N80" s="17"/>
      <c r="O80" s="220"/>
    </row>
    <row r="81" spans="2:17" s="2" customFormat="1" ht="18.5" hidden="1" customHeight="1" x14ac:dyDescent="0.2">
      <c r="C81" s="181" t="s">
        <v>299</v>
      </c>
      <c r="D81" s="182"/>
      <c r="E81" s="182"/>
      <c r="F81" s="182"/>
      <c r="G81" s="182"/>
      <c r="H81" s="17"/>
      <c r="I81" s="17"/>
      <c r="J81" s="17"/>
      <c r="K81" s="17"/>
      <c r="L81" s="17"/>
      <c r="M81" s="17"/>
      <c r="N81" s="17"/>
      <c r="O81" s="17"/>
    </row>
    <row r="82" spans="2:17" s="2" customFormat="1" ht="18.5" hidden="1" customHeight="1" x14ac:dyDescent="0.2">
      <c r="C82" s="181" t="s">
        <v>300</v>
      </c>
      <c r="D82" s="182"/>
      <c r="E82" s="182"/>
      <c r="F82" s="182"/>
      <c r="G82" s="182"/>
      <c r="H82" s="17"/>
      <c r="I82" s="17"/>
      <c r="J82" s="17"/>
      <c r="K82" s="17"/>
      <c r="L82" s="17"/>
      <c r="M82" s="17"/>
      <c r="N82" s="17"/>
      <c r="O82" s="17"/>
    </row>
    <row r="83" spans="2:17" s="2" customFormat="1" ht="18.5" hidden="1" customHeight="1" thickBot="1" x14ac:dyDescent="0.25">
      <c r="C83" s="181"/>
      <c r="D83" s="182"/>
      <c r="E83" s="182"/>
      <c r="F83" s="182"/>
      <c r="G83" s="182"/>
      <c r="H83" s="17"/>
      <c r="I83" s="17"/>
      <c r="J83" s="17"/>
      <c r="K83" s="17"/>
      <c r="L83" s="17"/>
      <c r="M83" s="17"/>
      <c r="N83" s="17"/>
      <c r="O83" s="17"/>
    </row>
    <row r="84" spans="2:17" s="2" customFormat="1" ht="33" hidden="1" customHeight="1" thickTop="1" x14ac:dyDescent="0.2">
      <c r="B84" s="185"/>
      <c r="C84" s="186" t="s">
        <v>301</v>
      </c>
      <c r="D84" s="187"/>
      <c r="E84" s="221">
        <f>I72</f>
        <v>0</v>
      </c>
      <c r="F84" s="187"/>
      <c r="G84" s="188"/>
      <c r="H84" s="188"/>
      <c r="I84" s="337">
        <f>L72</f>
        <v>0</v>
      </c>
      <c r="J84" s="337"/>
      <c r="K84" s="188"/>
      <c r="L84" s="188"/>
      <c r="M84" s="338">
        <f>O72</f>
        <v>0</v>
      </c>
      <c r="N84" s="338"/>
      <c r="O84" s="338"/>
      <c r="P84" s="189"/>
      <c r="Q84" s="190"/>
    </row>
    <row r="85" spans="2:17" s="2" customFormat="1" ht="33" hidden="1" customHeight="1" thickBot="1" x14ac:dyDescent="0.25">
      <c r="B85" s="191"/>
      <c r="C85" s="192"/>
      <c r="D85" s="193"/>
      <c r="E85" s="192" t="s">
        <v>302</v>
      </c>
      <c r="F85" s="339" t="str">
        <f>IFERROR(((I84-E84)/ABS(E84)),"-")</f>
        <v>-</v>
      </c>
      <c r="G85" s="339"/>
      <c r="H85" s="194"/>
      <c r="I85" s="194"/>
      <c r="J85" s="194"/>
      <c r="K85" s="339" t="str">
        <f>IFERROR(((M84-I84)/ABS(I84)),"-")</f>
        <v>-</v>
      </c>
      <c r="L85" s="339"/>
      <c r="M85" s="339"/>
      <c r="N85" s="194"/>
      <c r="O85" s="194"/>
      <c r="P85" s="195"/>
      <c r="Q85" s="196"/>
    </row>
    <row r="86" spans="2:17" s="2" customFormat="1" ht="33" hidden="1" customHeight="1" thickTop="1" x14ac:dyDescent="0.2">
      <c r="B86" s="185"/>
      <c r="C86" s="186" t="s">
        <v>303</v>
      </c>
      <c r="D86" s="187"/>
      <c r="E86" s="221">
        <f>I72-I73</f>
        <v>0</v>
      </c>
      <c r="F86" s="187"/>
      <c r="G86" s="188"/>
      <c r="H86" s="188"/>
      <c r="I86" s="337">
        <f>L72-L73</f>
        <v>0</v>
      </c>
      <c r="J86" s="337"/>
      <c r="K86" s="188"/>
      <c r="L86" s="188"/>
      <c r="M86" s="338">
        <f>O72-O73</f>
        <v>0</v>
      </c>
      <c r="N86" s="338"/>
      <c r="O86" s="338"/>
      <c r="P86" s="189"/>
      <c r="Q86" s="190"/>
    </row>
    <row r="87" spans="2:17" s="2" customFormat="1" ht="33" hidden="1" customHeight="1" x14ac:dyDescent="0.2">
      <c r="B87" s="197"/>
      <c r="C87" s="181" t="s">
        <v>304</v>
      </c>
      <c r="D87" s="182"/>
      <c r="E87" s="181"/>
      <c r="F87" s="181"/>
      <c r="G87" s="17"/>
      <c r="H87" s="17"/>
      <c r="I87" s="17"/>
      <c r="J87" s="17"/>
      <c r="K87" s="17"/>
      <c r="L87" s="17"/>
      <c r="M87" s="17"/>
      <c r="N87" s="17"/>
      <c r="O87" s="17"/>
      <c r="Q87" s="198"/>
    </row>
    <row r="88" spans="2:17" s="2" customFormat="1" ht="33" hidden="1" customHeight="1" thickBot="1" x14ac:dyDescent="0.25">
      <c r="B88" s="191"/>
      <c r="C88" s="192"/>
      <c r="D88" s="193"/>
      <c r="E88" s="192" t="s">
        <v>302</v>
      </c>
      <c r="F88" s="339" t="str">
        <f>IFERROR(((I86-E86)/ABS(E86)),"-")</f>
        <v>-</v>
      </c>
      <c r="G88" s="339"/>
      <c r="H88" s="194"/>
      <c r="I88" s="194"/>
      <c r="J88" s="194"/>
      <c r="K88" s="339" t="str">
        <f>IFERROR(((M86-I86)/ABS(I86)),"-")</f>
        <v>-</v>
      </c>
      <c r="L88" s="339"/>
      <c r="M88" s="339"/>
      <c r="N88" s="194"/>
      <c r="O88" s="194"/>
      <c r="P88" s="195"/>
      <c r="Q88" s="196"/>
    </row>
    <row r="89" spans="2:17" s="2" customFormat="1" ht="33" hidden="1" customHeight="1" thickTop="1" x14ac:dyDescent="0.2">
      <c r="B89" s="185"/>
      <c r="C89" s="186" t="s">
        <v>305</v>
      </c>
      <c r="D89" s="187"/>
      <c r="E89" s="221">
        <f>I74</f>
        <v>0</v>
      </c>
      <c r="F89" s="187"/>
      <c r="G89" s="188"/>
      <c r="H89" s="188"/>
      <c r="I89" s="337">
        <f>L74</f>
        <v>0</v>
      </c>
      <c r="J89" s="337"/>
      <c r="K89" s="188"/>
      <c r="L89" s="188"/>
      <c r="M89" s="338">
        <f>O74</f>
        <v>0</v>
      </c>
      <c r="N89" s="338"/>
      <c r="O89" s="338"/>
      <c r="P89" s="189"/>
      <c r="Q89" s="190"/>
    </row>
    <row r="90" spans="2:17" s="2" customFormat="1" ht="33" hidden="1" customHeight="1" thickBot="1" x14ac:dyDescent="0.25">
      <c r="B90" s="191"/>
      <c r="C90" s="192"/>
      <c r="D90" s="193"/>
      <c r="E90" s="192" t="s">
        <v>302</v>
      </c>
      <c r="F90" s="339" t="str">
        <f>IFERROR(((I89-E89)/ABS(E89)),"-")</f>
        <v>-</v>
      </c>
      <c r="G90" s="339"/>
      <c r="H90" s="194"/>
      <c r="I90" s="194"/>
      <c r="J90" s="194"/>
      <c r="K90" s="339" t="str">
        <f>IFERROR(((M89-I89)/ABS(I89)),"-")</f>
        <v>-</v>
      </c>
      <c r="L90" s="339"/>
      <c r="M90" s="339"/>
      <c r="N90" s="194"/>
      <c r="O90" s="194"/>
      <c r="P90" s="195"/>
      <c r="Q90" s="196"/>
    </row>
    <row r="91" spans="2:17" s="2" customFormat="1" ht="33" hidden="1" customHeight="1" thickTop="1" x14ac:dyDescent="0.2">
      <c r="B91" s="185"/>
      <c r="C91" s="186" t="s">
        <v>306</v>
      </c>
      <c r="D91" s="187"/>
      <c r="E91" s="221">
        <f>I74+I75</f>
        <v>0</v>
      </c>
      <c r="F91" s="340" t="str">
        <f>IFERROR(TEXT((E91/E86),"+0%;-0%")&amp;" *","n/a*")</f>
        <v>n/a*</v>
      </c>
      <c r="G91" s="340"/>
      <c r="H91" s="188"/>
      <c r="I91" s="337">
        <f>L74+L75</f>
        <v>0</v>
      </c>
      <c r="J91" s="337"/>
      <c r="K91" s="340" t="str">
        <f>IFERROR(TEXT((I91/I86),"+0%;-0%")&amp;" *","n/a*")</f>
        <v>n/a*</v>
      </c>
      <c r="L91" s="340"/>
      <c r="M91" s="338">
        <f>O74+O75</f>
        <v>0</v>
      </c>
      <c r="N91" s="338"/>
      <c r="O91" s="338"/>
      <c r="P91" s="340" t="str">
        <f>IFERROR(ROUND((M91/M86)*100,0)&amp;"% *","n/a*")</f>
        <v>n/a*</v>
      </c>
      <c r="Q91" s="341"/>
    </row>
    <row r="92" spans="2:17" s="2" customFormat="1" ht="33" hidden="1" customHeight="1" x14ac:dyDescent="0.2">
      <c r="B92" s="197"/>
      <c r="C92" s="181" t="s">
        <v>307</v>
      </c>
      <c r="D92" s="182"/>
      <c r="E92" s="181"/>
      <c r="F92" s="181"/>
      <c r="G92" s="17"/>
      <c r="H92" s="17"/>
      <c r="I92" s="17"/>
      <c r="J92" s="17"/>
      <c r="K92" s="17"/>
      <c r="L92" s="17"/>
      <c r="M92" s="17"/>
      <c r="N92" s="17"/>
      <c r="O92" s="17"/>
      <c r="Q92" s="198"/>
    </row>
    <row r="93" spans="2:17" s="2" customFormat="1" ht="33" hidden="1" customHeight="1" thickBot="1" x14ac:dyDescent="0.25">
      <c r="B93" s="191"/>
      <c r="C93" s="192"/>
      <c r="D93" s="193"/>
      <c r="E93" s="192" t="s">
        <v>302</v>
      </c>
      <c r="F93" s="339" t="str">
        <f>IFERROR(((I91-E91)/ABS(E91)),"-")</f>
        <v>-</v>
      </c>
      <c r="G93" s="339"/>
      <c r="H93" s="194"/>
      <c r="I93" s="194"/>
      <c r="J93" s="194"/>
      <c r="K93" s="339" t="str">
        <f>IFERROR(((M91-I91)/ABS(I91)),"-")</f>
        <v>-</v>
      </c>
      <c r="L93" s="339"/>
      <c r="M93" s="339"/>
      <c r="N93" s="194"/>
      <c r="O93" s="194"/>
      <c r="P93" s="195"/>
      <c r="Q93" s="196"/>
    </row>
    <row r="94" spans="2:17" s="2" customFormat="1" ht="33" hidden="1" customHeight="1" thickTop="1" x14ac:dyDescent="0.2">
      <c r="B94" s="185"/>
      <c r="C94" s="186" t="s">
        <v>308</v>
      </c>
      <c r="D94" s="187"/>
      <c r="E94" s="221">
        <f>I72-I73-I74</f>
        <v>0</v>
      </c>
      <c r="F94" s="187"/>
      <c r="G94" s="188"/>
      <c r="H94" s="188"/>
      <c r="I94" s="337">
        <f>L72-L73-L74</f>
        <v>0</v>
      </c>
      <c r="J94" s="337"/>
      <c r="K94" s="188"/>
      <c r="L94" s="188"/>
      <c r="M94" s="338">
        <f>O72-O73-O74</f>
        <v>0</v>
      </c>
      <c r="N94" s="338"/>
      <c r="O94" s="338"/>
      <c r="P94" s="189"/>
      <c r="Q94" s="190"/>
    </row>
    <row r="95" spans="2:17" s="2" customFormat="1" ht="33" hidden="1" customHeight="1" x14ac:dyDescent="0.2">
      <c r="B95" s="197"/>
      <c r="C95" s="181" t="s">
        <v>309</v>
      </c>
      <c r="D95" s="182"/>
      <c r="E95" s="181"/>
      <c r="F95" s="181"/>
      <c r="G95" s="17"/>
      <c r="H95" s="17"/>
      <c r="I95" s="17"/>
      <c r="J95" s="17"/>
      <c r="K95" s="17"/>
      <c r="L95" s="17"/>
      <c r="M95" s="17"/>
      <c r="N95" s="17"/>
      <c r="O95" s="17"/>
      <c r="Q95" s="198"/>
    </row>
    <row r="96" spans="2:17" s="2" customFormat="1" ht="33" hidden="1" customHeight="1" thickBot="1" x14ac:dyDescent="0.25">
      <c r="B96" s="191"/>
      <c r="C96" s="192"/>
      <c r="D96" s="193"/>
      <c r="E96" s="192" t="s">
        <v>302</v>
      </c>
      <c r="F96" s="339" t="str">
        <f>IFERROR(((I94-E94)/ABS(E94)),"-")</f>
        <v>-</v>
      </c>
      <c r="G96" s="339"/>
      <c r="H96" s="194"/>
      <c r="I96" s="194"/>
      <c r="J96" s="194"/>
      <c r="K96" s="339" t="str">
        <f>IFERROR(((M94-I94)/ABS(I94)),"-")</f>
        <v>-</v>
      </c>
      <c r="L96" s="339"/>
      <c r="M96" s="339"/>
      <c r="N96" s="194"/>
      <c r="O96" s="194"/>
      <c r="P96" s="195"/>
      <c r="Q96" s="196"/>
    </row>
    <row r="97" spans="2:20" s="2" customFormat="1" ht="33" hidden="1" customHeight="1" thickTop="1" x14ac:dyDescent="0.2">
      <c r="B97" s="185"/>
      <c r="C97" s="186" t="s">
        <v>180</v>
      </c>
      <c r="D97" s="187"/>
      <c r="E97" s="221">
        <f>I79</f>
        <v>0</v>
      </c>
      <c r="F97" s="351" t="str">
        <f>IFERROR(ROUND((E97/E86)*100,0)&amp;"% **","n/a**")</f>
        <v>n/a**</v>
      </c>
      <c r="G97" s="351"/>
      <c r="H97" s="188"/>
      <c r="I97" s="337">
        <f>L79</f>
        <v>0</v>
      </c>
      <c r="J97" s="337"/>
      <c r="K97" s="351" t="str">
        <f>IFERROR(TEXT((I97/I86),"+0%;-0%")&amp;" **","n/a**")</f>
        <v>n/a**</v>
      </c>
      <c r="L97" s="351"/>
      <c r="M97" s="338">
        <f>O79</f>
        <v>0</v>
      </c>
      <c r="N97" s="338"/>
      <c r="O97" s="338"/>
      <c r="P97" s="351" t="str">
        <f>IFERROR(ROUND((M97/M86)*100,0)&amp;"% **","n/a**")</f>
        <v>n/a**</v>
      </c>
      <c r="Q97" s="352"/>
    </row>
    <row r="98" spans="2:20" s="2" customFormat="1" ht="33" hidden="1" customHeight="1" thickBot="1" x14ac:dyDescent="0.25">
      <c r="B98" s="191"/>
      <c r="C98" s="192"/>
      <c r="D98" s="193"/>
      <c r="E98" s="192" t="s">
        <v>302</v>
      </c>
      <c r="F98" s="339" t="str">
        <f>IFERROR(((I97-E97)/ABS(E97)),"-")</f>
        <v>-</v>
      </c>
      <c r="G98" s="339"/>
      <c r="H98" s="194"/>
      <c r="I98" s="194"/>
      <c r="J98" s="194"/>
      <c r="K98" s="339" t="str">
        <f>IFERROR(((M97-I97)/ABS(I97)),"-")</f>
        <v>-</v>
      </c>
      <c r="L98" s="339"/>
      <c r="M98" s="339"/>
      <c r="N98" s="194"/>
      <c r="O98" s="194"/>
      <c r="P98" s="195"/>
      <c r="Q98" s="196"/>
    </row>
    <row r="99" spans="2:20" s="2" customFormat="1" ht="18.5" hidden="1" customHeight="1" thickTop="1" x14ac:dyDescent="0.2">
      <c r="B99" s="25"/>
      <c r="C99" s="25" t="s">
        <v>310</v>
      </c>
      <c r="D99" s="182"/>
      <c r="E99" s="182"/>
      <c r="F99" s="182"/>
      <c r="G99" s="17"/>
      <c r="H99" s="17"/>
      <c r="I99" s="17"/>
      <c r="J99" s="17"/>
      <c r="K99" s="17"/>
      <c r="L99" s="17"/>
      <c r="M99" s="17"/>
      <c r="N99" s="17"/>
      <c r="O99" s="17"/>
    </row>
    <row r="100" spans="2:20" ht="13.5" customHeight="1" thickTop="1" thickBot="1" x14ac:dyDescent="0.25"/>
    <row r="101" spans="2:20" s="2" customFormat="1" ht="21" customHeight="1" thickTop="1" thickBot="1" x14ac:dyDescent="0.25">
      <c r="B101" s="176"/>
      <c r="C101" s="177" t="s">
        <v>269</v>
      </c>
      <c r="D101" s="353"/>
      <c r="E101" s="353"/>
      <c r="F101" s="353"/>
      <c r="G101" s="354" t="s">
        <v>271</v>
      </c>
      <c r="H101" s="354"/>
      <c r="I101" s="355"/>
      <c r="J101" s="356"/>
      <c r="K101" s="178"/>
      <c r="L101" s="357" t="s">
        <v>272</v>
      </c>
      <c r="M101" s="354"/>
      <c r="N101" s="354"/>
      <c r="O101" s="358"/>
      <c r="P101" s="359"/>
      <c r="Q101" s="179"/>
    </row>
    <row r="102" spans="2:20" s="2" customFormat="1" ht="21" hidden="1" customHeight="1" thickTop="1" thickBot="1" x14ac:dyDescent="0.25">
      <c r="B102" s="176"/>
      <c r="C102" s="180" t="s">
        <v>270</v>
      </c>
      <c r="D102" s="353"/>
      <c r="E102" s="353"/>
      <c r="F102" s="353"/>
      <c r="G102" s="354"/>
      <c r="H102" s="354"/>
      <c r="I102" s="354"/>
      <c r="J102" s="354"/>
      <c r="K102" s="178"/>
      <c r="L102" s="357" t="s">
        <v>272</v>
      </c>
      <c r="M102" s="354"/>
      <c r="N102" s="354"/>
      <c r="O102" s="358"/>
      <c r="P102" s="359"/>
      <c r="Q102" s="179"/>
    </row>
    <row r="103" spans="2:20" s="2" customFormat="1" ht="24" hidden="1" customHeight="1" thickTop="1" thickBot="1" x14ac:dyDescent="0.25">
      <c r="C103" s="181"/>
      <c r="D103" s="182"/>
      <c r="E103" s="182"/>
      <c r="F103" s="363" t="s">
        <v>242</v>
      </c>
      <c r="G103" s="363"/>
      <c r="H103" s="17"/>
      <c r="I103" s="364"/>
      <c r="J103" s="364"/>
      <c r="K103" s="17"/>
      <c r="L103" s="364"/>
      <c r="M103" s="364"/>
      <c r="N103" s="17"/>
      <c r="O103" s="364"/>
      <c r="P103" s="364"/>
      <c r="Q103" s="64"/>
    </row>
    <row r="104" spans="2:20" s="2" customFormat="1" ht="24" hidden="1" customHeight="1" thickTop="1" thickBot="1" x14ac:dyDescent="0.25">
      <c r="C104" s="181" t="s">
        <v>292</v>
      </c>
      <c r="D104" s="182"/>
      <c r="E104" s="182"/>
      <c r="F104" s="182"/>
      <c r="G104" s="182"/>
      <c r="H104" s="17"/>
      <c r="I104" s="360"/>
      <c r="J104" s="360"/>
      <c r="K104" s="17"/>
      <c r="L104" s="360"/>
      <c r="M104" s="360"/>
      <c r="N104" s="17"/>
      <c r="O104" s="360"/>
      <c r="P104" s="360"/>
    </row>
    <row r="105" spans="2:20" s="2" customFormat="1" ht="24" hidden="1" customHeight="1" thickTop="1" thickBot="1" x14ac:dyDescent="0.25">
      <c r="C105" s="181" t="s">
        <v>293</v>
      </c>
      <c r="D105" s="182"/>
      <c r="E105" s="182"/>
      <c r="F105" s="182"/>
      <c r="G105" s="182"/>
      <c r="H105" s="17"/>
      <c r="I105" s="360"/>
      <c r="J105" s="360"/>
      <c r="K105" s="17"/>
      <c r="L105" s="360"/>
      <c r="M105" s="360"/>
      <c r="N105" s="17"/>
      <c r="O105" s="360"/>
      <c r="P105" s="360"/>
    </row>
    <row r="106" spans="2:20" s="2" customFormat="1" ht="24" hidden="1" customHeight="1" thickTop="1" thickBot="1" x14ac:dyDescent="0.25">
      <c r="C106" s="181" t="s">
        <v>294</v>
      </c>
      <c r="D106" s="182"/>
      <c r="E106" s="182"/>
      <c r="F106" s="182"/>
      <c r="G106" s="182"/>
      <c r="H106" s="17"/>
      <c r="I106" s="360"/>
      <c r="J106" s="360"/>
      <c r="K106" s="17"/>
      <c r="L106" s="360"/>
      <c r="M106" s="360"/>
      <c r="N106" s="17"/>
      <c r="O106" s="360"/>
      <c r="P106" s="360"/>
      <c r="T106" s="183"/>
    </row>
    <row r="107" spans="2:20" s="2" customFormat="1" ht="24" hidden="1" customHeight="1" thickTop="1" x14ac:dyDescent="0.2">
      <c r="C107" s="181" t="s">
        <v>295</v>
      </c>
      <c r="D107" s="182"/>
      <c r="E107" s="182"/>
      <c r="F107" s="182"/>
      <c r="G107" s="182"/>
      <c r="H107" s="17"/>
      <c r="I107" s="361"/>
      <c r="J107" s="361"/>
      <c r="K107" s="17"/>
      <c r="L107" s="361"/>
      <c r="M107" s="361"/>
      <c r="N107" s="17"/>
      <c r="O107" s="361"/>
      <c r="P107" s="361"/>
    </row>
    <row r="108" spans="2:20" s="2" customFormat="1" ht="17.5" hidden="1" customHeight="1" x14ac:dyDescent="0.2">
      <c r="C108" s="181" t="s">
        <v>296</v>
      </c>
      <c r="D108" s="182"/>
      <c r="E108" s="182"/>
      <c r="F108" s="182"/>
      <c r="G108" s="182"/>
      <c r="H108" s="17"/>
      <c r="I108" s="17"/>
      <c r="J108" s="17"/>
      <c r="K108" s="17"/>
      <c r="L108" s="17"/>
      <c r="M108" s="17"/>
      <c r="N108" s="17"/>
      <c r="O108" s="17"/>
    </row>
    <row r="109" spans="2:20" s="2" customFormat="1" ht="17.5" hidden="1" customHeight="1" x14ac:dyDescent="0.2">
      <c r="C109" s="181" t="s">
        <v>297</v>
      </c>
      <c r="D109" s="182"/>
      <c r="E109" s="182"/>
      <c r="F109" s="182"/>
      <c r="G109" s="182"/>
      <c r="H109" s="17"/>
      <c r="I109" s="17"/>
      <c r="J109" s="17"/>
      <c r="K109" s="17"/>
      <c r="L109" s="17"/>
      <c r="M109" s="17"/>
      <c r="N109" s="17"/>
      <c r="O109" s="17"/>
    </row>
    <row r="110" spans="2:20" s="2" customFormat="1" ht="24" hidden="1" customHeight="1" x14ac:dyDescent="0.2">
      <c r="C110" s="181"/>
      <c r="D110" s="182"/>
      <c r="E110" s="182"/>
      <c r="F110" s="182"/>
      <c r="G110" s="182"/>
      <c r="H110" s="17"/>
      <c r="I110" s="17"/>
      <c r="J110" s="17"/>
      <c r="K110" s="17"/>
      <c r="L110" s="17"/>
      <c r="M110" s="17"/>
      <c r="N110" s="17"/>
      <c r="O110" s="17"/>
    </row>
    <row r="111" spans="2:20" s="2" customFormat="1" ht="24" hidden="1" customHeight="1" x14ac:dyDescent="0.2">
      <c r="C111" s="181" t="s">
        <v>180</v>
      </c>
      <c r="D111" s="182"/>
      <c r="E111" s="182"/>
      <c r="F111" s="182"/>
      <c r="G111" s="182"/>
      <c r="H111" s="17"/>
      <c r="I111" s="362"/>
      <c r="J111" s="362"/>
      <c r="K111" s="184"/>
      <c r="L111" s="362"/>
      <c r="M111" s="362"/>
      <c r="N111" s="184"/>
      <c r="O111" s="362"/>
      <c r="P111" s="362"/>
      <c r="Q111" s="220"/>
    </row>
    <row r="112" spans="2:20" s="2" customFormat="1" ht="18.5" hidden="1" customHeight="1" x14ac:dyDescent="0.2">
      <c r="C112" s="181" t="s">
        <v>298</v>
      </c>
      <c r="D112" s="182"/>
      <c r="E112" s="182"/>
      <c r="F112" s="182"/>
      <c r="G112" s="182"/>
      <c r="H112" s="17"/>
      <c r="I112" s="220"/>
      <c r="J112" s="17"/>
      <c r="K112" s="17"/>
      <c r="L112" s="220"/>
      <c r="M112" s="17"/>
      <c r="N112" s="17"/>
      <c r="O112" s="220"/>
    </row>
    <row r="113" spans="2:17" s="2" customFormat="1" ht="18.5" hidden="1" customHeight="1" x14ac:dyDescent="0.2">
      <c r="C113" s="181" t="s">
        <v>299</v>
      </c>
      <c r="D113" s="182"/>
      <c r="E113" s="182"/>
      <c r="F113" s="182"/>
      <c r="G113" s="182"/>
      <c r="H113" s="17"/>
      <c r="I113" s="17"/>
      <c r="J113" s="17"/>
      <c r="K113" s="17"/>
      <c r="L113" s="17"/>
      <c r="M113" s="17"/>
      <c r="N113" s="17"/>
      <c r="O113" s="17"/>
    </row>
    <row r="114" spans="2:17" s="2" customFormat="1" ht="18.5" hidden="1" customHeight="1" x14ac:dyDescent="0.2">
      <c r="C114" s="181" t="s">
        <v>300</v>
      </c>
      <c r="D114" s="182"/>
      <c r="E114" s="182"/>
      <c r="F114" s="182"/>
      <c r="G114" s="182"/>
      <c r="H114" s="17"/>
      <c r="I114" s="17"/>
      <c r="J114" s="17"/>
      <c r="K114" s="17"/>
      <c r="L114" s="17"/>
      <c r="M114" s="17"/>
      <c r="N114" s="17"/>
      <c r="O114" s="17"/>
    </row>
    <row r="115" spans="2:17" s="2" customFormat="1" ht="18.5" hidden="1" customHeight="1" thickBot="1" x14ac:dyDescent="0.25">
      <c r="C115" s="181"/>
      <c r="D115" s="182"/>
      <c r="E115" s="182"/>
      <c r="F115" s="182"/>
      <c r="G115" s="182"/>
      <c r="H115" s="17"/>
      <c r="I115" s="17"/>
      <c r="J115" s="17"/>
      <c r="K115" s="17"/>
      <c r="L115" s="17"/>
      <c r="M115" s="17"/>
      <c r="N115" s="17"/>
      <c r="O115" s="17"/>
    </row>
    <row r="116" spans="2:17" s="2" customFormat="1" ht="33" hidden="1" customHeight="1" thickTop="1" x14ac:dyDescent="0.2">
      <c r="B116" s="185"/>
      <c r="C116" s="186" t="s">
        <v>301</v>
      </c>
      <c r="D116" s="187"/>
      <c r="E116" s="221">
        <f>I104</f>
        <v>0</v>
      </c>
      <c r="F116" s="187"/>
      <c r="G116" s="188"/>
      <c r="H116" s="188"/>
      <c r="I116" s="337">
        <f>L104</f>
        <v>0</v>
      </c>
      <c r="J116" s="337"/>
      <c r="K116" s="188"/>
      <c r="L116" s="188"/>
      <c r="M116" s="338">
        <f>O104</f>
        <v>0</v>
      </c>
      <c r="N116" s="338"/>
      <c r="O116" s="338"/>
      <c r="P116" s="189"/>
      <c r="Q116" s="190"/>
    </row>
    <row r="117" spans="2:17" s="2" customFormat="1" ht="33" hidden="1" customHeight="1" thickBot="1" x14ac:dyDescent="0.25">
      <c r="B117" s="191"/>
      <c r="C117" s="192"/>
      <c r="D117" s="193"/>
      <c r="E117" s="192" t="s">
        <v>302</v>
      </c>
      <c r="F117" s="339" t="str">
        <f>IFERROR(((I116-E116)/ABS(E116)),"-")</f>
        <v>-</v>
      </c>
      <c r="G117" s="339"/>
      <c r="H117" s="194"/>
      <c r="I117" s="194"/>
      <c r="J117" s="194"/>
      <c r="K117" s="339" t="str">
        <f>IFERROR(((M116-I116)/ABS(I116)),"-")</f>
        <v>-</v>
      </c>
      <c r="L117" s="339"/>
      <c r="M117" s="339"/>
      <c r="N117" s="194"/>
      <c r="O117" s="194"/>
      <c r="P117" s="195"/>
      <c r="Q117" s="196"/>
    </row>
    <row r="118" spans="2:17" s="2" customFormat="1" ht="33" hidden="1" customHeight="1" thickTop="1" x14ac:dyDescent="0.2">
      <c r="B118" s="185"/>
      <c r="C118" s="186" t="s">
        <v>303</v>
      </c>
      <c r="D118" s="187"/>
      <c r="E118" s="221">
        <f>I104-I105</f>
        <v>0</v>
      </c>
      <c r="F118" s="187"/>
      <c r="G118" s="188"/>
      <c r="H118" s="188"/>
      <c r="I118" s="337">
        <f>L104-L105</f>
        <v>0</v>
      </c>
      <c r="J118" s="337"/>
      <c r="K118" s="188"/>
      <c r="L118" s="188"/>
      <c r="M118" s="338">
        <f>O104-O105</f>
        <v>0</v>
      </c>
      <c r="N118" s="338"/>
      <c r="O118" s="338"/>
      <c r="P118" s="189"/>
      <c r="Q118" s="190"/>
    </row>
    <row r="119" spans="2:17" s="2" customFormat="1" ht="33" hidden="1" customHeight="1" x14ac:dyDescent="0.2">
      <c r="B119" s="197"/>
      <c r="C119" s="181" t="s">
        <v>304</v>
      </c>
      <c r="D119" s="182"/>
      <c r="E119" s="181"/>
      <c r="F119" s="181"/>
      <c r="G119" s="17"/>
      <c r="H119" s="17"/>
      <c r="I119" s="17"/>
      <c r="J119" s="17"/>
      <c r="K119" s="17"/>
      <c r="L119" s="17"/>
      <c r="M119" s="17"/>
      <c r="N119" s="17"/>
      <c r="O119" s="17"/>
      <c r="Q119" s="198"/>
    </row>
    <row r="120" spans="2:17" s="2" customFormat="1" ht="33" hidden="1" customHeight="1" thickBot="1" x14ac:dyDescent="0.25">
      <c r="B120" s="191"/>
      <c r="C120" s="192"/>
      <c r="D120" s="193"/>
      <c r="E120" s="192" t="s">
        <v>302</v>
      </c>
      <c r="F120" s="339" t="str">
        <f>IFERROR(((I118-E118)/ABS(E118)),"-")</f>
        <v>-</v>
      </c>
      <c r="G120" s="339"/>
      <c r="H120" s="194"/>
      <c r="I120" s="194"/>
      <c r="J120" s="194"/>
      <c r="K120" s="339" t="str">
        <f>IFERROR(((M118-I118)/ABS(I118)),"-")</f>
        <v>-</v>
      </c>
      <c r="L120" s="339"/>
      <c r="M120" s="339"/>
      <c r="N120" s="194"/>
      <c r="O120" s="194"/>
      <c r="P120" s="195"/>
      <c r="Q120" s="196"/>
    </row>
    <row r="121" spans="2:17" s="2" customFormat="1" ht="33" hidden="1" customHeight="1" thickTop="1" x14ac:dyDescent="0.2">
      <c r="B121" s="185"/>
      <c r="C121" s="186" t="s">
        <v>305</v>
      </c>
      <c r="D121" s="187"/>
      <c r="E121" s="221">
        <f>I106</f>
        <v>0</v>
      </c>
      <c r="F121" s="187"/>
      <c r="G121" s="188"/>
      <c r="H121" s="188"/>
      <c r="I121" s="337">
        <f>L106</f>
        <v>0</v>
      </c>
      <c r="J121" s="337"/>
      <c r="K121" s="188"/>
      <c r="L121" s="188"/>
      <c r="M121" s="338">
        <f>O106</f>
        <v>0</v>
      </c>
      <c r="N121" s="338"/>
      <c r="O121" s="338"/>
      <c r="P121" s="189"/>
      <c r="Q121" s="190"/>
    </row>
    <row r="122" spans="2:17" s="2" customFormat="1" ht="33" hidden="1" customHeight="1" thickBot="1" x14ac:dyDescent="0.25">
      <c r="B122" s="191"/>
      <c r="C122" s="192"/>
      <c r="D122" s="193"/>
      <c r="E122" s="192" t="s">
        <v>302</v>
      </c>
      <c r="F122" s="339" t="str">
        <f>IFERROR(((I121-E121)/ABS(E121)),"-")</f>
        <v>-</v>
      </c>
      <c r="G122" s="339"/>
      <c r="H122" s="194"/>
      <c r="I122" s="194"/>
      <c r="J122" s="194"/>
      <c r="K122" s="339" t="str">
        <f>IFERROR(((M121-I121)/ABS(I121)),"-")</f>
        <v>-</v>
      </c>
      <c r="L122" s="339"/>
      <c r="M122" s="339"/>
      <c r="N122" s="194"/>
      <c r="O122" s="194"/>
      <c r="P122" s="195"/>
      <c r="Q122" s="196"/>
    </row>
    <row r="123" spans="2:17" s="2" customFormat="1" ht="33" hidden="1" customHeight="1" thickTop="1" x14ac:dyDescent="0.2">
      <c r="B123" s="185"/>
      <c r="C123" s="186" t="s">
        <v>306</v>
      </c>
      <c r="D123" s="187"/>
      <c r="E123" s="221">
        <f>I106+I107</f>
        <v>0</v>
      </c>
      <c r="F123" s="340" t="str">
        <f>IFERROR(TEXT((E123/E118),"+0%;-0%")&amp;" *","n/a*")</f>
        <v>n/a*</v>
      </c>
      <c r="G123" s="340"/>
      <c r="H123" s="188"/>
      <c r="I123" s="337">
        <f>L106+L107</f>
        <v>0</v>
      </c>
      <c r="J123" s="337"/>
      <c r="K123" s="340" t="str">
        <f>IFERROR(TEXT((I123/I118),"+0%;-0%")&amp;" *","n/a*")</f>
        <v>n/a*</v>
      </c>
      <c r="L123" s="340"/>
      <c r="M123" s="338">
        <f>O106+O107</f>
        <v>0</v>
      </c>
      <c r="N123" s="338"/>
      <c r="O123" s="338"/>
      <c r="P123" s="340" t="str">
        <f>IFERROR(ROUND((M123/M118)*100,0)&amp;"% *","n/a*")</f>
        <v>n/a*</v>
      </c>
      <c r="Q123" s="341"/>
    </row>
    <row r="124" spans="2:17" s="2" customFormat="1" ht="33" hidden="1" customHeight="1" x14ac:dyDescent="0.2">
      <c r="B124" s="197"/>
      <c r="C124" s="181" t="s">
        <v>307</v>
      </c>
      <c r="D124" s="182"/>
      <c r="E124" s="181"/>
      <c r="F124" s="181"/>
      <c r="G124" s="17"/>
      <c r="H124" s="17"/>
      <c r="I124" s="17"/>
      <c r="J124" s="17"/>
      <c r="K124" s="17"/>
      <c r="L124" s="17"/>
      <c r="M124" s="17"/>
      <c r="N124" s="17"/>
      <c r="O124" s="17"/>
      <c r="Q124" s="198"/>
    </row>
    <row r="125" spans="2:17" s="2" customFormat="1" ht="33" hidden="1" customHeight="1" thickBot="1" x14ac:dyDescent="0.25">
      <c r="B125" s="191"/>
      <c r="C125" s="192"/>
      <c r="D125" s="193"/>
      <c r="E125" s="192" t="s">
        <v>302</v>
      </c>
      <c r="F125" s="339" t="str">
        <f>IFERROR(((I123-E123)/ABS(E123)),"-")</f>
        <v>-</v>
      </c>
      <c r="G125" s="339"/>
      <c r="H125" s="194"/>
      <c r="I125" s="194"/>
      <c r="J125" s="194"/>
      <c r="K125" s="339" t="str">
        <f>IFERROR(((M123-I123)/ABS(I123)),"-")</f>
        <v>-</v>
      </c>
      <c r="L125" s="339"/>
      <c r="M125" s="339"/>
      <c r="N125" s="194"/>
      <c r="O125" s="194"/>
      <c r="P125" s="195"/>
      <c r="Q125" s="196"/>
    </row>
    <row r="126" spans="2:17" s="2" customFormat="1" ht="33" hidden="1" customHeight="1" thickTop="1" x14ac:dyDescent="0.2">
      <c r="B126" s="185"/>
      <c r="C126" s="186" t="s">
        <v>308</v>
      </c>
      <c r="D126" s="187"/>
      <c r="E126" s="221">
        <f>I104-I105-I106</f>
        <v>0</v>
      </c>
      <c r="F126" s="187"/>
      <c r="G126" s="188"/>
      <c r="H126" s="188"/>
      <c r="I126" s="337">
        <f>L104-L105-L106</f>
        <v>0</v>
      </c>
      <c r="J126" s="337"/>
      <c r="K126" s="188"/>
      <c r="L126" s="188"/>
      <c r="M126" s="338">
        <f>O104-O105-O106</f>
        <v>0</v>
      </c>
      <c r="N126" s="338"/>
      <c r="O126" s="338"/>
      <c r="P126" s="189"/>
      <c r="Q126" s="190"/>
    </row>
    <row r="127" spans="2:17" s="2" customFormat="1" ht="33" hidden="1" customHeight="1" x14ac:dyDescent="0.2">
      <c r="B127" s="197"/>
      <c r="C127" s="181" t="s">
        <v>309</v>
      </c>
      <c r="D127" s="182"/>
      <c r="E127" s="181"/>
      <c r="F127" s="181"/>
      <c r="G127" s="17"/>
      <c r="H127" s="17"/>
      <c r="I127" s="17"/>
      <c r="J127" s="17"/>
      <c r="K127" s="17"/>
      <c r="L127" s="17"/>
      <c r="M127" s="17"/>
      <c r="N127" s="17"/>
      <c r="O127" s="17"/>
      <c r="Q127" s="198"/>
    </row>
    <row r="128" spans="2:17" s="2" customFormat="1" ht="33" hidden="1" customHeight="1" thickBot="1" x14ac:dyDescent="0.25">
      <c r="B128" s="191"/>
      <c r="C128" s="192"/>
      <c r="D128" s="193"/>
      <c r="E128" s="192" t="s">
        <v>302</v>
      </c>
      <c r="F128" s="339" t="str">
        <f>IFERROR(((I126-E126)/ABS(E126)),"-")</f>
        <v>-</v>
      </c>
      <c r="G128" s="339"/>
      <c r="H128" s="194"/>
      <c r="I128" s="194"/>
      <c r="J128" s="194"/>
      <c r="K128" s="339" t="str">
        <f>IFERROR(((M126-I126)/ABS(I126)),"-")</f>
        <v>-</v>
      </c>
      <c r="L128" s="339"/>
      <c r="M128" s="339"/>
      <c r="N128" s="194"/>
      <c r="O128" s="194"/>
      <c r="P128" s="195"/>
      <c r="Q128" s="196"/>
    </row>
    <row r="129" spans="2:20" s="2" customFormat="1" ht="33" hidden="1" customHeight="1" thickTop="1" x14ac:dyDescent="0.2">
      <c r="B129" s="185"/>
      <c r="C129" s="186" t="s">
        <v>180</v>
      </c>
      <c r="D129" s="187"/>
      <c r="E129" s="221">
        <f>I111</f>
        <v>0</v>
      </c>
      <c r="F129" s="351" t="str">
        <f>IFERROR(ROUND((E129/E118)*100,0)&amp;"% **","n/a**")</f>
        <v>n/a**</v>
      </c>
      <c r="G129" s="351"/>
      <c r="H129" s="188"/>
      <c r="I129" s="337">
        <f>L111</f>
        <v>0</v>
      </c>
      <c r="J129" s="337"/>
      <c r="K129" s="351" t="str">
        <f>IFERROR(TEXT((I129/I118),"+0%;-0%")&amp;" **","n/a**")</f>
        <v>n/a**</v>
      </c>
      <c r="L129" s="351"/>
      <c r="M129" s="338">
        <f>O111</f>
        <v>0</v>
      </c>
      <c r="N129" s="338"/>
      <c r="O129" s="338"/>
      <c r="P129" s="351" t="str">
        <f>IFERROR(ROUND((M129/M118)*100,0)&amp;"% **","n/a**")</f>
        <v>n/a**</v>
      </c>
      <c r="Q129" s="352"/>
    </row>
    <row r="130" spans="2:20" s="2" customFormat="1" ht="33" hidden="1" customHeight="1" thickBot="1" x14ac:dyDescent="0.25">
      <c r="B130" s="191"/>
      <c r="C130" s="192"/>
      <c r="D130" s="193"/>
      <c r="E130" s="192" t="s">
        <v>302</v>
      </c>
      <c r="F130" s="339" t="str">
        <f>IFERROR(((I129-E129)/ABS(E129)),"-")</f>
        <v>-</v>
      </c>
      <c r="G130" s="339"/>
      <c r="H130" s="194"/>
      <c r="I130" s="194"/>
      <c r="J130" s="194"/>
      <c r="K130" s="339" t="str">
        <f>IFERROR(((M129-I129)/ABS(I129)),"-")</f>
        <v>-</v>
      </c>
      <c r="L130" s="339"/>
      <c r="M130" s="339"/>
      <c r="N130" s="194"/>
      <c r="O130" s="194"/>
      <c r="P130" s="195"/>
      <c r="Q130" s="196"/>
    </row>
    <row r="131" spans="2:20" s="2" customFormat="1" ht="18.5" hidden="1" customHeight="1" thickTop="1" x14ac:dyDescent="0.2">
      <c r="B131" s="25"/>
      <c r="C131" s="25" t="s">
        <v>310</v>
      </c>
      <c r="D131" s="182"/>
      <c r="E131" s="182"/>
      <c r="F131" s="182"/>
      <c r="G131" s="17"/>
      <c r="H131" s="17"/>
      <c r="I131" s="17"/>
      <c r="J131" s="17"/>
      <c r="K131" s="17"/>
      <c r="L131" s="17"/>
      <c r="M131" s="17"/>
      <c r="N131" s="17"/>
      <c r="O131" s="17"/>
    </row>
    <row r="132" spans="2:20" ht="13.5" customHeight="1" thickTop="1" thickBot="1" x14ac:dyDescent="0.25"/>
    <row r="133" spans="2:20" s="2" customFormat="1" ht="21" customHeight="1" thickTop="1" thickBot="1" x14ac:dyDescent="0.25">
      <c r="B133" s="176"/>
      <c r="C133" s="177" t="s">
        <v>269</v>
      </c>
      <c r="D133" s="353"/>
      <c r="E133" s="353"/>
      <c r="F133" s="353"/>
      <c r="G133" s="354" t="s">
        <v>271</v>
      </c>
      <c r="H133" s="354"/>
      <c r="I133" s="355"/>
      <c r="J133" s="356"/>
      <c r="K133" s="178"/>
      <c r="L133" s="357" t="s">
        <v>272</v>
      </c>
      <c r="M133" s="354"/>
      <c r="N133" s="354"/>
      <c r="O133" s="358"/>
      <c r="P133" s="359"/>
      <c r="Q133" s="179"/>
    </row>
    <row r="134" spans="2:20" s="2" customFormat="1" ht="21" hidden="1" customHeight="1" thickTop="1" thickBot="1" x14ac:dyDescent="0.25">
      <c r="B134" s="176"/>
      <c r="C134" s="180" t="s">
        <v>270</v>
      </c>
      <c r="D134" s="353"/>
      <c r="E134" s="353"/>
      <c r="F134" s="353"/>
      <c r="G134" s="354"/>
      <c r="H134" s="354"/>
      <c r="I134" s="354"/>
      <c r="J134" s="354"/>
      <c r="K134" s="178"/>
      <c r="L134" s="357" t="s">
        <v>272</v>
      </c>
      <c r="M134" s="354"/>
      <c r="N134" s="354"/>
      <c r="O134" s="358"/>
      <c r="P134" s="359"/>
      <c r="Q134" s="179"/>
    </row>
    <row r="135" spans="2:20" s="2" customFormat="1" ht="24" hidden="1" customHeight="1" thickTop="1" thickBot="1" x14ac:dyDescent="0.25">
      <c r="C135" s="181"/>
      <c r="D135" s="182"/>
      <c r="E135" s="182"/>
      <c r="F135" s="363" t="s">
        <v>242</v>
      </c>
      <c r="G135" s="363"/>
      <c r="H135" s="17"/>
      <c r="I135" s="364"/>
      <c r="J135" s="364"/>
      <c r="K135" s="17"/>
      <c r="L135" s="364"/>
      <c r="M135" s="364"/>
      <c r="N135" s="17"/>
      <c r="O135" s="364"/>
      <c r="P135" s="364"/>
      <c r="Q135" s="64"/>
    </row>
    <row r="136" spans="2:20" s="2" customFormat="1" ht="24" hidden="1" customHeight="1" thickTop="1" thickBot="1" x14ac:dyDescent="0.25">
      <c r="C136" s="181" t="s">
        <v>292</v>
      </c>
      <c r="D136" s="182"/>
      <c r="E136" s="182"/>
      <c r="F136" s="182"/>
      <c r="G136" s="182"/>
      <c r="H136" s="17"/>
      <c r="I136" s="360"/>
      <c r="J136" s="360"/>
      <c r="K136" s="17"/>
      <c r="L136" s="360"/>
      <c r="M136" s="360"/>
      <c r="N136" s="17"/>
      <c r="O136" s="360"/>
      <c r="P136" s="360"/>
    </row>
    <row r="137" spans="2:20" s="2" customFormat="1" ht="24" hidden="1" customHeight="1" thickTop="1" thickBot="1" x14ac:dyDescent="0.25">
      <c r="C137" s="181" t="s">
        <v>293</v>
      </c>
      <c r="D137" s="182"/>
      <c r="E137" s="182"/>
      <c r="F137" s="182"/>
      <c r="G137" s="182"/>
      <c r="H137" s="17"/>
      <c r="I137" s="360"/>
      <c r="J137" s="360"/>
      <c r="K137" s="17"/>
      <c r="L137" s="360"/>
      <c r="M137" s="360"/>
      <c r="N137" s="17"/>
      <c r="O137" s="360"/>
      <c r="P137" s="360"/>
    </row>
    <row r="138" spans="2:20" s="2" customFormat="1" ht="24" hidden="1" customHeight="1" thickTop="1" thickBot="1" x14ac:dyDescent="0.25">
      <c r="C138" s="181" t="s">
        <v>294</v>
      </c>
      <c r="D138" s="182"/>
      <c r="E138" s="182"/>
      <c r="F138" s="182"/>
      <c r="G138" s="182"/>
      <c r="H138" s="17"/>
      <c r="I138" s="360"/>
      <c r="J138" s="360"/>
      <c r="K138" s="17"/>
      <c r="L138" s="360"/>
      <c r="M138" s="360"/>
      <c r="N138" s="17"/>
      <c r="O138" s="360"/>
      <c r="P138" s="360"/>
      <c r="T138" s="183"/>
    </row>
    <row r="139" spans="2:20" s="2" customFormat="1" ht="24" hidden="1" customHeight="1" thickTop="1" x14ac:dyDescent="0.2">
      <c r="C139" s="181" t="s">
        <v>295</v>
      </c>
      <c r="D139" s="182"/>
      <c r="E139" s="182"/>
      <c r="F139" s="182"/>
      <c r="G139" s="182"/>
      <c r="H139" s="17"/>
      <c r="I139" s="361"/>
      <c r="J139" s="361"/>
      <c r="K139" s="17"/>
      <c r="L139" s="361"/>
      <c r="M139" s="361"/>
      <c r="N139" s="17"/>
      <c r="O139" s="361"/>
      <c r="P139" s="361"/>
    </row>
    <row r="140" spans="2:20" s="2" customFormat="1" ht="17.5" hidden="1" customHeight="1" x14ac:dyDescent="0.2">
      <c r="C140" s="181" t="s">
        <v>296</v>
      </c>
      <c r="D140" s="182"/>
      <c r="E140" s="182"/>
      <c r="F140" s="182"/>
      <c r="G140" s="182"/>
      <c r="H140" s="17"/>
      <c r="I140" s="17"/>
      <c r="J140" s="17"/>
      <c r="K140" s="17"/>
      <c r="L140" s="17"/>
      <c r="M140" s="17"/>
      <c r="N140" s="17"/>
      <c r="O140" s="17"/>
    </row>
    <row r="141" spans="2:20" s="2" customFormat="1" ht="17.5" hidden="1" customHeight="1" x14ac:dyDescent="0.2">
      <c r="C141" s="181" t="s">
        <v>297</v>
      </c>
      <c r="D141" s="182"/>
      <c r="E141" s="182"/>
      <c r="F141" s="182"/>
      <c r="G141" s="182"/>
      <c r="H141" s="17"/>
      <c r="I141" s="17"/>
      <c r="J141" s="17"/>
      <c r="K141" s="17"/>
      <c r="L141" s="17"/>
      <c r="M141" s="17"/>
      <c r="N141" s="17"/>
      <c r="O141" s="17"/>
    </row>
    <row r="142" spans="2:20" s="2" customFormat="1" ht="24" hidden="1" customHeight="1" x14ac:dyDescent="0.2">
      <c r="C142" s="181"/>
      <c r="D142" s="182"/>
      <c r="E142" s="182"/>
      <c r="F142" s="182"/>
      <c r="G142" s="182"/>
      <c r="H142" s="17"/>
      <c r="I142" s="17"/>
      <c r="J142" s="17"/>
      <c r="K142" s="17"/>
      <c r="L142" s="17"/>
      <c r="M142" s="17"/>
      <c r="N142" s="17"/>
      <c r="O142" s="17"/>
    </row>
    <row r="143" spans="2:20" s="2" customFormat="1" ht="24" hidden="1" customHeight="1" x14ac:dyDescent="0.2">
      <c r="C143" s="181" t="s">
        <v>180</v>
      </c>
      <c r="D143" s="182"/>
      <c r="E143" s="182"/>
      <c r="F143" s="182"/>
      <c r="G143" s="182"/>
      <c r="H143" s="17"/>
      <c r="I143" s="362"/>
      <c r="J143" s="362"/>
      <c r="K143" s="184"/>
      <c r="L143" s="362"/>
      <c r="M143" s="362"/>
      <c r="N143" s="184"/>
      <c r="O143" s="362"/>
      <c r="P143" s="362"/>
      <c r="Q143" s="220"/>
    </row>
    <row r="144" spans="2:20" s="2" customFormat="1" ht="18.5" hidden="1" customHeight="1" x14ac:dyDescent="0.2">
      <c r="C144" s="181" t="s">
        <v>298</v>
      </c>
      <c r="D144" s="182"/>
      <c r="E144" s="182"/>
      <c r="F144" s="182"/>
      <c r="G144" s="182"/>
      <c r="H144" s="17"/>
      <c r="I144" s="220"/>
      <c r="J144" s="17"/>
      <c r="K144" s="17"/>
      <c r="L144" s="220"/>
      <c r="M144" s="17"/>
      <c r="N144" s="17"/>
      <c r="O144" s="220"/>
    </row>
    <row r="145" spans="2:17" s="2" customFormat="1" ht="18.5" hidden="1" customHeight="1" x14ac:dyDescent="0.2">
      <c r="C145" s="181" t="s">
        <v>299</v>
      </c>
      <c r="D145" s="182"/>
      <c r="E145" s="182"/>
      <c r="F145" s="182"/>
      <c r="G145" s="182"/>
      <c r="H145" s="17"/>
      <c r="I145" s="17"/>
      <c r="J145" s="17"/>
      <c r="K145" s="17"/>
      <c r="L145" s="17"/>
      <c r="M145" s="17"/>
      <c r="N145" s="17"/>
      <c r="O145" s="17"/>
    </row>
    <row r="146" spans="2:17" s="2" customFormat="1" ht="18.5" hidden="1" customHeight="1" x14ac:dyDescent="0.2">
      <c r="C146" s="181" t="s">
        <v>300</v>
      </c>
      <c r="D146" s="182"/>
      <c r="E146" s="182"/>
      <c r="F146" s="182"/>
      <c r="G146" s="182"/>
      <c r="H146" s="17"/>
      <c r="I146" s="17"/>
      <c r="J146" s="17"/>
      <c r="K146" s="17"/>
      <c r="L146" s="17"/>
      <c r="M146" s="17"/>
      <c r="N146" s="17"/>
      <c r="O146" s="17"/>
    </row>
    <row r="147" spans="2:17" s="2" customFormat="1" ht="18.5" hidden="1" customHeight="1" thickBot="1" x14ac:dyDescent="0.25">
      <c r="C147" s="181"/>
      <c r="D147" s="182"/>
      <c r="E147" s="182"/>
      <c r="F147" s="182"/>
      <c r="G147" s="182"/>
      <c r="H147" s="17"/>
      <c r="I147" s="17"/>
      <c r="J147" s="17"/>
      <c r="K147" s="17"/>
      <c r="L147" s="17"/>
      <c r="M147" s="17"/>
      <c r="N147" s="17"/>
      <c r="O147" s="17"/>
    </row>
    <row r="148" spans="2:17" s="2" customFormat="1" ht="33" hidden="1" customHeight="1" thickTop="1" x14ac:dyDescent="0.2">
      <c r="B148" s="185"/>
      <c r="C148" s="186" t="s">
        <v>301</v>
      </c>
      <c r="D148" s="187"/>
      <c r="E148" s="221">
        <f>I136</f>
        <v>0</v>
      </c>
      <c r="F148" s="187"/>
      <c r="G148" s="188"/>
      <c r="H148" s="188"/>
      <c r="I148" s="337">
        <f>L136</f>
        <v>0</v>
      </c>
      <c r="J148" s="337"/>
      <c r="K148" s="188"/>
      <c r="L148" s="188"/>
      <c r="M148" s="338">
        <f>O136</f>
        <v>0</v>
      </c>
      <c r="N148" s="338"/>
      <c r="O148" s="338"/>
      <c r="P148" s="189"/>
      <c r="Q148" s="190"/>
    </row>
    <row r="149" spans="2:17" s="2" customFormat="1" ht="33" hidden="1" customHeight="1" thickBot="1" x14ac:dyDescent="0.25">
      <c r="B149" s="191"/>
      <c r="C149" s="192"/>
      <c r="D149" s="193"/>
      <c r="E149" s="192" t="s">
        <v>302</v>
      </c>
      <c r="F149" s="339" t="str">
        <f>IFERROR(((I148-E148)/ABS(E148)),"-")</f>
        <v>-</v>
      </c>
      <c r="G149" s="339"/>
      <c r="H149" s="194"/>
      <c r="I149" s="194"/>
      <c r="J149" s="194"/>
      <c r="K149" s="339" t="str">
        <f>IFERROR(((M148-I148)/ABS(I148)),"-")</f>
        <v>-</v>
      </c>
      <c r="L149" s="339"/>
      <c r="M149" s="339"/>
      <c r="N149" s="194"/>
      <c r="O149" s="194"/>
      <c r="P149" s="195"/>
      <c r="Q149" s="196"/>
    </row>
    <row r="150" spans="2:17" s="2" customFormat="1" ht="33" hidden="1" customHeight="1" thickTop="1" x14ac:dyDescent="0.2">
      <c r="B150" s="185"/>
      <c r="C150" s="186" t="s">
        <v>303</v>
      </c>
      <c r="D150" s="187"/>
      <c r="E150" s="221">
        <f>I136-I137</f>
        <v>0</v>
      </c>
      <c r="F150" s="187"/>
      <c r="G150" s="188"/>
      <c r="H150" s="188"/>
      <c r="I150" s="337">
        <f>L136-L137</f>
        <v>0</v>
      </c>
      <c r="J150" s="337"/>
      <c r="K150" s="188"/>
      <c r="L150" s="188"/>
      <c r="M150" s="338">
        <f>O136-O137</f>
        <v>0</v>
      </c>
      <c r="N150" s="338"/>
      <c r="O150" s="338"/>
      <c r="P150" s="189"/>
      <c r="Q150" s="190"/>
    </row>
    <row r="151" spans="2:17" s="2" customFormat="1" ht="33" hidden="1" customHeight="1" x14ac:dyDescent="0.2">
      <c r="B151" s="197"/>
      <c r="C151" s="181" t="s">
        <v>304</v>
      </c>
      <c r="D151" s="182"/>
      <c r="E151" s="181"/>
      <c r="F151" s="181"/>
      <c r="G151" s="17"/>
      <c r="H151" s="17"/>
      <c r="I151" s="17"/>
      <c r="J151" s="17"/>
      <c r="K151" s="17"/>
      <c r="L151" s="17"/>
      <c r="M151" s="17"/>
      <c r="N151" s="17"/>
      <c r="O151" s="17"/>
      <c r="Q151" s="198"/>
    </row>
    <row r="152" spans="2:17" s="2" customFormat="1" ht="33" hidden="1" customHeight="1" thickBot="1" x14ac:dyDescent="0.25">
      <c r="B152" s="191"/>
      <c r="C152" s="192"/>
      <c r="D152" s="193"/>
      <c r="E152" s="192" t="s">
        <v>302</v>
      </c>
      <c r="F152" s="339" t="str">
        <f>IFERROR(((I150-E150)/ABS(E150)),"-")</f>
        <v>-</v>
      </c>
      <c r="G152" s="339"/>
      <c r="H152" s="194"/>
      <c r="I152" s="194"/>
      <c r="J152" s="194"/>
      <c r="K152" s="339" t="str">
        <f>IFERROR(((M150-I150)/ABS(I150)),"-")</f>
        <v>-</v>
      </c>
      <c r="L152" s="339"/>
      <c r="M152" s="339"/>
      <c r="N152" s="194"/>
      <c r="O152" s="194"/>
      <c r="P152" s="195"/>
      <c r="Q152" s="196"/>
    </row>
    <row r="153" spans="2:17" s="2" customFormat="1" ht="33" hidden="1" customHeight="1" thickTop="1" x14ac:dyDescent="0.2">
      <c r="B153" s="185"/>
      <c r="C153" s="186" t="s">
        <v>305</v>
      </c>
      <c r="D153" s="187"/>
      <c r="E153" s="221">
        <f>I138</f>
        <v>0</v>
      </c>
      <c r="F153" s="187"/>
      <c r="G153" s="188"/>
      <c r="H153" s="188"/>
      <c r="I153" s="337">
        <f>L138</f>
        <v>0</v>
      </c>
      <c r="J153" s="337"/>
      <c r="K153" s="188"/>
      <c r="L153" s="188"/>
      <c r="M153" s="338">
        <f>O138</f>
        <v>0</v>
      </c>
      <c r="N153" s="338"/>
      <c r="O153" s="338"/>
      <c r="P153" s="189"/>
      <c r="Q153" s="190"/>
    </row>
    <row r="154" spans="2:17" s="2" customFormat="1" ht="33" hidden="1" customHeight="1" thickBot="1" x14ac:dyDescent="0.25">
      <c r="B154" s="191"/>
      <c r="C154" s="192"/>
      <c r="D154" s="193"/>
      <c r="E154" s="192" t="s">
        <v>302</v>
      </c>
      <c r="F154" s="339" t="str">
        <f>IFERROR(((I153-E153)/ABS(E153)),"-")</f>
        <v>-</v>
      </c>
      <c r="G154" s="339"/>
      <c r="H154" s="194"/>
      <c r="I154" s="194"/>
      <c r="J154" s="194"/>
      <c r="K154" s="339" t="str">
        <f>IFERROR(((M153-I153)/ABS(I153)),"-")</f>
        <v>-</v>
      </c>
      <c r="L154" s="339"/>
      <c r="M154" s="339"/>
      <c r="N154" s="194"/>
      <c r="O154" s="194"/>
      <c r="P154" s="195"/>
      <c r="Q154" s="196"/>
    </row>
    <row r="155" spans="2:17" s="2" customFormat="1" ht="33" hidden="1" customHeight="1" thickTop="1" x14ac:dyDescent="0.2">
      <c r="B155" s="185"/>
      <c r="C155" s="186" t="s">
        <v>306</v>
      </c>
      <c r="D155" s="187"/>
      <c r="E155" s="221">
        <f>I138+I139</f>
        <v>0</v>
      </c>
      <c r="F155" s="340" t="str">
        <f>IFERROR(TEXT((E155/E150),"+0%;-0%")&amp;" *","n/a*")</f>
        <v>n/a*</v>
      </c>
      <c r="G155" s="340"/>
      <c r="H155" s="188"/>
      <c r="I155" s="337">
        <f>L138+L139</f>
        <v>0</v>
      </c>
      <c r="J155" s="337"/>
      <c r="K155" s="340" t="str">
        <f>IFERROR(TEXT((I155/I150),"+0%;-0%")&amp;" *","n/a*")</f>
        <v>n/a*</v>
      </c>
      <c r="L155" s="340"/>
      <c r="M155" s="338">
        <f>O138+O139</f>
        <v>0</v>
      </c>
      <c r="N155" s="338"/>
      <c r="O155" s="338"/>
      <c r="P155" s="340" t="str">
        <f>IFERROR(ROUND((M155/M150)*100,0)&amp;"% *","n/a*")</f>
        <v>n/a*</v>
      </c>
      <c r="Q155" s="341"/>
    </row>
    <row r="156" spans="2:17" s="2" customFormat="1" ht="33" hidden="1" customHeight="1" x14ac:dyDescent="0.2">
      <c r="B156" s="197"/>
      <c r="C156" s="181" t="s">
        <v>307</v>
      </c>
      <c r="D156" s="182"/>
      <c r="E156" s="181"/>
      <c r="F156" s="181"/>
      <c r="G156" s="17"/>
      <c r="H156" s="17"/>
      <c r="I156" s="17"/>
      <c r="J156" s="17"/>
      <c r="K156" s="17"/>
      <c r="L156" s="17"/>
      <c r="M156" s="17"/>
      <c r="N156" s="17"/>
      <c r="O156" s="17"/>
      <c r="Q156" s="198"/>
    </row>
    <row r="157" spans="2:17" s="2" customFormat="1" ht="33" hidden="1" customHeight="1" thickBot="1" x14ac:dyDescent="0.25">
      <c r="B157" s="191"/>
      <c r="C157" s="192"/>
      <c r="D157" s="193"/>
      <c r="E157" s="192" t="s">
        <v>302</v>
      </c>
      <c r="F157" s="339" t="str">
        <f>IFERROR(((I155-E155)/ABS(E155)),"-")</f>
        <v>-</v>
      </c>
      <c r="G157" s="339"/>
      <c r="H157" s="194"/>
      <c r="I157" s="194"/>
      <c r="J157" s="194"/>
      <c r="K157" s="339" t="str">
        <f>IFERROR(((M155-I155)/ABS(I155)),"-")</f>
        <v>-</v>
      </c>
      <c r="L157" s="339"/>
      <c r="M157" s="339"/>
      <c r="N157" s="194"/>
      <c r="O157" s="194"/>
      <c r="P157" s="195"/>
      <c r="Q157" s="196"/>
    </row>
    <row r="158" spans="2:17" s="2" customFormat="1" ht="33" hidden="1" customHeight="1" thickTop="1" x14ac:dyDescent="0.2">
      <c r="B158" s="185"/>
      <c r="C158" s="186" t="s">
        <v>308</v>
      </c>
      <c r="D158" s="187"/>
      <c r="E158" s="221">
        <f>I136-I137-I138</f>
        <v>0</v>
      </c>
      <c r="F158" s="187"/>
      <c r="G158" s="188"/>
      <c r="H158" s="188"/>
      <c r="I158" s="337">
        <f>L136-L137-L138</f>
        <v>0</v>
      </c>
      <c r="J158" s="337"/>
      <c r="K158" s="188"/>
      <c r="L158" s="188"/>
      <c r="M158" s="338">
        <f>O136-O137-O138</f>
        <v>0</v>
      </c>
      <c r="N158" s="338"/>
      <c r="O158" s="338"/>
      <c r="P158" s="189"/>
      <c r="Q158" s="190"/>
    </row>
    <row r="159" spans="2:17" s="2" customFormat="1" ht="33" hidden="1" customHeight="1" x14ac:dyDescent="0.2">
      <c r="B159" s="197"/>
      <c r="C159" s="181" t="s">
        <v>309</v>
      </c>
      <c r="D159" s="182"/>
      <c r="E159" s="181"/>
      <c r="F159" s="181"/>
      <c r="G159" s="17"/>
      <c r="H159" s="17"/>
      <c r="I159" s="17"/>
      <c r="J159" s="17"/>
      <c r="K159" s="17"/>
      <c r="L159" s="17"/>
      <c r="M159" s="17"/>
      <c r="N159" s="17"/>
      <c r="O159" s="17"/>
      <c r="Q159" s="198"/>
    </row>
    <row r="160" spans="2:17" s="2" customFormat="1" ht="33" hidden="1" customHeight="1" thickBot="1" x14ac:dyDescent="0.25">
      <c r="B160" s="191"/>
      <c r="C160" s="192"/>
      <c r="D160" s="193"/>
      <c r="E160" s="192" t="s">
        <v>302</v>
      </c>
      <c r="F160" s="339" t="str">
        <f>IFERROR(((I158-E158)/ABS(E158)),"-")</f>
        <v>-</v>
      </c>
      <c r="G160" s="339"/>
      <c r="H160" s="194"/>
      <c r="I160" s="194"/>
      <c r="J160" s="194"/>
      <c r="K160" s="339" t="str">
        <f>IFERROR(((M158-I158)/ABS(I158)),"-")</f>
        <v>-</v>
      </c>
      <c r="L160" s="339"/>
      <c r="M160" s="339"/>
      <c r="N160" s="194"/>
      <c r="O160" s="194"/>
      <c r="P160" s="195"/>
      <c r="Q160" s="196"/>
    </row>
    <row r="161" spans="2:20" s="2" customFormat="1" ht="33" hidden="1" customHeight="1" thickTop="1" x14ac:dyDescent="0.2">
      <c r="B161" s="185"/>
      <c r="C161" s="186" t="s">
        <v>180</v>
      </c>
      <c r="D161" s="187"/>
      <c r="E161" s="221">
        <f>I143</f>
        <v>0</v>
      </c>
      <c r="F161" s="351" t="str">
        <f>IFERROR(ROUND((E161/E150)*100,0)&amp;"% **","n/a**")</f>
        <v>n/a**</v>
      </c>
      <c r="G161" s="351"/>
      <c r="H161" s="188"/>
      <c r="I161" s="337">
        <f>L143</f>
        <v>0</v>
      </c>
      <c r="J161" s="337"/>
      <c r="K161" s="351" t="str">
        <f>IFERROR(TEXT((I161/I150),"+0%;-0%")&amp;" **","n/a**")</f>
        <v>n/a**</v>
      </c>
      <c r="L161" s="351"/>
      <c r="M161" s="338">
        <f>O143</f>
        <v>0</v>
      </c>
      <c r="N161" s="338"/>
      <c r="O161" s="338"/>
      <c r="P161" s="351" t="str">
        <f>IFERROR(ROUND((M161/M150)*100,0)&amp;"% **","n/a**")</f>
        <v>n/a**</v>
      </c>
      <c r="Q161" s="352"/>
    </row>
    <row r="162" spans="2:20" s="2" customFormat="1" ht="33" hidden="1" customHeight="1" thickBot="1" x14ac:dyDescent="0.25">
      <c r="B162" s="191"/>
      <c r="C162" s="192"/>
      <c r="D162" s="193"/>
      <c r="E162" s="192" t="s">
        <v>302</v>
      </c>
      <c r="F162" s="339" t="str">
        <f>IFERROR(((I161-E161)/ABS(E161)),"-")</f>
        <v>-</v>
      </c>
      <c r="G162" s="339"/>
      <c r="H162" s="194"/>
      <c r="I162" s="194"/>
      <c r="J162" s="194"/>
      <c r="K162" s="339" t="str">
        <f>IFERROR(((M161-I161)/ABS(I161)),"-")</f>
        <v>-</v>
      </c>
      <c r="L162" s="339"/>
      <c r="M162" s="339"/>
      <c r="N162" s="194"/>
      <c r="O162" s="194"/>
      <c r="P162" s="195"/>
      <c r="Q162" s="196"/>
    </row>
    <row r="163" spans="2:20" s="2" customFormat="1" ht="18.5" hidden="1" customHeight="1" thickTop="1" x14ac:dyDescent="0.2">
      <c r="B163" s="25"/>
      <c r="C163" s="25" t="s">
        <v>310</v>
      </c>
      <c r="D163" s="182"/>
      <c r="E163" s="182"/>
      <c r="F163" s="182"/>
      <c r="G163" s="17"/>
      <c r="H163" s="17"/>
      <c r="I163" s="17"/>
      <c r="J163" s="17"/>
      <c r="K163" s="17"/>
      <c r="L163" s="17"/>
      <c r="M163" s="17"/>
      <c r="N163" s="17"/>
      <c r="O163" s="17"/>
    </row>
    <row r="164" spans="2:20" ht="13.5" customHeight="1" thickTop="1" thickBot="1" x14ac:dyDescent="0.25"/>
    <row r="165" spans="2:20" s="2" customFormat="1" ht="21" customHeight="1" thickTop="1" thickBot="1" x14ac:dyDescent="0.25">
      <c r="B165" s="176"/>
      <c r="C165" s="177" t="s">
        <v>269</v>
      </c>
      <c r="D165" s="353"/>
      <c r="E165" s="353"/>
      <c r="F165" s="353"/>
      <c r="G165" s="354" t="s">
        <v>271</v>
      </c>
      <c r="H165" s="354"/>
      <c r="I165" s="355"/>
      <c r="J165" s="356"/>
      <c r="K165" s="178"/>
      <c r="L165" s="357" t="s">
        <v>272</v>
      </c>
      <c r="M165" s="354"/>
      <c r="N165" s="354"/>
      <c r="O165" s="358"/>
      <c r="P165" s="359"/>
      <c r="Q165" s="179"/>
    </row>
    <row r="166" spans="2:20" s="2" customFormat="1" ht="21" hidden="1" customHeight="1" thickTop="1" thickBot="1" x14ac:dyDescent="0.25">
      <c r="B166" s="176"/>
      <c r="C166" s="180" t="s">
        <v>270</v>
      </c>
      <c r="D166" s="353"/>
      <c r="E166" s="353"/>
      <c r="F166" s="353"/>
      <c r="G166" s="354"/>
      <c r="H166" s="354"/>
      <c r="I166" s="354"/>
      <c r="J166" s="354"/>
      <c r="K166" s="178"/>
      <c r="L166" s="357" t="s">
        <v>272</v>
      </c>
      <c r="M166" s="354"/>
      <c r="N166" s="354"/>
      <c r="O166" s="358"/>
      <c r="P166" s="359"/>
      <c r="Q166" s="179"/>
    </row>
    <row r="167" spans="2:20" s="2" customFormat="1" ht="24" hidden="1" customHeight="1" thickTop="1" thickBot="1" x14ac:dyDescent="0.25">
      <c r="C167" s="181"/>
      <c r="D167" s="182"/>
      <c r="E167" s="182"/>
      <c r="F167" s="363" t="s">
        <v>242</v>
      </c>
      <c r="G167" s="363"/>
      <c r="H167" s="17"/>
      <c r="I167" s="364"/>
      <c r="J167" s="364"/>
      <c r="K167" s="17"/>
      <c r="L167" s="364"/>
      <c r="M167" s="364"/>
      <c r="N167" s="17"/>
      <c r="O167" s="364"/>
      <c r="P167" s="364"/>
      <c r="Q167" s="64"/>
    </row>
    <row r="168" spans="2:20" s="2" customFormat="1" ht="24" hidden="1" customHeight="1" thickTop="1" thickBot="1" x14ac:dyDescent="0.25">
      <c r="C168" s="181" t="s">
        <v>292</v>
      </c>
      <c r="D168" s="182"/>
      <c r="E168" s="182"/>
      <c r="F168" s="182"/>
      <c r="G168" s="182"/>
      <c r="H168" s="17"/>
      <c r="I168" s="360"/>
      <c r="J168" s="360"/>
      <c r="K168" s="17"/>
      <c r="L168" s="360"/>
      <c r="M168" s="360"/>
      <c r="N168" s="17"/>
      <c r="O168" s="360"/>
      <c r="P168" s="360"/>
    </row>
    <row r="169" spans="2:20" s="2" customFormat="1" ht="24" hidden="1" customHeight="1" thickTop="1" thickBot="1" x14ac:dyDescent="0.25">
      <c r="C169" s="181" t="s">
        <v>293</v>
      </c>
      <c r="D169" s="182"/>
      <c r="E169" s="182"/>
      <c r="F169" s="182"/>
      <c r="G169" s="182"/>
      <c r="H169" s="17"/>
      <c r="I169" s="360"/>
      <c r="J169" s="360"/>
      <c r="K169" s="17"/>
      <c r="L169" s="360"/>
      <c r="M169" s="360"/>
      <c r="N169" s="17"/>
      <c r="O169" s="360"/>
      <c r="P169" s="360"/>
    </row>
    <row r="170" spans="2:20" s="2" customFormat="1" ht="24" hidden="1" customHeight="1" thickTop="1" thickBot="1" x14ac:dyDescent="0.25">
      <c r="C170" s="181" t="s">
        <v>294</v>
      </c>
      <c r="D170" s="182"/>
      <c r="E170" s="182"/>
      <c r="F170" s="182"/>
      <c r="G170" s="182"/>
      <c r="H170" s="17"/>
      <c r="I170" s="360"/>
      <c r="J170" s="360"/>
      <c r="K170" s="17"/>
      <c r="L170" s="360"/>
      <c r="M170" s="360"/>
      <c r="N170" s="17"/>
      <c r="O170" s="360"/>
      <c r="P170" s="360"/>
      <c r="T170" s="183"/>
    </row>
    <row r="171" spans="2:20" s="2" customFormat="1" ht="24" hidden="1" customHeight="1" thickTop="1" x14ac:dyDescent="0.2">
      <c r="C171" s="181" t="s">
        <v>295</v>
      </c>
      <c r="D171" s="182"/>
      <c r="E171" s="182"/>
      <c r="F171" s="182"/>
      <c r="G171" s="182"/>
      <c r="H171" s="17"/>
      <c r="I171" s="361"/>
      <c r="J171" s="361"/>
      <c r="K171" s="17"/>
      <c r="L171" s="361"/>
      <c r="M171" s="361"/>
      <c r="N171" s="17"/>
      <c r="O171" s="361"/>
      <c r="P171" s="361"/>
    </row>
    <row r="172" spans="2:20" s="2" customFormat="1" ht="17.5" hidden="1" customHeight="1" x14ac:dyDescent="0.2">
      <c r="C172" s="181" t="s">
        <v>296</v>
      </c>
      <c r="D172" s="182"/>
      <c r="E172" s="182"/>
      <c r="F172" s="182"/>
      <c r="G172" s="182"/>
      <c r="H172" s="17"/>
      <c r="I172" s="17"/>
      <c r="J172" s="17"/>
      <c r="K172" s="17"/>
      <c r="L172" s="17"/>
      <c r="M172" s="17"/>
      <c r="N172" s="17"/>
      <c r="O172" s="17"/>
    </row>
    <row r="173" spans="2:20" s="2" customFormat="1" ht="17.5" hidden="1" customHeight="1" x14ac:dyDescent="0.2">
      <c r="C173" s="181" t="s">
        <v>297</v>
      </c>
      <c r="D173" s="182"/>
      <c r="E173" s="182"/>
      <c r="F173" s="182"/>
      <c r="G173" s="182"/>
      <c r="H173" s="17"/>
      <c r="I173" s="17"/>
      <c r="J173" s="17"/>
      <c r="K173" s="17"/>
      <c r="L173" s="17"/>
      <c r="M173" s="17"/>
      <c r="N173" s="17"/>
      <c r="O173" s="17"/>
    </row>
    <row r="174" spans="2:20" s="2" customFormat="1" ht="24" hidden="1" customHeight="1" x14ac:dyDescent="0.2">
      <c r="C174" s="181"/>
      <c r="D174" s="182"/>
      <c r="E174" s="182"/>
      <c r="F174" s="182"/>
      <c r="G174" s="182"/>
      <c r="H174" s="17"/>
      <c r="I174" s="17"/>
      <c r="J174" s="17"/>
      <c r="K174" s="17"/>
      <c r="L174" s="17"/>
      <c r="M174" s="17"/>
      <c r="N174" s="17"/>
      <c r="O174" s="17"/>
    </row>
    <row r="175" spans="2:20" s="2" customFormat="1" ht="24" hidden="1" customHeight="1" x14ac:dyDescent="0.2">
      <c r="C175" s="181" t="s">
        <v>180</v>
      </c>
      <c r="D175" s="182"/>
      <c r="E175" s="182"/>
      <c r="F175" s="182"/>
      <c r="G175" s="182"/>
      <c r="H175" s="17"/>
      <c r="I175" s="362"/>
      <c r="J175" s="362"/>
      <c r="K175" s="184"/>
      <c r="L175" s="362"/>
      <c r="M175" s="362"/>
      <c r="N175" s="184"/>
      <c r="O175" s="362"/>
      <c r="P175" s="362"/>
      <c r="Q175" s="220"/>
    </row>
    <row r="176" spans="2:20" s="2" customFormat="1" ht="18.5" hidden="1" customHeight="1" x14ac:dyDescent="0.2">
      <c r="C176" s="181" t="s">
        <v>298</v>
      </c>
      <c r="D176" s="182"/>
      <c r="E176" s="182"/>
      <c r="F176" s="182"/>
      <c r="G176" s="182"/>
      <c r="H176" s="17"/>
      <c r="I176" s="220"/>
      <c r="J176" s="17"/>
      <c r="K176" s="17"/>
      <c r="L176" s="220"/>
      <c r="M176" s="17"/>
      <c r="N176" s="17"/>
      <c r="O176" s="220"/>
    </row>
    <row r="177" spans="2:17" s="2" customFormat="1" ht="18.5" hidden="1" customHeight="1" x14ac:dyDescent="0.2">
      <c r="C177" s="181" t="s">
        <v>299</v>
      </c>
      <c r="D177" s="182"/>
      <c r="E177" s="182"/>
      <c r="F177" s="182"/>
      <c r="G177" s="182"/>
      <c r="H177" s="17"/>
      <c r="I177" s="17"/>
      <c r="J177" s="17"/>
      <c r="K177" s="17"/>
      <c r="L177" s="17"/>
      <c r="M177" s="17"/>
      <c r="N177" s="17"/>
      <c r="O177" s="17"/>
    </row>
    <row r="178" spans="2:17" s="2" customFormat="1" ht="18.5" hidden="1" customHeight="1" x14ac:dyDescent="0.2">
      <c r="C178" s="181" t="s">
        <v>300</v>
      </c>
      <c r="D178" s="182"/>
      <c r="E178" s="182"/>
      <c r="F178" s="182"/>
      <c r="G178" s="182"/>
      <c r="H178" s="17"/>
      <c r="I178" s="17"/>
      <c r="J178" s="17"/>
      <c r="K178" s="17"/>
      <c r="L178" s="17"/>
      <c r="M178" s="17"/>
      <c r="N178" s="17"/>
      <c r="O178" s="17"/>
    </row>
    <row r="179" spans="2:17" s="2" customFormat="1" ht="18.5" hidden="1" customHeight="1" thickBot="1" x14ac:dyDescent="0.25">
      <c r="C179" s="181"/>
      <c r="D179" s="182"/>
      <c r="E179" s="182"/>
      <c r="F179" s="182"/>
      <c r="G179" s="182"/>
      <c r="H179" s="17"/>
      <c r="I179" s="17"/>
      <c r="J179" s="17"/>
      <c r="K179" s="17"/>
      <c r="L179" s="17"/>
      <c r="M179" s="17"/>
      <c r="N179" s="17"/>
      <c r="O179" s="17"/>
    </row>
    <row r="180" spans="2:17" s="2" customFormat="1" ht="33" hidden="1" customHeight="1" thickTop="1" x14ac:dyDescent="0.2">
      <c r="B180" s="185"/>
      <c r="C180" s="186" t="s">
        <v>301</v>
      </c>
      <c r="D180" s="187"/>
      <c r="E180" s="221">
        <f>I168</f>
        <v>0</v>
      </c>
      <c r="F180" s="187"/>
      <c r="G180" s="188"/>
      <c r="H180" s="188"/>
      <c r="I180" s="337">
        <f>L168</f>
        <v>0</v>
      </c>
      <c r="J180" s="337"/>
      <c r="K180" s="188"/>
      <c r="L180" s="188"/>
      <c r="M180" s="338">
        <f>O168</f>
        <v>0</v>
      </c>
      <c r="N180" s="338"/>
      <c r="O180" s="338"/>
      <c r="P180" s="189"/>
      <c r="Q180" s="190"/>
    </row>
    <row r="181" spans="2:17" s="2" customFormat="1" ht="33" hidden="1" customHeight="1" thickBot="1" x14ac:dyDescent="0.25">
      <c r="B181" s="191"/>
      <c r="C181" s="192"/>
      <c r="D181" s="193"/>
      <c r="E181" s="192" t="s">
        <v>302</v>
      </c>
      <c r="F181" s="339" t="str">
        <f>IFERROR(((I180-E180)/ABS(E180)),"-")</f>
        <v>-</v>
      </c>
      <c r="G181" s="339"/>
      <c r="H181" s="194"/>
      <c r="I181" s="194"/>
      <c r="J181" s="194"/>
      <c r="K181" s="339" t="str">
        <f>IFERROR(((M180-I180)/ABS(I180)),"-")</f>
        <v>-</v>
      </c>
      <c r="L181" s="339"/>
      <c r="M181" s="339"/>
      <c r="N181" s="194"/>
      <c r="O181" s="194"/>
      <c r="P181" s="195"/>
      <c r="Q181" s="196"/>
    </row>
    <row r="182" spans="2:17" s="2" customFormat="1" ht="33" hidden="1" customHeight="1" thickTop="1" x14ac:dyDescent="0.2">
      <c r="B182" s="185"/>
      <c r="C182" s="186" t="s">
        <v>303</v>
      </c>
      <c r="D182" s="187"/>
      <c r="E182" s="221">
        <f>I168-I169</f>
        <v>0</v>
      </c>
      <c r="F182" s="187"/>
      <c r="G182" s="188"/>
      <c r="H182" s="188"/>
      <c r="I182" s="337">
        <f>L168-L169</f>
        <v>0</v>
      </c>
      <c r="J182" s="337"/>
      <c r="K182" s="188"/>
      <c r="L182" s="188"/>
      <c r="M182" s="338">
        <f>O168-O169</f>
        <v>0</v>
      </c>
      <c r="N182" s="338"/>
      <c r="O182" s="338"/>
      <c r="P182" s="189"/>
      <c r="Q182" s="190"/>
    </row>
    <row r="183" spans="2:17" s="2" customFormat="1" ht="33" hidden="1" customHeight="1" x14ac:dyDescent="0.2">
      <c r="B183" s="197"/>
      <c r="C183" s="181" t="s">
        <v>304</v>
      </c>
      <c r="D183" s="182"/>
      <c r="E183" s="181"/>
      <c r="F183" s="181"/>
      <c r="G183" s="17"/>
      <c r="H183" s="17"/>
      <c r="I183" s="17"/>
      <c r="J183" s="17"/>
      <c r="K183" s="17"/>
      <c r="L183" s="17"/>
      <c r="M183" s="17"/>
      <c r="N183" s="17"/>
      <c r="O183" s="17"/>
      <c r="Q183" s="198"/>
    </row>
    <row r="184" spans="2:17" s="2" customFormat="1" ht="33" hidden="1" customHeight="1" thickBot="1" x14ac:dyDescent="0.25">
      <c r="B184" s="191"/>
      <c r="C184" s="192"/>
      <c r="D184" s="193"/>
      <c r="E184" s="192" t="s">
        <v>302</v>
      </c>
      <c r="F184" s="339" t="str">
        <f>IFERROR(((I182-E182)/ABS(E182)),"-")</f>
        <v>-</v>
      </c>
      <c r="G184" s="339"/>
      <c r="H184" s="194"/>
      <c r="I184" s="194"/>
      <c r="J184" s="194"/>
      <c r="K184" s="339" t="str">
        <f>IFERROR(((M182-I182)/ABS(I182)),"-")</f>
        <v>-</v>
      </c>
      <c r="L184" s="339"/>
      <c r="M184" s="339"/>
      <c r="N184" s="194"/>
      <c r="O184" s="194"/>
      <c r="P184" s="195"/>
      <c r="Q184" s="196"/>
    </row>
    <row r="185" spans="2:17" s="2" customFormat="1" ht="33" hidden="1" customHeight="1" thickTop="1" x14ac:dyDescent="0.2">
      <c r="B185" s="185"/>
      <c r="C185" s="186" t="s">
        <v>305</v>
      </c>
      <c r="D185" s="187"/>
      <c r="E185" s="221">
        <f>I170</f>
        <v>0</v>
      </c>
      <c r="F185" s="187"/>
      <c r="G185" s="188"/>
      <c r="H185" s="188"/>
      <c r="I185" s="337">
        <f>L170</f>
        <v>0</v>
      </c>
      <c r="J185" s="337"/>
      <c r="K185" s="188"/>
      <c r="L185" s="188"/>
      <c r="M185" s="338">
        <f>O170</f>
        <v>0</v>
      </c>
      <c r="N185" s="338"/>
      <c r="O185" s="338"/>
      <c r="P185" s="189"/>
      <c r="Q185" s="190"/>
    </row>
    <row r="186" spans="2:17" s="2" customFormat="1" ht="33" hidden="1" customHeight="1" thickBot="1" x14ac:dyDescent="0.25">
      <c r="B186" s="191"/>
      <c r="C186" s="192"/>
      <c r="D186" s="193"/>
      <c r="E186" s="192" t="s">
        <v>302</v>
      </c>
      <c r="F186" s="339" t="str">
        <f>IFERROR(((I185-E185)/ABS(E185)),"-")</f>
        <v>-</v>
      </c>
      <c r="G186" s="339"/>
      <c r="H186" s="194"/>
      <c r="I186" s="194"/>
      <c r="J186" s="194"/>
      <c r="K186" s="339" t="str">
        <f>IFERROR(((M185-I185)/ABS(I185)),"-")</f>
        <v>-</v>
      </c>
      <c r="L186" s="339"/>
      <c r="M186" s="339"/>
      <c r="N186" s="194"/>
      <c r="O186" s="194"/>
      <c r="P186" s="195"/>
      <c r="Q186" s="196"/>
    </row>
    <row r="187" spans="2:17" s="2" customFormat="1" ht="33" hidden="1" customHeight="1" thickTop="1" x14ac:dyDescent="0.2">
      <c r="B187" s="185"/>
      <c r="C187" s="186" t="s">
        <v>306</v>
      </c>
      <c r="D187" s="187"/>
      <c r="E187" s="221">
        <f>I170+I171</f>
        <v>0</v>
      </c>
      <c r="F187" s="340" t="str">
        <f>IFERROR(TEXT((E187/E182),"+0%;-0%")&amp;" *","n/a*")</f>
        <v>n/a*</v>
      </c>
      <c r="G187" s="340"/>
      <c r="H187" s="188"/>
      <c r="I187" s="337">
        <f>L170+L171</f>
        <v>0</v>
      </c>
      <c r="J187" s="337"/>
      <c r="K187" s="340" t="str">
        <f>IFERROR(TEXT((I187/I182),"+0%;-0%")&amp;" *","n/a*")</f>
        <v>n/a*</v>
      </c>
      <c r="L187" s="340"/>
      <c r="M187" s="338">
        <f>O170+O171</f>
        <v>0</v>
      </c>
      <c r="N187" s="338"/>
      <c r="O187" s="338"/>
      <c r="P187" s="340" t="str">
        <f>IFERROR(ROUND((M187/M182)*100,0)&amp;"% *","n/a*")</f>
        <v>n/a*</v>
      </c>
      <c r="Q187" s="341"/>
    </row>
    <row r="188" spans="2:17" s="2" customFormat="1" ht="33" hidden="1" customHeight="1" x14ac:dyDescent="0.2">
      <c r="B188" s="197"/>
      <c r="C188" s="181" t="s">
        <v>307</v>
      </c>
      <c r="D188" s="182"/>
      <c r="E188" s="181"/>
      <c r="F188" s="181"/>
      <c r="G188" s="17"/>
      <c r="H188" s="17"/>
      <c r="I188" s="17"/>
      <c r="J188" s="17"/>
      <c r="K188" s="17"/>
      <c r="L188" s="17"/>
      <c r="M188" s="17"/>
      <c r="N188" s="17"/>
      <c r="O188" s="17"/>
      <c r="Q188" s="198"/>
    </row>
    <row r="189" spans="2:17" s="2" customFormat="1" ht="33" hidden="1" customHeight="1" thickBot="1" x14ac:dyDescent="0.25">
      <c r="B189" s="191"/>
      <c r="C189" s="192"/>
      <c r="D189" s="193"/>
      <c r="E189" s="192" t="s">
        <v>302</v>
      </c>
      <c r="F189" s="339" t="str">
        <f>IFERROR(((I187-E187)/ABS(E187)),"-")</f>
        <v>-</v>
      </c>
      <c r="G189" s="339"/>
      <c r="H189" s="194"/>
      <c r="I189" s="194"/>
      <c r="J189" s="194"/>
      <c r="K189" s="339" t="str">
        <f>IFERROR(((M187-I187)/ABS(I187)),"-")</f>
        <v>-</v>
      </c>
      <c r="L189" s="339"/>
      <c r="M189" s="339"/>
      <c r="N189" s="194"/>
      <c r="O189" s="194"/>
      <c r="P189" s="195"/>
      <c r="Q189" s="196"/>
    </row>
    <row r="190" spans="2:17" s="2" customFormat="1" ht="33" hidden="1" customHeight="1" thickTop="1" x14ac:dyDescent="0.2">
      <c r="B190" s="185"/>
      <c r="C190" s="186" t="s">
        <v>308</v>
      </c>
      <c r="D190" s="187"/>
      <c r="E190" s="221">
        <f>I168-I169-I170</f>
        <v>0</v>
      </c>
      <c r="F190" s="187"/>
      <c r="G190" s="188"/>
      <c r="H190" s="188"/>
      <c r="I190" s="337">
        <f>L168-L169-L170</f>
        <v>0</v>
      </c>
      <c r="J190" s="337"/>
      <c r="K190" s="188"/>
      <c r="L190" s="188"/>
      <c r="M190" s="338">
        <f>O168-O169-O170</f>
        <v>0</v>
      </c>
      <c r="N190" s="338"/>
      <c r="O190" s="338"/>
      <c r="P190" s="189"/>
      <c r="Q190" s="190"/>
    </row>
    <row r="191" spans="2:17" s="2" customFormat="1" ht="33" hidden="1" customHeight="1" x14ac:dyDescent="0.2">
      <c r="B191" s="197"/>
      <c r="C191" s="181" t="s">
        <v>309</v>
      </c>
      <c r="D191" s="182"/>
      <c r="E191" s="181"/>
      <c r="F191" s="181"/>
      <c r="G191" s="17"/>
      <c r="H191" s="17"/>
      <c r="I191" s="17"/>
      <c r="J191" s="17"/>
      <c r="K191" s="17"/>
      <c r="L191" s="17"/>
      <c r="M191" s="17"/>
      <c r="N191" s="17"/>
      <c r="O191" s="17"/>
      <c r="Q191" s="198"/>
    </row>
    <row r="192" spans="2:17" s="2" customFormat="1" ht="33" hidden="1" customHeight="1" thickBot="1" x14ac:dyDescent="0.25">
      <c r="B192" s="191"/>
      <c r="C192" s="192"/>
      <c r="D192" s="193"/>
      <c r="E192" s="192" t="s">
        <v>302</v>
      </c>
      <c r="F192" s="339" t="str">
        <f>IFERROR(((I190-E190)/ABS(E190)),"-")</f>
        <v>-</v>
      </c>
      <c r="G192" s="339"/>
      <c r="H192" s="194"/>
      <c r="I192" s="194"/>
      <c r="J192" s="194"/>
      <c r="K192" s="339" t="str">
        <f>IFERROR(((M190-I190)/ABS(I190)),"-")</f>
        <v>-</v>
      </c>
      <c r="L192" s="339"/>
      <c r="M192" s="339"/>
      <c r="N192" s="194"/>
      <c r="O192" s="194"/>
      <c r="P192" s="195"/>
      <c r="Q192" s="196"/>
    </row>
    <row r="193" spans="2:20" s="2" customFormat="1" ht="33" hidden="1" customHeight="1" thickTop="1" x14ac:dyDescent="0.2">
      <c r="B193" s="185"/>
      <c r="C193" s="186" t="s">
        <v>180</v>
      </c>
      <c r="D193" s="187"/>
      <c r="E193" s="221">
        <f>I175</f>
        <v>0</v>
      </c>
      <c r="F193" s="351" t="str">
        <f>IFERROR(ROUND((E193/E182)*100,0)&amp;"% **","n/a**")</f>
        <v>n/a**</v>
      </c>
      <c r="G193" s="351"/>
      <c r="H193" s="188"/>
      <c r="I193" s="337">
        <f>L175</f>
        <v>0</v>
      </c>
      <c r="J193" s="337"/>
      <c r="K193" s="351" t="str">
        <f>IFERROR(TEXT((I193/I182),"+0%;-0%")&amp;" **","n/a**")</f>
        <v>n/a**</v>
      </c>
      <c r="L193" s="351"/>
      <c r="M193" s="338">
        <f>O175</f>
        <v>0</v>
      </c>
      <c r="N193" s="338"/>
      <c r="O193" s="338"/>
      <c r="P193" s="351" t="str">
        <f>IFERROR(ROUND((M193/M182)*100,0)&amp;"% **","n/a**")</f>
        <v>n/a**</v>
      </c>
      <c r="Q193" s="352"/>
    </row>
    <row r="194" spans="2:20" s="2" customFormat="1" ht="33" hidden="1" customHeight="1" thickBot="1" x14ac:dyDescent="0.25">
      <c r="B194" s="191"/>
      <c r="C194" s="192"/>
      <c r="D194" s="193"/>
      <c r="E194" s="192" t="s">
        <v>302</v>
      </c>
      <c r="F194" s="339" t="str">
        <f>IFERROR(((I193-E193)/ABS(E193)),"-")</f>
        <v>-</v>
      </c>
      <c r="G194" s="339"/>
      <c r="H194" s="194"/>
      <c r="I194" s="194"/>
      <c r="J194" s="194"/>
      <c r="K194" s="339" t="str">
        <f>IFERROR(((M193-I193)/ABS(I193)),"-")</f>
        <v>-</v>
      </c>
      <c r="L194" s="339"/>
      <c r="M194" s="339"/>
      <c r="N194" s="194"/>
      <c r="O194" s="194"/>
      <c r="P194" s="195"/>
      <c r="Q194" s="196"/>
    </row>
    <row r="195" spans="2:20" s="2" customFormat="1" ht="18.5" hidden="1" customHeight="1" thickTop="1" x14ac:dyDescent="0.2">
      <c r="B195" s="25"/>
      <c r="C195" s="25" t="s">
        <v>310</v>
      </c>
      <c r="D195" s="182"/>
      <c r="E195" s="182"/>
      <c r="F195" s="182"/>
      <c r="G195" s="17"/>
      <c r="H195" s="17"/>
      <c r="I195" s="17"/>
      <c r="J195" s="17"/>
      <c r="K195" s="17"/>
      <c r="L195" s="17"/>
      <c r="M195" s="17"/>
      <c r="N195" s="17"/>
      <c r="O195" s="17"/>
    </row>
    <row r="196" spans="2:20" ht="13.5" customHeight="1" thickTop="1" thickBot="1" x14ac:dyDescent="0.25"/>
    <row r="197" spans="2:20" s="2" customFormat="1" ht="21" customHeight="1" thickTop="1" thickBot="1" x14ac:dyDescent="0.25">
      <c r="B197" s="176"/>
      <c r="C197" s="177" t="s">
        <v>269</v>
      </c>
      <c r="D197" s="353"/>
      <c r="E197" s="353"/>
      <c r="F197" s="353"/>
      <c r="G197" s="354" t="s">
        <v>271</v>
      </c>
      <c r="H197" s="354"/>
      <c r="I197" s="355"/>
      <c r="J197" s="356"/>
      <c r="K197" s="178"/>
      <c r="L197" s="357" t="s">
        <v>272</v>
      </c>
      <c r="M197" s="354"/>
      <c r="N197" s="354"/>
      <c r="O197" s="358"/>
      <c r="P197" s="359"/>
      <c r="Q197" s="179"/>
    </row>
    <row r="198" spans="2:20" s="2" customFormat="1" ht="21" hidden="1" customHeight="1" thickTop="1" thickBot="1" x14ac:dyDescent="0.25">
      <c r="B198" s="176"/>
      <c r="C198" s="180" t="s">
        <v>270</v>
      </c>
      <c r="D198" s="353"/>
      <c r="E198" s="353"/>
      <c r="F198" s="353"/>
      <c r="G198" s="354"/>
      <c r="H198" s="354"/>
      <c r="I198" s="354"/>
      <c r="J198" s="354"/>
      <c r="K198" s="178"/>
      <c r="L198" s="357" t="s">
        <v>272</v>
      </c>
      <c r="M198" s="354"/>
      <c r="N198" s="354"/>
      <c r="O198" s="358"/>
      <c r="P198" s="359"/>
      <c r="Q198" s="179"/>
    </row>
    <row r="199" spans="2:20" s="2" customFormat="1" ht="24" hidden="1" customHeight="1" thickTop="1" thickBot="1" x14ac:dyDescent="0.25">
      <c r="C199" s="181"/>
      <c r="D199" s="182"/>
      <c r="E199" s="182"/>
      <c r="F199" s="363" t="s">
        <v>242</v>
      </c>
      <c r="G199" s="363"/>
      <c r="H199" s="17"/>
      <c r="I199" s="364"/>
      <c r="J199" s="364"/>
      <c r="K199" s="17"/>
      <c r="L199" s="364"/>
      <c r="M199" s="364"/>
      <c r="N199" s="17"/>
      <c r="O199" s="364"/>
      <c r="P199" s="364"/>
      <c r="Q199" s="64"/>
    </row>
    <row r="200" spans="2:20" s="2" customFormat="1" ht="24" hidden="1" customHeight="1" thickTop="1" thickBot="1" x14ac:dyDescent="0.25">
      <c r="C200" s="181" t="s">
        <v>292</v>
      </c>
      <c r="D200" s="182"/>
      <c r="E200" s="182"/>
      <c r="F200" s="182"/>
      <c r="G200" s="182"/>
      <c r="H200" s="17"/>
      <c r="I200" s="360"/>
      <c r="J200" s="360"/>
      <c r="K200" s="17"/>
      <c r="L200" s="360"/>
      <c r="M200" s="360"/>
      <c r="N200" s="17"/>
      <c r="O200" s="360"/>
      <c r="P200" s="360"/>
    </row>
    <row r="201" spans="2:20" s="2" customFormat="1" ht="24" hidden="1" customHeight="1" thickTop="1" thickBot="1" x14ac:dyDescent="0.25">
      <c r="C201" s="181" t="s">
        <v>293</v>
      </c>
      <c r="D201" s="182"/>
      <c r="E201" s="182"/>
      <c r="F201" s="182"/>
      <c r="G201" s="182"/>
      <c r="H201" s="17"/>
      <c r="I201" s="360"/>
      <c r="J201" s="360"/>
      <c r="K201" s="17"/>
      <c r="L201" s="360"/>
      <c r="M201" s="360"/>
      <c r="N201" s="17"/>
      <c r="O201" s="360"/>
      <c r="P201" s="360"/>
    </row>
    <row r="202" spans="2:20" s="2" customFormat="1" ht="24" hidden="1" customHeight="1" thickTop="1" thickBot="1" x14ac:dyDescent="0.25">
      <c r="C202" s="181" t="s">
        <v>294</v>
      </c>
      <c r="D202" s="182"/>
      <c r="E202" s="182"/>
      <c r="F202" s="182"/>
      <c r="G202" s="182"/>
      <c r="H202" s="17"/>
      <c r="I202" s="360"/>
      <c r="J202" s="360"/>
      <c r="K202" s="17"/>
      <c r="L202" s="360"/>
      <c r="M202" s="360"/>
      <c r="N202" s="17"/>
      <c r="O202" s="360"/>
      <c r="P202" s="360"/>
      <c r="T202" s="183"/>
    </row>
    <row r="203" spans="2:20" s="2" customFormat="1" ht="24" hidden="1" customHeight="1" thickTop="1" x14ac:dyDescent="0.2">
      <c r="C203" s="181" t="s">
        <v>295</v>
      </c>
      <c r="D203" s="182"/>
      <c r="E203" s="182"/>
      <c r="F203" s="182"/>
      <c r="G203" s="182"/>
      <c r="H203" s="17"/>
      <c r="I203" s="361"/>
      <c r="J203" s="361"/>
      <c r="K203" s="17"/>
      <c r="L203" s="361"/>
      <c r="M203" s="361"/>
      <c r="N203" s="17"/>
      <c r="O203" s="361"/>
      <c r="P203" s="361"/>
    </row>
    <row r="204" spans="2:20" s="2" customFormat="1" ht="17.5" hidden="1" customHeight="1" x14ac:dyDescent="0.2">
      <c r="C204" s="181" t="s">
        <v>296</v>
      </c>
      <c r="D204" s="182"/>
      <c r="E204" s="182"/>
      <c r="F204" s="182"/>
      <c r="G204" s="182"/>
      <c r="H204" s="17"/>
      <c r="I204" s="17"/>
      <c r="J204" s="17"/>
      <c r="K204" s="17"/>
      <c r="L204" s="17"/>
      <c r="M204" s="17"/>
      <c r="N204" s="17"/>
      <c r="O204" s="17"/>
    </row>
    <row r="205" spans="2:20" s="2" customFormat="1" ht="17.5" hidden="1" customHeight="1" x14ac:dyDescent="0.2">
      <c r="C205" s="181" t="s">
        <v>297</v>
      </c>
      <c r="D205" s="182"/>
      <c r="E205" s="182"/>
      <c r="F205" s="182"/>
      <c r="G205" s="182"/>
      <c r="H205" s="17"/>
      <c r="I205" s="17"/>
      <c r="J205" s="17"/>
      <c r="K205" s="17"/>
      <c r="L205" s="17"/>
      <c r="M205" s="17"/>
      <c r="N205" s="17"/>
      <c r="O205" s="17"/>
    </row>
    <row r="206" spans="2:20" s="2" customFormat="1" ht="24" hidden="1" customHeight="1" x14ac:dyDescent="0.2">
      <c r="C206" s="181"/>
      <c r="D206" s="182"/>
      <c r="E206" s="182"/>
      <c r="F206" s="182"/>
      <c r="G206" s="182"/>
      <c r="H206" s="17"/>
      <c r="I206" s="17"/>
      <c r="J206" s="17"/>
      <c r="K206" s="17"/>
      <c r="L206" s="17"/>
      <c r="M206" s="17"/>
      <c r="N206" s="17"/>
      <c r="O206" s="17"/>
    </row>
    <row r="207" spans="2:20" s="2" customFormat="1" ht="24" hidden="1" customHeight="1" x14ac:dyDescent="0.2">
      <c r="C207" s="181" t="s">
        <v>180</v>
      </c>
      <c r="D207" s="182"/>
      <c r="E207" s="182"/>
      <c r="F207" s="182"/>
      <c r="G207" s="182"/>
      <c r="H207" s="17"/>
      <c r="I207" s="362"/>
      <c r="J207" s="362"/>
      <c r="K207" s="184"/>
      <c r="L207" s="362"/>
      <c r="M207" s="362"/>
      <c r="N207" s="184"/>
      <c r="O207" s="362"/>
      <c r="P207" s="362"/>
      <c r="Q207" s="220"/>
    </row>
    <row r="208" spans="2:20" s="2" customFormat="1" ht="18.5" hidden="1" customHeight="1" x14ac:dyDescent="0.2">
      <c r="C208" s="181" t="s">
        <v>298</v>
      </c>
      <c r="D208" s="182"/>
      <c r="E208" s="182"/>
      <c r="F208" s="182"/>
      <c r="G208" s="182"/>
      <c r="H208" s="17"/>
      <c r="I208" s="220"/>
      <c r="J208" s="17"/>
      <c r="K208" s="17"/>
      <c r="L208" s="220"/>
      <c r="M208" s="17"/>
      <c r="N208" s="17"/>
      <c r="O208" s="220"/>
    </row>
    <row r="209" spans="2:17" s="2" customFormat="1" ht="18.5" hidden="1" customHeight="1" x14ac:dyDescent="0.2">
      <c r="C209" s="181" t="s">
        <v>299</v>
      </c>
      <c r="D209" s="182"/>
      <c r="E209" s="182"/>
      <c r="F209" s="182"/>
      <c r="G209" s="182"/>
      <c r="H209" s="17"/>
      <c r="I209" s="17"/>
      <c r="J209" s="17"/>
      <c r="K209" s="17"/>
      <c r="L209" s="17"/>
      <c r="M209" s="17"/>
      <c r="N209" s="17"/>
      <c r="O209" s="17"/>
    </row>
    <row r="210" spans="2:17" s="2" customFormat="1" ht="18.5" hidden="1" customHeight="1" x14ac:dyDescent="0.2">
      <c r="C210" s="181" t="s">
        <v>300</v>
      </c>
      <c r="D210" s="182"/>
      <c r="E210" s="182"/>
      <c r="F210" s="182"/>
      <c r="G210" s="182"/>
      <c r="H210" s="17"/>
      <c r="I210" s="17"/>
      <c r="J210" s="17"/>
      <c r="K210" s="17"/>
      <c r="L210" s="17"/>
      <c r="M210" s="17"/>
      <c r="N210" s="17"/>
      <c r="O210" s="17"/>
    </row>
    <row r="211" spans="2:17" s="2" customFormat="1" ht="18.5" hidden="1" customHeight="1" thickBot="1" x14ac:dyDescent="0.25">
      <c r="C211" s="181"/>
      <c r="D211" s="182"/>
      <c r="E211" s="182"/>
      <c r="F211" s="182"/>
      <c r="G211" s="182"/>
      <c r="H211" s="17"/>
      <c r="I211" s="17"/>
      <c r="J211" s="17"/>
      <c r="K211" s="17"/>
      <c r="L211" s="17"/>
      <c r="M211" s="17"/>
      <c r="N211" s="17"/>
      <c r="O211" s="17"/>
    </row>
    <row r="212" spans="2:17" s="2" customFormat="1" ht="33" hidden="1" customHeight="1" thickTop="1" x14ac:dyDescent="0.2">
      <c r="B212" s="185"/>
      <c r="C212" s="186" t="s">
        <v>301</v>
      </c>
      <c r="D212" s="187"/>
      <c r="E212" s="221">
        <f>I200</f>
        <v>0</v>
      </c>
      <c r="F212" s="187"/>
      <c r="G212" s="188"/>
      <c r="H212" s="188"/>
      <c r="I212" s="337">
        <f>L200</f>
        <v>0</v>
      </c>
      <c r="J212" s="337"/>
      <c r="K212" s="188"/>
      <c r="L212" s="188"/>
      <c r="M212" s="338">
        <f>O200</f>
        <v>0</v>
      </c>
      <c r="N212" s="338"/>
      <c r="O212" s="338"/>
      <c r="P212" s="189"/>
      <c r="Q212" s="190"/>
    </row>
    <row r="213" spans="2:17" s="2" customFormat="1" ht="33" hidden="1" customHeight="1" thickBot="1" x14ac:dyDescent="0.25">
      <c r="B213" s="191"/>
      <c r="C213" s="192"/>
      <c r="D213" s="193"/>
      <c r="E213" s="192" t="s">
        <v>302</v>
      </c>
      <c r="F213" s="339" t="str">
        <f>IFERROR(((I212-E212)/ABS(E212)),"-")</f>
        <v>-</v>
      </c>
      <c r="G213" s="339"/>
      <c r="H213" s="194"/>
      <c r="I213" s="194"/>
      <c r="J213" s="194"/>
      <c r="K213" s="339" t="str">
        <f>IFERROR(((M212-I212)/ABS(I212)),"-")</f>
        <v>-</v>
      </c>
      <c r="L213" s="339"/>
      <c r="M213" s="339"/>
      <c r="N213" s="194"/>
      <c r="O213" s="194"/>
      <c r="P213" s="195"/>
      <c r="Q213" s="196"/>
    </row>
    <row r="214" spans="2:17" s="2" customFormat="1" ht="33" hidden="1" customHeight="1" thickTop="1" x14ac:dyDescent="0.2">
      <c r="B214" s="185"/>
      <c r="C214" s="186" t="s">
        <v>303</v>
      </c>
      <c r="D214" s="187"/>
      <c r="E214" s="221">
        <f>I200-I201</f>
        <v>0</v>
      </c>
      <c r="F214" s="187"/>
      <c r="G214" s="188"/>
      <c r="H214" s="188"/>
      <c r="I214" s="337">
        <f>L200-L201</f>
        <v>0</v>
      </c>
      <c r="J214" s="337"/>
      <c r="K214" s="188"/>
      <c r="L214" s="188"/>
      <c r="M214" s="338">
        <f>O200-O201</f>
        <v>0</v>
      </c>
      <c r="N214" s="338"/>
      <c r="O214" s="338"/>
      <c r="P214" s="189"/>
      <c r="Q214" s="190"/>
    </row>
    <row r="215" spans="2:17" s="2" customFormat="1" ht="33" hidden="1" customHeight="1" x14ac:dyDescent="0.2">
      <c r="B215" s="197"/>
      <c r="C215" s="181" t="s">
        <v>304</v>
      </c>
      <c r="D215" s="182"/>
      <c r="E215" s="181"/>
      <c r="F215" s="181"/>
      <c r="G215" s="17"/>
      <c r="H215" s="17"/>
      <c r="I215" s="17"/>
      <c r="J215" s="17"/>
      <c r="K215" s="17"/>
      <c r="L215" s="17"/>
      <c r="M215" s="17"/>
      <c r="N215" s="17"/>
      <c r="O215" s="17"/>
      <c r="Q215" s="198"/>
    </row>
    <row r="216" spans="2:17" s="2" customFormat="1" ht="33" hidden="1" customHeight="1" thickBot="1" x14ac:dyDescent="0.25">
      <c r="B216" s="191"/>
      <c r="C216" s="192"/>
      <c r="D216" s="193"/>
      <c r="E216" s="192" t="s">
        <v>302</v>
      </c>
      <c r="F216" s="339" t="str">
        <f>IFERROR(((I214-E214)/ABS(E214)),"-")</f>
        <v>-</v>
      </c>
      <c r="G216" s="339"/>
      <c r="H216" s="194"/>
      <c r="I216" s="194"/>
      <c r="J216" s="194"/>
      <c r="K216" s="339" t="str">
        <f>IFERROR(((M214-I214)/ABS(I214)),"-")</f>
        <v>-</v>
      </c>
      <c r="L216" s="339"/>
      <c r="M216" s="339"/>
      <c r="N216" s="194"/>
      <c r="O216" s="194"/>
      <c r="P216" s="195"/>
      <c r="Q216" s="196"/>
    </row>
    <row r="217" spans="2:17" s="2" customFormat="1" ht="33" hidden="1" customHeight="1" thickTop="1" x14ac:dyDescent="0.2">
      <c r="B217" s="185"/>
      <c r="C217" s="186" t="s">
        <v>305</v>
      </c>
      <c r="D217" s="187"/>
      <c r="E217" s="221">
        <f>I202</f>
        <v>0</v>
      </c>
      <c r="F217" s="187"/>
      <c r="G217" s="188"/>
      <c r="H217" s="188"/>
      <c r="I217" s="337">
        <f>L202</f>
        <v>0</v>
      </c>
      <c r="J217" s="337"/>
      <c r="K217" s="188"/>
      <c r="L217" s="188"/>
      <c r="M217" s="338">
        <f>O202</f>
        <v>0</v>
      </c>
      <c r="N217" s="338"/>
      <c r="O217" s="338"/>
      <c r="P217" s="189"/>
      <c r="Q217" s="190"/>
    </row>
    <row r="218" spans="2:17" s="2" customFormat="1" ht="33" hidden="1" customHeight="1" thickBot="1" x14ac:dyDescent="0.25">
      <c r="B218" s="191"/>
      <c r="C218" s="192"/>
      <c r="D218" s="193"/>
      <c r="E218" s="192" t="s">
        <v>302</v>
      </c>
      <c r="F218" s="339" t="str">
        <f>IFERROR(((I217-E217)/ABS(E217)),"-")</f>
        <v>-</v>
      </c>
      <c r="G218" s="339"/>
      <c r="H218" s="194"/>
      <c r="I218" s="194"/>
      <c r="J218" s="194"/>
      <c r="K218" s="339" t="str">
        <f>IFERROR(((M217-I217)/ABS(I217)),"-")</f>
        <v>-</v>
      </c>
      <c r="L218" s="339"/>
      <c r="M218" s="339"/>
      <c r="N218" s="194"/>
      <c r="O218" s="194"/>
      <c r="P218" s="195"/>
      <c r="Q218" s="196"/>
    </row>
    <row r="219" spans="2:17" s="2" customFormat="1" ht="33" hidden="1" customHeight="1" thickTop="1" x14ac:dyDescent="0.2">
      <c r="B219" s="185"/>
      <c r="C219" s="186" t="s">
        <v>306</v>
      </c>
      <c r="D219" s="187"/>
      <c r="E219" s="221">
        <f>I202+I203</f>
        <v>0</v>
      </c>
      <c r="F219" s="340" t="str">
        <f>IFERROR(TEXT((E219/E214),"+0%;-0%")&amp;" *","n/a*")</f>
        <v>n/a*</v>
      </c>
      <c r="G219" s="340"/>
      <c r="H219" s="188"/>
      <c r="I219" s="337">
        <f>L202+L203</f>
        <v>0</v>
      </c>
      <c r="J219" s="337"/>
      <c r="K219" s="340" t="str">
        <f>IFERROR(TEXT((I219/I214),"+0%;-0%")&amp;" *","n/a*")</f>
        <v>n/a*</v>
      </c>
      <c r="L219" s="340"/>
      <c r="M219" s="338">
        <f>O202+O203</f>
        <v>0</v>
      </c>
      <c r="N219" s="338"/>
      <c r="O219" s="338"/>
      <c r="P219" s="340" t="str">
        <f>IFERROR(ROUND((M219/M214)*100,0)&amp;"% *","n/a*")</f>
        <v>n/a*</v>
      </c>
      <c r="Q219" s="341"/>
    </row>
    <row r="220" spans="2:17" s="2" customFormat="1" ht="33" hidden="1" customHeight="1" x14ac:dyDescent="0.2">
      <c r="B220" s="197"/>
      <c r="C220" s="181" t="s">
        <v>307</v>
      </c>
      <c r="D220" s="182"/>
      <c r="E220" s="181"/>
      <c r="F220" s="181"/>
      <c r="G220" s="17"/>
      <c r="H220" s="17"/>
      <c r="I220" s="17"/>
      <c r="J220" s="17"/>
      <c r="K220" s="17"/>
      <c r="L220" s="17"/>
      <c r="M220" s="17"/>
      <c r="N220" s="17"/>
      <c r="O220" s="17"/>
      <c r="Q220" s="198"/>
    </row>
    <row r="221" spans="2:17" s="2" customFormat="1" ht="33" hidden="1" customHeight="1" thickBot="1" x14ac:dyDescent="0.25">
      <c r="B221" s="191"/>
      <c r="C221" s="192"/>
      <c r="D221" s="193"/>
      <c r="E221" s="192" t="s">
        <v>302</v>
      </c>
      <c r="F221" s="339" t="str">
        <f>IFERROR(((I219-E219)/ABS(E219)),"-")</f>
        <v>-</v>
      </c>
      <c r="G221" s="339"/>
      <c r="H221" s="194"/>
      <c r="I221" s="194"/>
      <c r="J221" s="194"/>
      <c r="K221" s="339" t="str">
        <f>IFERROR(((M219-I219)/ABS(I219)),"-")</f>
        <v>-</v>
      </c>
      <c r="L221" s="339"/>
      <c r="M221" s="339"/>
      <c r="N221" s="194"/>
      <c r="O221" s="194"/>
      <c r="P221" s="195"/>
      <c r="Q221" s="196"/>
    </row>
    <row r="222" spans="2:17" s="2" customFormat="1" ht="33" hidden="1" customHeight="1" thickTop="1" x14ac:dyDescent="0.2">
      <c r="B222" s="185"/>
      <c r="C222" s="186" t="s">
        <v>308</v>
      </c>
      <c r="D222" s="187"/>
      <c r="E222" s="221">
        <f>I200-I201-I202</f>
        <v>0</v>
      </c>
      <c r="F222" s="187"/>
      <c r="G222" s="188"/>
      <c r="H222" s="188"/>
      <c r="I222" s="337">
        <f>L200-L201-L202</f>
        <v>0</v>
      </c>
      <c r="J222" s="337"/>
      <c r="K222" s="188"/>
      <c r="L222" s="188"/>
      <c r="M222" s="338">
        <f>O200-O201-O202</f>
        <v>0</v>
      </c>
      <c r="N222" s="338"/>
      <c r="O222" s="338"/>
      <c r="P222" s="189"/>
      <c r="Q222" s="190"/>
    </row>
    <row r="223" spans="2:17" s="2" customFormat="1" ht="33" hidden="1" customHeight="1" x14ac:dyDescent="0.2">
      <c r="B223" s="197"/>
      <c r="C223" s="181" t="s">
        <v>309</v>
      </c>
      <c r="D223" s="182"/>
      <c r="E223" s="181"/>
      <c r="F223" s="181"/>
      <c r="G223" s="17"/>
      <c r="H223" s="17"/>
      <c r="I223" s="17"/>
      <c r="J223" s="17"/>
      <c r="K223" s="17"/>
      <c r="L223" s="17"/>
      <c r="M223" s="17"/>
      <c r="N223" s="17"/>
      <c r="O223" s="17"/>
      <c r="Q223" s="198"/>
    </row>
    <row r="224" spans="2:17" s="2" customFormat="1" ht="33" hidden="1" customHeight="1" thickBot="1" x14ac:dyDescent="0.25">
      <c r="B224" s="191"/>
      <c r="C224" s="192"/>
      <c r="D224" s="193"/>
      <c r="E224" s="192" t="s">
        <v>302</v>
      </c>
      <c r="F224" s="339" t="str">
        <f>IFERROR(((I222-E222)/ABS(E222)),"-")</f>
        <v>-</v>
      </c>
      <c r="G224" s="339"/>
      <c r="H224" s="194"/>
      <c r="I224" s="194"/>
      <c r="J224" s="194"/>
      <c r="K224" s="339" t="str">
        <f>IFERROR(((M222-I222)/ABS(I222)),"-")</f>
        <v>-</v>
      </c>
      <c r="L224" s="339"/>
      <c r="M224" s="339"/>
      <c r="N224" s="194"/>
      <c r="O224" s="194"/>
      <c r="P224" s="195"/>
      <c r="Q224" s="196"/>
    </row>
    <row r="225" spans="2:20" s="2" customFormat="1" ht="33" hidden="1" customHeight="1" thickTop="1" x14ac:dyDescent="0.2">
      <c r="B225" s="185"/>
      <c r="C225" s="186" t="s">
        <v>180</v>
      </c>
      <c r="D225" s="187"/>
      <c r="E225" s="221">
        <f>I207</f>
        <v>0</v>
      </c>
      <c r="F225" s="351" t="str">
        <f>IFERROR(ROUND((E225/E214)*100,0)&amp;"% **","n/a**")</f>
        <v>n/a**</v>
      </c>
      <c r="G225" s="351"/>
      <c r="H225" s="188"/>
      <c r="I225" s="337">
        <f>L207</f>
        <v>0</v>
      </c>
      <c r="J225" s="337"/>
      <c r="K225" s="351" t="str">
        <f>IFERROR(TEXT((I225/I214),"+0%;-0%")&amp;" **","n/a**")</f>
        <v>n/a**</v>
      </c>
      <c r="L225" s="351"/>
      <c r="M225" s="338">
        <f>O207</f>
        <v>0</v>
      </c>
      <c r="N225" s="338"/>
      <c r="O225" s="338"/>
      <c r="P225" s="351" t="str">
        <f>IFERROR(ROUND((M225/M214)*100,0)&amp;"% **","n/a**")</f>
        <v>n/a**</v>
      </c>
      <c r="Q225" s="352"/>
    </row>
    <row r="226" spans="2:20" s="2" customFormat="1" ht="33" hidden="1" customHeight="1" thickBot="1" x14ac:dyDescent="0.25">
      <c r="B226" s="191"/>
      <c r="C226" s="192"/>
      <c r="D226" s="193"/>
      <c r="E226" s="192" t="s">
        <v>302</v>
      </c>
      <c r="F226" s="339" t="str">
        <f>IFERROR(((I225-E225)/ABS(E225)),"-")</f>
        <v>-</v>
      </c>
      <c r="G226" s="339"/>
      <c r="H226" s="194"/>
      <c r="I226" s="194"/>
      <c r="J226" s="194"/>
      <c r="K226" s="339" t="str">
        <f>IFERROR(((M225-I225)/ABS(I225)),"-")</f>
        <v>-</v>
      </c>
      <c r="L226" s="339"/>
      <c r="M226" s="339"/>
      <c r="N226" s="194"/>
      <c r="O226" s="194"/>
      <c r="P226" s="195"/>
      <c r="Q226" s="196"/>
    </row>
    <row r="227" spans="2:20" s="2" customFormat="1" ht="18.5" hidden="1" customHeight="1" thickTop="1" x14ac:dyDescent="0.2">
      <c r="B227" s="25"/>
      <c r="C227" s="25" t="s">
        <v>310</v>
      </c>
      <c r="D227" s="182"/>
      <c r="E227" s="182"/>
      <c r="F227" s="182"/>
      <c r="G227" s="17"/>
      <c r="H227" s="17"/>
      <c r="I227" s="17"/>
      <c r="J227" s="17"/>
      <c r="K227" s="17"/>
      <c r="L227" s="17"/>
      <c r="M227" s="17"/>
      <c r="N227" s="17"/>
      <c r="O227" s="17"/>
    </row>
    <row r="228" spans="2:20" ht="13.5" customHeight="1" thickTop="1" thickBot="1" x14ac:dyDescent="0.25"/>
    <row r="229" spans="2:20" s="2" customFormat="1" ht="21" customHeight="1" thickTop="1" thickBot="1" x14ac:dyDescent="0.25">
      <c r="B229" s="176"/>
      <c r="C229" s="177" t="s">
        <v>269</v>
      </c>
      <c r="D229" s="353"/>
      <c r="E229" s="353"/>
      <c r="F229" s="353"/>
      <c r="G229" s="354" t="s">
        <v>271</v>
      </c>
      <c r="H229" s="354"/>
      <c r="I229" s="355"/>
      <c r="J229" s="356"/>
      <c r="K229" s="178"/>
      <c r="L229" s="357" t="s">
        <v>272</v>
      </c>
      <c r="M229" s="354"/>
      <c r="N229" s="354"/>
      <c r="O229" s="358"/>
      <c r="P229" s="359"/>
      <c r="Q229" s="179"/>
    </row>
    <row r="230" spans="2:20" s="2" customFormat="1" ht="21" hidden="1" customHeight="1" thickTop="1" thickBot="1" x14ac:dyDescent="0.25">
      <c r="B230" s="176"/>
      <c r="C230" s="180" t="s">
        <v>270</v>
      </c>
      <c r="D230" s="353"/>
      <c r="E230" s="353"/>
      <c r="F230" s="353"/>
      <c r="G230" s="354"/>
      <c r="H230" s="354"/>
      <c r="I230" s="354"/>
      <c r="J230" s="354"/>
      <c r="K230" s="178"/>
      <c r="L230" s="357" t="s">
        <v>272</v>
      </c>
      <c r="M230" s="354"/>
      <c r="N230" s="354"/>
      <c r="O230" s="358"/>
      <c r="P230" s="359"/>
      <c r="Q230" s="179"/>
    </row>
    <row r="231" spans="2:20" s="2" customFormat="1" ht="24" hidden="1" customHeight="1" thickTop="1" thickBot="1" x14ac:dyDescent="0.25">
      <c r="C231" s="181"/>
      <c r="D231" s="182"/>
      <c r="E231" s="182"/>
      <c r="F231" s="363" t="s">
        <v>242</v>
      </c>
      <c r="G231" s="363"/>
      <c r="H231" s="17"/>
      <c r="I231" s="364"/>
      <c r="J231" s="364"/>
      <c r="K231" s="17"/>
      <c r="L231" s="364"/>
      <c r="M231" s="364"/>
      <c r="N231" s="17"/>
      <c r="O231" s="364"/>
      <c r="P231" s="364"/>
      <c r="Q231" s="64"/>
    </row>
    <row r="232" spans="2:20" s="2" customFormat="1" ht="24" hidden="1" customHeight="1" thickTop="1" thickBot="1" x14ac:dyDescent="0.25">
      <c r="C232" s="181" t="s">
        <v>292</v>
      </c>
      <c r="D232" s="182"/>
      <c r="E232" s="182"/>
      <c r="F232" s="182"/>
      <c r="G232" s="182"/>
      <c r="H232" s="17"/>
      <c r="I232" s="360"/>
      <c r="J232" s="360"/>
      <c r="K232" s="17"/>
      <c r="L232" s="360"/>
      <c r="M232" s="360"/>
      <c r="N232" s="17"/>
      <c r="O232" s="360"/>
      <c r="P232" s="360"/>
    </row>
    <row r="233" spans="2:20" s="2" customFormat="1" ht="24" hidden="1" customHeight="1" thickTop="1" thickBot="1" x14ac:dyDescent="0.25">
      <c r="C233" s="181" t="s">
        <v>293</v>
      </c>
      <c r="D233" s="182"/>
      <c r="E233" s="182"/>
      <c r="F233" s="182"/>
      <c r="G233" s="182"/>
      <c r="H233" s="17"/>
      <c r="I233" s="360"/>
      <c r="J233" s="360"/>
      <c r="K233" s="17"/>
      <c r="L233" s="360"/>
      <c r="M233" s="360"/>
      <c r="N233" s="17"/>
      <c r="O233" s="360"/>
      <c r="P233" s="360"/>
    </row>
    <row r="234" spans="2:20" s="2" customFormat="1" ht="24" hidden="1" customHeight="1" thickTop="1" thickBot="1" x14ac:dyDescent="0.25">
      <c r="C234" s="181" t="s">
        <v>294</v>
      </c>
      <c r="D234" s="182"/>
      <c r="E234" s="182"/>
      <c r="F234" s="182"/>
      <c r="G234" s="182"/>
      <c r="H234" s="17"/>
      <c r="I234" s="360"/>
      <c r="J234" s="360"/>
      <c r="K234" s="17"/>
      <c r="L234" s="360"/>
      <c r="M234" s="360"/>
      <c r="N234" s="17"/>
      <c r="O234" s="360"/>
      <c r="P234" s="360"/>
      <c r="T234" s="183"/>
    </row>
    <row r="235" spans="2:20" s="2" customFormat="1" ht="24" hidden="1" customHeight="1" thickTop="1" x14ac:dyDescent="0.2">
      <c r="C235" s="181" t="s">
        <v>295</v>
      </c>
      <c r="D235" s="182"/>
      <c r="E235" s="182"/>
      <c r="F235" s="182"/>
      <c r="G235" s="182"/>
      <c r="H235" s="17"/>
      <c r="I235" s="361"/>
      <c r="J235" s="361"/>
      <c r="K235" s="17"/>
      <c r="L235" s="361"/>
      <c r="M235" s="361"/>
      <c r="N235" s="17"/>
      <c r="O235" s="361"/>
      <c r="P235" s="361"/>
    </row>
    <row r="236" spans="2:20" s="2" customFormat="1" ht="17.5" hidden="1" customHeight="1" x14ac:dyDescent="0.2">
      <c r="C236" s="181" t="s">
        <v>296</v>
      </c>
      <c r="D236" s="182"/>
      <c r="E236" s="182"/>
      <c r="F236" s="182"/>
      <c r="G236" s="182"/>
      <c r="H236" s="17"/>
      <c r="I236" s="17"/>
      <c r="J236" s="17"/>
      <c r="K236" s="17"/>
      <c r="L236" s="17"/>
      <c r="M236" s="17"/>
      <c r="N236" s="17"/>
      <c r="O236" s="17"/>
    </row>
    <row r="237" spans="2:20" s="2" customFormat="1" ht="17.5" hidden="1" customHeight="1" x14ac:dyDescent="0.2">
      <c r="C237" s="181" t="s">
        <v>297</v>
      </c>
      <c r="D237" s="182"/>
      <c r="E237" s="182"/>
      <c r="F237" s="182"/>
      <c r="G237" s="182"/>
      <c r="H237" s="17"/>
      <c r="I237" s="17"/>
      <c r="J237" s="17"/>
      <c r="K237" s="17"/>
      <c r="L237" s="17"/>
      <c r="M237" s="17"/>
      <c r="N237" s="17"/>
      <c r="O237" s="17"/>
    </row>
    <row r="238" spans="2:20" s="2" customFormat="1" ht="24" hidden="1" customHeight="1" x14ac:dyDescent="0.2">
      <c r="C238" s="181"/>
      <c r="D238" s="182"/>
      <c r="E238" s="182"/>
      <c r="F238" s="182"/>
      <c r="G238" s="182"/>
      <c r="H238" s="17"/>
      <c r="I238" s="17"/>
      <c r="J238" s="17"/>
      <c r="K238" s="17"/>
      <c r="L238" s="17"/>
      <c r="M238" s="17"/>
      <c r="N238" s="17"/>
      <c r="O238" s="17"/>
    </row>
    <row r="239" spans="2:20" s="2" customFormat="1" ht="24" hidden="1" customHeight="1" x14ac:dyDescent="0.2">
      <c r="C239" s="181" t="s">
        <v>180</v>
      </c>
      <c r="D239" s="182"/>
      <c r="E239" s="182"/>
      <c r="F239" s="182"/>
      <c r="G239" s="182"/>
      <c r="H239" s="17"/>
      <c r="I239" s="362"/>
      <c r="J239" s="362"/>
      <c r="K239" s="184"/>
      <c r="L239" s="362"/>
      <c r="M239" s="362"/>
      <c r="N239" s="184"/>
      <c r="O239" s="362"/>
      <c r="P239" s="362"/>
      <c r="Q239" s="220"/>
    </row>
    <row r="240" spans="2:20" s="2" customFormat="1" ht="18.5" hidden="1" customHeight="1" x14ac:dyDescent="0.2">
      <c r="C240" s="181" t="s">
        <v>298</v>
      </c>
      <c r="D240" s="182"/>
      <c r="E240" s="182"/>
      <c r="F240" s="182"/>
      <c r="G240" s="182"/>
      <c r="H240" s="17"/>
      <c r="I240" s="220"/>
      <c r="J240" s="17"/>
      <c r="K240" s="17"/>
      <c r="L240" s="220"/>
      <c r="M240" s="17"/>
      <c r="N240" s="17"/>
      <c r="O240" s="220"/>
    </row>
    <row r="241" spans="2:17" s="2" customFormat="1" ht="18.5" hidden="1" customHeight="1" x14ac:dyDescent="0.2">
      <c r="C241" s="181" t="s">
        <v>299</v>
      </c>
      <c r="D241" s="182"/>
      <c r="E241" s="182"/>
      <c r="F241" s="182"/>
      <c r="G241" s="182"/>
      <c r="H241" s="17"/>
      <c r="I241" s="17"/>
      <c r="J241" s="17"/>
      <c r="K241" s="17"/>
      <c r="L241" s="17"/>
      <c r="M241" s="17"/>
      <c r="N241" s="17"/>
      <c r="O241" s="17"/>
    </row>
    <row r="242" spans="2:17" s="2" customFormat="1" ht="18.5" hidden="1" customHeight="1" x14ac:dyDescent="0.2">
      <c r="C242" s="181" t="s">
        <v>300</v>
      </c>
      <c r="D242" s="182"/>
      <c r="E242" s="182"/>
      <c r="F242" s="182"/>
      <c r="G242" s="182"/>
      <c r="H242" s="17"/>
      <c r="I242" s="17"/>
      <c r="J242" s="17"/>
      <c r="K242" s="17"/>
      <c r="L242" s="17"/>
      <c r="M242" s="17"/>
      <c r="N242" s="17"/>
      <c r="O242" s="17"/>
    </row>
    <row r="243" spans="2:17" s="2" customFormat="1" ht="18.5" hidden="1" customHeight="1" thickBot="1" x14ac:dyDescent="0.25">
      <c r="C243" s="181"/>
      <c r="D243" s="182"/>
      <c r="E243" s="182"/>
      <c r="F243" s="182"/>
      <c r="G243" s="182"/>
      <c r="H243" s="17"/>
      <c r="I243" s="17"/>
      <c r="J243" s="17"/>
      <c r="K243" s="17"/>
      <c r="L243" s="17"/>
      <c r="M243" s="17"/>
      <c r="N243" s="17"/>
      <c r="O243" s="17"/>
    </row>
    <row r="244" spans="2:17" s="2" customFormat="1" ht="33" hidden="1" customHeight="1" thickTop="1" x14ac:dyDescent="0.2">
      <c r="B244" s="185"/>
      <c r="C244" s="186" t="s">
        <v>301</v>
      </c>
      <c r="D244" s="187"/>
      <c r="E244" s="221">
        <f>I232</f>
        <v>0</v>
      </c>
      <c r="F244" s="187"/>
      <c r="G244" s="188"/>
      <c r="H244" s="188"/>
      <c r="I244" s="337">
        <f>L232</f>
        <v>0</v>
      </c>
      <c r="J244" s="337"/>
      <c r="K244" s="188"/>
      <c r="L244" s="188"/>
      <c r="M244" s="338">
        <f>O232</f>
        <v>0</v>
      </c>
      <c r="N244" s="338"/>
      <c r="O244" s="338"/>
      <c r="P244" s="189"/>
      <c r="Q244" s="190"/>
    </row>
    <row r="245" spans="2:17" s="2" customFormat="1" ht="33" hidden="1" customHeight="1" thickBot="1" x14ac:dyDescent="0.25">
      <c r="B245" s="191"/>
      <c r="C245" s="192"/>
      <c r="D245" s="193"/>
      <c r="E245" s="192" t="s">
        <v>302</v>
      </c>
      <c r="F245" s="339" t="str">
        <f>IFERROR(((I244-E244)/ABS(E244)),"-")</f>
        <v>-</v>
      </c>
      <c r="G245" s="339"/>
      <c r="H245" s="194"/>
      <c r="I245" s="194"/>
      <c r="J245" s="194"/>
      <c r="K245" s="339" t="str">
        <f>IFERROR(((M244-I244)/ABS(I244)),"-")</f>
        <v>-</v>
      </c>
      <c r="L245" s="339"/>
      <c r="M245" s="339"/>
      <c r="N245" s="194"/>
      <c r="O245" s="194"/>
      <c r="P245" s="195"/>
      <c r="Q245" s="196"/>
    </row>
    <row r="246" spans="2:17" s="2" customFormat="1" ht="33" hidden="1" customHeight="1" thickTop="1" x14ac:dyDescent="0.2">
      <c r="B246" s="185"/>
      <c r="C246" s="186" t="s">
        <v>303</v>
      </c>
      <c r="D246" s="187"/>
      <c r="E246" s="221">
        <f>I232-I233</f>
        <v>0</v>
      </c>
      <c r="F246" s="187"/>
      <c r="G246" s="188"/>
      <c r="H246" s="188"/>
      <c r="I246" s="337">
        <f>L232-L233</f>
        <v>0</v>
      </c>
      <c r="J246" s="337"/>
      <c r="K246" s="188"/>
      <c r="L246" s="188"/>
      <c r="M246" s="338">
        <f>O232-O233</f>
        <v>0</v>
      </c>
      <c r="N246" s="338"/>
      <c r="O246" s="338"/>
      <c r="P246" s="189"/>
      <c r="Q246" s="190"/>
    </row>
    <row r="247" spans="2:17" s="2" customFormat="1" ht="33" hidden="1" customHeight="1" x14ac:dyDescent="0.2">
      <c r="B247" s="197"/>
      <c r="C247" s="181" t="s">
        <v>304</v>
      </c>
      <c r="D247" s="182"/>
      <c r="E247" s="181"/>
      <c r="F247" s="181"/>
      <c r="G247" s="17"/>
      <c r="H247" s="17"/>
      <c r="I247" s="17"/>
      <c r="J247" s="17"/>
      <c r="K247" s="17"/>
      <c r="L247" s="17"/>
      <c r="M247" s="17"/>
      <c r="N247" s="17"/>
      <c r="O247" s="17"/>
      <c r="Q247" s="198"/>
    </row>
    <row r="248" spans="2:17" s="2" customFormat="1" ht="33" hidden="1" customHeight="1" thickBot="1" x14ac:dyDescent="0.25">
      <c r="B248" s="191"/>
      <c r="C248" s="192"/>
      <c r="D248" s="193"/>
      <c r="E248" s="192" t="s">
        <v>302</v>
      </c>
      <c r="F248" s="339" t="str">
        <f>IFERROR(((I246-E246)/ABS(E246)),"-")</f>
        <v>-</v>
      </c>
      <c r="G248" s="339"/>
      <c r="H248" s="194"/>
      <c r="I248" s="194"/>
      <c r="J248" s="194"/>
      <c r="K248" s="339" t="str">
        <f>IFERROR(((M246-I246)/ABS(I246)),"-")</f>
        <v>-</v>
      </c>
      <c r="L248" s="339"/>
      <c r="M248" s="339"/>
      <c r="N248" s="194"/>
      <c r="O248" s="194"/>
      <c r="P248" s="195"/>
      <c r="Q248" s="196"/>
    </row>
    <row r="249" spans="2:17" s="2" customFormat="1" ht="33" hidden="1" customHeight="1" thickTop="1" x14ac:dyDescent="0.2">
      <c r="B249" s="185"/>
      <c r="C249" s="186" t="s">
        <v>305</v>
      </c>
      <c r="D249" s="187"/>
      <c r="E249" s="221">
        <f>I234</f>
        <v>0</v>
      </c>
      <c r="F249" s="187"/>
      <c r="G249" s="188"/>
      <c r="H249" s="188"/>
      <c r="I249" s="337">
        <f>L234</f>
        <v>0</v>
      </c>
      <c r="J249" s="337"/>
      <c r="K249" s="188"/>
      <c r="L249" s="188"/>
      <c r="M249" s="338">
        <f>O234</f>
        <v>0</v>
      </c>
      <c r="N249" s="338"/>
      <c r="O249" s="338"/>
      <c r="P249" s="189"/>
      <c r="Q249" s="190"/>
    </row>
    <row r="250" spans="2:17" s="2" customFormat="1" ht="33" hidden="1" customHeight="1" thickBot="1" x14ac:dyDescent="0.25">
      <c r="B250" s="191"/>
      <c r="C250" s="192"/>
      <c r="D250" s="193"/>
      <c r="E250" s="192" t="s">
        <v>302</v>
      </c>
      <c r="F250" s="339" t="str">
        <f>IFERROR(((I249-E249)/ABS(E249)),"-")</f>
        <v>-</v>
      </c>
      <c r="G250" s="339"/>
      <c r="H250" s="194"/>
      <c r="I250" s="194"/>
      <c r="J250" s="194"/>
      <c r="K250" s="339" t="str">
        <f>IFERROR(((M249-I249)/ABS(I249)),"-")</f>
        <v>-</v>
      </c>
      <c r="L250" s="339"/>
      <c r="M250" s="339"/>
      <c r="N250" s="194"/>
      <c r="O250" s="194"/>
      <c r="P250" s="195"/>
      <c r="Q250" s="196"/>
    </row>
    <row r="251" spans="2:17" s="2" customFormat="1" ht="33" hidden="1" customHeight="1" thickTop="1" x14ac:dyDescent="0.2">
      <c r="B251" s="185"/>
      <c r="C251" s="186" t="s">
        <v>306</v>
      </c>
      <c r="D251" s="187"/>
      <c r="E251" s="221">
        <f>I234+I235</f>
        <v>0</v>
      </c>
      <c r="F251" s="340" t="str">
        <f>IFERROR(TEXT((E251/E246),"+0%;-0%")&amp;" *","n/a*")</f>
        <v>n/a*</v>
      </c>
      <c r="G251" s="340"/>
      <c r="H251" s="188"/>
      <c r="I251" s="337">
        <f>L234+L235</f>
        <v>0</v>
      </c>
      <c r="J251" s="337"/>
      <c r="K251" s="340" t="str">
        <f>IFERROR(TEXT((I251/I246),"+0%;-0%")&amp;" *","n/a*")</f>
        <v>n/a*</v>
      </c>
      <c r="L251" s="340"/>
      <c r="M251" s="338">
        <f>O234+O235</f>
        <v>0</v>
      </c>
      <c r="N251" s="338"/>
      <c r="O251" s="338"/>
      <c r="P251" s="340" t="str">
        <f>IFERROR(ROUND((M251/M246)*100,0)&amp;"% *","n/a*")</f>
        <v>n/a*</v>
      </c>
      <c r="Q251" s="341"/>
    </row>
    <row r="252" spans="2:17" s="2" customFormat="1" ht="33" hidden="1" customHeight="1" x14ac:dyDescent="0.2">
      <c r="B252" s="197"/>
      <c r="C252" s="181" t="s">
        <v>307</v>
      </c>
      <c r="D252" s="182"/>
      <c r="E252" s="181"/>
      <c r="F252" s="181"/>
      <c r="G252" s="17"/>
      <c r="H252" s="17"/>
      <c r="I252" s="17"/>
      <c r="J252" s="17"/>
      <c r="K252" s="17"/>
      <c r="L252" s="17"/>
      <c r="M252" s="17"/>
      <c r="N252" s="17"/>
      <c r="O252" s="17"/>
      <c r="Q252" s="198"/>
    </row>
    <row r="253" spans="2:17" s="2" customFormat="1" ht="33" hidden="1" customHeight="1" thickBot="1" x14ac:dyDescent="0.25">
      <c r="B253" s="191"/>
      <c r="C253" s="192"/>
      <c r="D253" s="193"/>
      <c r="E253" s="192" t="s">
        <v>302</v>
      </c>
      <c r="F253" s="339" t="str">
        <f>IFERROR(((I251-E251)/ABS(E251)),"-")</f>
        <v>-</v>
      </c>
      <c r="G253" s="339"/>
      <c r="H253" s="194"/>
      <c r="I253" s="194"/>
      <c r="J253" s="194"/>
      <c r="K253" s="339" t="str">
        <f>IFERROR(((M251-I251)/ABS(I251)),"-")</f>
        <v>-</v>
      </c>
      <c r="L253" s="339"/>
      <c r="M253" s="339"/>
      <c r="N253" s="194"/>
      <c r="O253" s="194"/>
      <c r="P253" s="195"/>
      <c r="Q253" s="196"/>
    </row>
    <row r="254" spans="2:17" s="2" customFormat="1" ht="33" hidden="1" customHeight="1" thickTop="1" x14ac:dyDescent="0.2">
      <c r="B254" s="185"/>
      <c r="C254" s="186" t="s">
        <v>308</v>
      </c>
      <c r="D254" s="187"/>
      <c r="E254" s="221">
        <f>I232-I233-I234</f>
        <v>0</v>
      </c>
      <c r="F254" s="187"/>
      <c r="G254" s="188"/>
      <c r="H254" s="188"/>
      <c r="I254" s="337">
        <f>L232-L233-L234</f>
        <v>0</v>
      </c>
      <c r="J254" s="337"/>
      <c r="K254" s="188"/>
      <c r="L254" s="188"/>
      <c r="M254" s="338">
        <f>O232-O233-O234</f>
        <v>0</v>
      </c>
      <c r="N254" s="338"/>
      <c r="O254" s="338"/>
      <c r="P254" s="189"/>
      <c r="Q254" s="190"/>
    </row>
    <row r="255" spans="2:17" s="2" customFormat="1" ht="33" hidden="1" customHeight="1" x14ac:dyDescent="0.2">
      <c r="B255" s="197"/>
      <c r="C255" s="181" t="s">
        <v>309</v>
      </c>
      <c r="D255" s="182"/>
      <c r="E255" s="181"/>
      <c r="F255" s="181"/>
      <c r="G255" s="17"/>
      <c r="H255" s="17"/>
      <c r="I255" s="17"/>
      <c r="J255" s="17"/>
      <c r="K255" s="17"/>
      <c r="L255" s="17"/>
      <c r="M255" s="17"/>
      <c r="N255" s="17"/>
      <c r="O255" s="17"/>
      <c r="Q255" s="198"/>
    </row>
    <row r="256" spans="2:17" s="2" customFormat="1" ht="33" hidden="1" customHeight="1" thickBot="1" x14ac:dyDescent="0.25">
      <c r="B256" s="191"/>
      <c r="C256" s="192"/>
      <c r="D256" s="193"/>
      <c r="E256" s="192" t="s">
        <v>302</v>
      </c>
      <c r="F256" s="339" t="str">
        <f>IFERROR(((I254-E254)/ABS(E254)),"-")</f>
        <v>-</v>
      </c>
      <c r="G256" s="339"/>
      <c r="H256" s="194"/>
      <c r="I256" s="194"/>
      <c r="J256" s="194"/>
      <c r="K256" s="339" t="str">
        <f>IFERROR(((M254-I254)/ABS(I254)),"-")</f>
        <v>-</v>
      </c>
      <c r="L256" s="339"/>
      <c r="M256" s="339"/>
      <c r="N256" s="194"/>
      <c r="O256" s="194"/>
      <c r="P256" s="195"/>
      <c r="Q256" s="196"/>
    </row>
    <row r="257" spans="2:20" s="2" customFormat="1" ht="33" hidden="1" customHeight="1" thickTop="1" x14ac:dyDescent="0.2">
      <c r="B257" s="185"/>
      <c r="C257" s="186" t="s">
        <v>180</v>
      </c>
      <c r="D257" s="187"/>
      <c r="E257" s="221">
        <f>I239</f>
        <v>0</v>
      </c>
      <c r="F257" s="351" t="str">
        <f>IFERROR(ROUND((E257/E246)*100,0)&amp;"% **","n/a**")</f>
        <v>n/a**</v>
      </c>
      <c r="G257" s="351"/>
      <c r="H257" s="188"/>
      <c r="I257" s="337">
        <f>L239</f>
        <v>0</v>
      </c>
      <c r="J257" s="337"/>
      <c r="K257" s="351" t="str">
        <f>IFERROR(TEXT((I257/I246),"+0%;-0%")&amp;" **","n/a**")</f>
        <v>n/a**</v>
      </c>
      <c r="L257" s="351"/>
      <c r="M257" s="338">
        <f>O239</f>
        <v>0</v>
      </c>
      <c r="N257" s="338"/>
      <c r="O257" s="338"/>
      <c r="P257" s="351" t="str">
        <f>IFERROR(ROUND((M257/M246)*100,0)&amp;"% **","n/a**")</f>
        <v>n/a**</v>
      </c>
      <c r="Q257" s="352"/>
    </row>
    <row r="258" spans="2:20" s="2" customFormat="1" ht="33" hidden="1" customHeight="1" thickBot="1" x14ac:dyDescent="0.25">
      <c r="B258" s="191"/>
      <c r="C258" s="192"/>
      <c r="D258" s="193"/>
      <c r="E258" s="192" t="s">
        <v>302</v>
      </c>
      <c r="F258" s="339" t="str">
        <f>IFERROR(((I257-E257)/ABS(E257)),"-")</f>
        <v>-</v>
      </c>
      <c r="G258" s="339"/>
      <c r="H258" s="194"/>
      <c r="I258" s="194"/>
      <c r="J258" s="194"/>
      <c r="K258" s="339" t="str">
        <f>IFERROR(((M257-I257)/ABS(I257)),"-")</f>
        <v>-</v>
      </c>
      <c r="L258" s="339"/>
      <c r="M258" s="339"/>
      <c r="N258" s="194"/>
      <c r="O258" s="194"/>
      <c r="P258" s="195"/>
      <c r="Q258" s="196"/>
    </row>
    <row r="259" spans="2:20" s="2" customFormat="1" ht="18.5" hidden="1" customHeight="1" thickTop="1" x14ac:dyDescent="0.2">
      <c r="B259" s="25"/>
      <c r="C259" s="25" t="s">
        <v>310</v>
      </c>
      <c r="D259" s="182"/>
      <c r="E259" s="182"/>
      <c r="F259" s="182"/>
      <c r="G259" s="17"/>
      <c r="H259" s="17"/>
      <c r="I259" s="17"/>
      <c r="J259" s="17"/>
      <c r="K259" s="17"/>
      <c r="L259" s="17"/>
      <c r="M259" s="17"/>
      <c r="N259" s="17"/>
      <c r="O259" s="17"/>
    </row>
    <row r="260" spans="2:20" ht="13.5" customHeight="1" thickTop="1" thickBot="1" x14ac:dyDescent="0.25"/>
    <row r="261" spans="2:20" s="2" customFormat="1" ht="21" customHeight="1" thickTop="1" thickBot="1" x14ac:dyDescent="0.25">
      <c r="B261" s="176"/>
      <c r="C261" s="177" t="s">
        <v>269</v>
      </c>
      <c r="D261" s="353"/>
      <c r="E261" s="353"/>
      <c r="F261" s="353"/>
      <c r="G261" s="354" t="s">
        <v>271</v>
      </c>
      <c r="H261" s="354"/>
      <c r="I261" s="355"/>
      <c r="J261" s="356"/>
      <c r="K261" s="178"/>
      <c r="L261" s="357" t="s">
        <v>272</v>
      </c>
      <c r="M261" s="354"/>
      <c r="N261" s="354"/>
      <c r="O261" s="358"/>
      <c r="P261" s="359"/>
      <c r="Q261" s="179"/>
    </row>
    <row r="262" spans="2:20" s="2" customFormat="1" ht="21" hidden="1" customHeight="1" thickTop="1" thickBot="1" x14ac:dyDescent="0.25">
      <c r="B262" s="176"/>
      <c r="C262" s="180" t="s">
        <v>270</v>
      </c>
      <c r="D262" s="353"/>
      <c r="E262" s="353"/>
      <c r="F262" s="353"/>
      <c r="G262" s="354"/>
      <c r="H262" s="354"/>
      <c r="I262" s="354"/>
      <c r="J262" s="354"/>
      <c r="K262" s="178"/>
      <c r="L262" s="357" t="s">
        <v>272</v>
      </c>
      <c r="M262" s="354"/>
      <c r="N262" s="354"/>
      <c r="O262" s="358"/>
      <c r="P262" s="359"/>
      <c r="Q262" s="179"/>
    </row>
    <row r="263" spans="2:20" s="2" customFormat="1" ht="24" hidden="1" customHeight="1" thickTop="1" thickBot="1" x14ac:dyDescent="0.25">
      <c r="C263" s="181"/>
      <c r="D263" s="182"/>
      <c r="E263" s="182"/>
      <c r="F263" s="363" t="s">
        <v>242</v>
      </c>
      <c r="G263" s="363"/>
      <c r="H263" s="17"/>
      <c r="I263" s="364"/>
      <c r="J263" s="364"/>
      <c r="K263" s="17"/>
      <c r="L263" s="364"/>
      <c r="M263" s="364"/>
      <c r="N263" s="17"/>
      <c r="O263" s="364"/>
      <c r="P263" s="364"/>
      <c r="Q263" s="64"/>
    </row>
    <row r="264" spans="2:20" s="2" customFormat="1" ht="24" hidden="1" customHeight="1" thickTop="1" thickBot="1" x14ac:dyDescent="0.25">
      <c r="C264" s="181" t="s">
        <v>292</v>
      </c>
      <c r="D264" s="182"/>
      <c r="E264" s="182"/>
      <c r="F264" s="182"/>
      <c r="G264" s="182"/>
      <c r="H264" s="17"/>
      <c r="I264" s="360"/>
      <c r="J264" s="360"/>
      <c r="K264" s="17"/>
      <c r="L264" s="360"/>
      <c r="M264" s="360"/>
      <c r="N264" s="17"/>
      <c r="O264" s="360"/>
      <c r="P264" s="360"/>
    </row>
    <row r="265" spans="2:20" s="2" customFormat="1" ht="24" hidden="1" customHeight="1" thickTop="1" thickBot="1" x14ac:dyDescent="0.25">
      <c r="C265" s="181" t="s">
        <v>293</v>
      </c>
      <c r="D265" s="182"/>
      <c r="E265" s="182"/>
      <c r="F265" s="182"/>
      <c r="G265" s="182"/>
      <c r="H265" s="17"/>
      <c r="I265" s="360"/>
      <c r="J265" s="360"/>
      <c r="K265" s="17"/>
      <c r="L265" s="360"/>
      <c r="M265" s="360"/>
      <c r="N265" s="17"/>
      <c r="O265" s="360"/>
      <c r="P265" s="360"/>
    </row>
    <row r="266" spans="2:20" s="2" customFormat="1" ht="24" hidden="1" customHeight="1" thickTop="1" thickBot="1" x14ac:dyDescent="0.25">
      <c r="C266" s="181" t="s">
        <v>294</v>
      </c>
      <c r="D266" s="182"/>
      <c r="E266" s="182"/>
      <c r="F266" s="182"/>
      <c r="G266" s="182"/>
      <c r="H266" s="17"/>
      <c r="I266" s="360"/>
      <c r="J266" s="360"/>
      <c r="K266" s="17"/>
      <c r="L266" s="360"/>
      <c r="M266" s="360"/>
      <c r="N266" s="17"/>
      <c r="O266" s="360"/>
      <c r="P266" s="360"/>
      <c r="T266" s="183"/>
    </row>
    <row r="267" spans="2:20" s="2" customFormat="1" ht="24" hidden="1" customHeight="1" thickTop="1" x14ac:dyDescent="0.2">
      <c r="C267" s="181" t="s">
        <v>295</v>
      </c>
      <c r="D267" s="182"/>
      <c r="E267" s="182"/>
      <c r="F267" s="182"/>
      <c r="G267" s="182"/>
      <c r="H267" s="17"/>
      <c r="I267" s="361"/>
      <c r="J267" s="361"/>
      <c r="K267" s="17"/>
      <c r="L267" s="361"/>
      <c r="M267" s="361"/>
      <c r="N267" s="17"/>
      <c r="O267" s="361"/>
      <c r="P267" s="361"/>
    </row>
    <row r="268" spans="2:20" s="2" customFormat="1" ht="17.5" hidden="1" customHeight="1" x14ac:dyDescent="0.2">
      <c r="C268" s="181" t="s">
        <v>296</v>
      </c>
      <c r="D268" s="182"/>
      <c r="E268" s="182"/>
      <c r="F268" s="182"/>
      <c r="G268" s="182"/>
      <c r="H268" s="17"/>
      <c r="I268" s="17"/>
      <c r="J268" s="17"/>
      <c r="K268" s="17"/>
      <c r="L268" s="17"/>
      <c r="M268" s="17"/>
      <c r="N268" s="17"/>
      <c r="O268" s="17"/>
    </row>
    <row r="269" spans="2:20" s="2" customFormat="1" ht="17.5" hidden="1" customHeight="1" x14ac:dyDescent="0.2">
      <c r="C269" s="181" t="s">
        <v>297</v>
      </c>
      <c r="D269" s="182"/>
      <c r="E269" s="182"/>
      <c r="F269" s="182"/>
      <c r="G269" s="182"/>
      <c r="H269" s="17"/>
      <c r="I269" s="17"/>
      <c r="J269" s="17"/>
      <c r="K269" s="17"/>
      <c r="L269" s="17"/>
      <c r="M269" s="17"/>
      <c r="N269" s="17"/>
      <c r="O269" s="17"/>
    </row>
    <row r="270" spans="2:20" s="2" customFormat="1" ht="24" hidden="1" customHeight="1" x14ac:dyDescent="0.2">
      <c r="C270" s="181"/>
      <c r="D270" s="182"/>
      <c r="E270" s="182"/>
      <c r="F270" s="182"/>
      <c r="G270" s="182"/>
      <c r="H270" s="17"/>
      <c r="I270" s="17"/>
      <c r="J270" s="17"/>
      <c r="K270" s="17"/>
      <c r="L270" s="17"/>
      <c r="M270" s="17"/>
      <c r="N270" s="17"/>
      <c r="O270" s="17"/>
    </row>
    <row r="271" spans="2:20" s="2" customFormat="1" ht="24" hidden="1" customHeight="1" x14ac:dyDescent="0.2">
      <c r="C271" s="181" t="s">
        <v>180</v>
      </c>
      <c r="D271" s="182"/>
      <c r="E271" s="182"/>
      <c r="F271" s="182"/>
      <c r="G271" s="182"/>
      <c r="H271" s="17"/>
      <c r="I271" s="362"/>
      <c r="J271" s="362"/>
      <c r="K271" s="184"/>
      <c r="L271" s="362"/>
      <c r="M271" s="362"/>
      <c r="N271" s="184"/>
      <c r="O271" s="362"/>
      <c r="P271" s="362"/>
      <c r="Q271" s="220"/>
    </row>
    <row r="272" spans="2:20" s="2" customFormat="1" ht="18.5" hidden="1" customHeight="1" x14ac:dyDescent="0.2">
      <c r="C272" s="181" t="s">
        <v>298</v>
      </c>
      <c r="D272" s="182"/>
      <c r="E272" s="182"/>
      <c r="F272" s="182"/>
      <c r="G272" s="182"/>
      <c r="H272" s="17"/>
      <c r="I272" s="220"/>
      <c r="J272" s="17"/>
      <c r="K272" s="17"/>
      <c r="L272" s="220"/>
      <c r="M272" s="17"/>
      <c r="N272" s="17"/>
      <c r="O272" s="220"/>
    </row>
    <row r="273" spans="2:17" s="2" customFormat="1" ht="18.5" hidden="1" customHeight="1" x14ac:dyDescent="0.2">
      <c r="C273" s="181" t="s">
        <v>299</v>
      </c>
      <c r="D273" s="182"/>
      <c r="E273" s="182"/>
      <c r="F273" s="182"/>
      <c r="G273" s="182"/>
      <c r="H273" s="17"/>
      <c r="I273" s="17"/>
      <c r="J273" s="17"/>
      <c r="K273" s="17"/>
      <c r="L273" s="17"/>
      <c r="M273" s="17"/>
      <c r="N273" s="17"/>
      <c r="O273" s="17"/>
    </row>
    <row r="274" spans="2:17" s="2" customFormat="1" ht="18.5" hidden="1" customHeight="1" x14ac:dyDescent="0.2">
      <c r="C274" s="181" t="s">
        <v>300</v>
      </c>
      <c r="D274" s="182"/>
      <c r="E274" s="182"/>
      <c r="F274" s="182"/>
      <c r="G274" s="182"/>
      <c r="H274" s="17"/>
      <c r="I274" s="17"/>
      <c r="J274" s="17"/>
      <c r="K274" s="17"/>
      <c r="L274" s="17"/>
      <c r="M274" s="17"/>
      <c r="N274" s="17"/>
      <c r="O274" s="17"/>
    </row>
    <row r="275" spans="2:17" s="2" customFormat="1" ht="18.5" hidden="1" customHeight="1" thickBot="1" x14ac:dyDescent="0.25">
      <c r="C275" s="181"/>
      <c r="D275" s="182"/>
      <c r="E275" s="182"/>
      <c r="F275" s="182"/>
      <c r="G275" s="182"/>
      <c r="H275" s="17"/>
      <c r="I275" s="17"/>
      <c r="J275" s="17"/>
      <c r="K275" s="17"/>
      <c r="L275" s="17"/>
      <c r="M275" s="17"/>
      <c r="N275" s="17"/>
      <c r="O275" s="17"/>
    </row>
    <row r="276" spans="2:17" s="2" customFormat="1" ht="33" hidden="1" customHeight="1" thickTop="1" x14ac:dyDescent="0.2">
      <c r="B276" s="185"/>
      <c r="C276" s="186" t="s">
        <v>301</v>
      </c>
      <c r="D276" s="187"/>
      <c r="E276" s="221">
        <f>I264</f>
        <v>0</v>
      </c>
      <c r="F276" s="187"/>
      <c r="G276" s="188"/>
      <c r="H276" s="188"/>
      <c r="I276" s="337">
        <f>L264</f>
        <v>0</v>
      </c>
      <c r="J276" s="337"/>
      <c r="K276" s="188"/>
      <c r="L276" s="188"/>
      <c r="M276" s="338">
        <f>O264</f>
        <v>0</v>
      </c>
      <c r="N276" s="338"/>
      <c r="O276" s="338"/>
      <c r="P276" s="189"/>
      <c r="Q276" s="190"/>
    </row>
    <row r="277" spans="2:17" s="2" customFormat="1" ht="33" hidden="1" customHeight="1" thickBot="1" x14ac:dyDescent="0.25">
      <c r="B277" s="191"/>
      <c r="C277" s="192"/>
      <c r="D277" s="193"/>
      <c r="E277" s="192" t="s">
        <v>302</v>
      </c>
      <c r="F277" s="339" t="str">
        <f>IFERROR(((I276-E276)/ABS(E276)),"-")</f>
        <v>-</v>
      </c>
      <c r="G277" s="339"/>
      <c r="H277" s="194"/>
      <c r="I277" s="194"/>
      <c r="J277" s="194"/>
      <c r="K277" s="339" t="str">
        <f>IFERROR(((M276-I276)/ABS(I276)),"-")</f>
        <v>-</v>
      </c>
      <c r="L277" s="339"/>
      <c r="M277" s="339"/>
      <c r="N277" s="194"/>
      <c r="O277" s="194"/>
      <c r="P277" s="195"/>
      <c r="Q277" s="196"/>
    </row>
    <row r="278" spans="2:17" s="2" customFormat="1" ht="33" hidden="1" customHeight="1" thickTop="1" x14ac:dyDescent="0.2">
      <c r="B278" s="185"/>
      <c r="C278" s="186" t="s">
        <v>303</v>
      </c>
      <c r="D278" s="187"/>
      <c r="E278" s="221">
        <f>I264-I265</f>
        <v>0</v>
      </c>
      <c r="F278" s="187"/>
      <c r="G278" s="188"/>
      <c r="H278" s="188"/>
      <c r="I278" s="337">
        <f>L264-L265</f>
        <v>0</v>
      </c>
      <c r="J278" s="337"/>
      <c r="K278" s="188"/>
      <c r="L278" s="188"/>
      <c r="M278" s="338">
        <f>O264-O265</f>
        <v>0</v>
      </c>
      <c r="N278" s="338"/>
      <c r="O278" s="338"/>
      <c r="P278" s="189"/>
      <c r="Q278" s="190"/>
    </row>
    <row r="279" spans="2:17" s="2" customFormat="1" ht="33" hidden="1" customHeight="1" x14ac:dyDescent="0.2">
      <c r="B279" s="197"/>
      <c r="C279" s="181" t="s">
        <v>304</v>
      </c>
      <c r="D279" s="182"/>
      <c r="E279" s="181"/>
      <c r="F279" s="181"/>
      <c r="G279" s="17"/>
      <c r="H279" s="17"/>
      <c r="I279" s="17"/>
      <c r="J279" s="17"/>
      <c r="K279" s="17"/>
      <c r="L279" s="17"/>
      <c r="M279" s="17"/>
      <c r="N279" s="17"/>
      <c r="O279" s="17"/>
      <c r="Q279" s="198"/>
    </row>
    <row r="280" spans="2:17" s="2" customFormat="1" ht="33" hidden="1" customHeight="1" thickBot="1" x14ac:dyDescent="0.25">
      <c r="B280" s="191"/>
      <c r="C280" s="192"/>
      <c r="D280" s="193"/>
      <c r="E280" s="192" t="s">
        <v>302</v>
      </c>
      <c r="F280" s="339" t="str">
        <f>IFERROR(((I278-E278)/ABS(E278)),"-")</f>
        <v>-</v>
      </c>
      <c r="G280" s="339"/>
      <c r="H280" s="194"/>
      <c r="I280" s="194"/>
      <c r="J280" s="194"/>
      <c r="K280" s="339" t="str">
        <f>IFERROR(((M278-I278)/ABS(I278)),"-")</f>
        <v>-</v>
      </c>
      <c r="L280" s="339"/>
      <c r="M280" s="339"/>
      <c r="N280" s="194"/>
      <c r="O280" s="194"/>
      <c r="P280" s="195"/>
      <c r="Q280" s="196"/>
    </row>
    <row r="281" spans="2:17" s="2" customFormat="1" ht="33" hidden="1" customHeight="1" thickTop="1" x14ac:dyDescent="0.2">
      <c r="B281" s="185"/>
      <c r="C281" s="186" t="s">
        <v>305</v>
      </c>
      <c r="D281" s="187"/>
      <c r="E281" s="221">
        <f>I266</f>
        <v>0</v>
      </c>
      <c r="F281" s="187"/>
      <c r="G281" s="188"/>
      <c r="H281" s="188"/>
      <c r="I281" s="337">
        <f>L266</f>
        <v>0</v>
      </c>
      <c r="J281" s="337"/>
      <c r="K281" s="188"/>
      <c r="L281" s="188"/>
      <c r="M281" s="338">
        <f>O266</f>
        <v>0</v>
      </c>
      <c r="N281" s="338"/>
      <c r="O281" s="338"/>
      <c r="P281" s="189"/>
      <c r="Q281" s="190"/>
    </row>
    <row r="282" spans="2:17" s="2" customFormat="1" ht="33" hidden="1" customHeight="1" thickBot="1" x14ac:dyDescent="0.25">
      <c r="B282" s="191"/>
      <c r="C282" s="192"/>
      <c r="D282" s="193"/>
      <c r="E282" s="192" t="s">
        <v>302</v>
      </c>
      <c r="F282" s="339" t="str">
        <f>IFERROR(((I281-E281)/ABS(E281)),"-")</f>
        <v>-</v>
      </c>
      <c r="G282" s="339"/>
      <c r="H282" s="194"/>
      <c r="I282" s="194"/>
      <c r="J282" s="194"/>
      <c r="K282" s="339" t="str">
        <f>IFERROR(((M281-I281)/ABS(I281)),"-")</f>
        <v>-</v>
      </c>
      <c r="L282" s="339"/>
      <c r="M282" s="339"/>
      <c r="N282" s="194"/>
      <c r="O282" s="194"/>
      <c r="P282" s="195"/>
      <c r="Q282" s="196"/>
    </row>
    <row r="283" spans="2:17" s="2" customFormat="1" ht="33" hidden="1" customHeight="1" thickTop="1" x14ac:dyDescent="0.2">
      <c r="B283" s="185"/>
      <c r="C283" s="186" t="s">
        <v>306</v>
      </c>
      <c r="D283" s="187"/>
      <c r="E283" s="221">
        <f>I266+I267</f>
        <v>0</v>
      </c>
      <c r="F283" s="340" t="str">
        <f>IFERROR(TEXT((E283/E278),"+0%;-0%")&amp;" *","n/a*")</f>
        <v>n/a*</v>
      </c>
      <c r="G283" s="340"/>
      <c r="H283" s="188"/>
      <c r="I283" s="337">
        <f>L266+L267</f>
        <v>0</v>
      </c>
      <c r="J283" s="337"/>
      <c r="K283" s="340" t="str">
        <f>IFERROR(TEXT((I283/I278),"+0%;-0%")&amp;" *","n/a*")</f>
        <v>n/a*</v>
      </c>
      <c r="L283" s="340"/>
      <c r="M283" s="338">
        <f>O266+O267</f>
        <v>0</v>
      </c>
      <c r="N283" s="338"/>
      <c r="O283" s="338"/>
      <c r="P283" s="340" t="str">
        <f>IFERROR(ROUND((M283/M278)*100,0)&amp;"% *","n/a*")</f>
        <v>n/a*</v>
      </c>
      <c r="Q283" s="341"/>
    </row>
    <row r="284" spans="2:17" s="2" customFormat="1" ht="33" hidden="1" customHeight="1" x14ac:dyDescent="0.2">
      <c r="B284" s="197"/>
      <c r="C284" s="181" t="s">
        <v>307</v>
      </c>
      <c r="D284" s="182"/>
      <c r="E284" s="181"/>
      <c r="F284" s="181"/>
      <c r="G284" s="17"/>
      <c r="H284" s="17"/>
      <c r="I284" s="17"/>
      <c r="J284" s="17"/>
      <c r="K284" s="17"/>
      <c r="L284" s="17"/>
      <c r="M284" s="17"/>
      <c r="N284" s="17"/>
      <c r="O284" s="17"/>
      <c r="Q284" s="198"/>
    </row>
    <row r="285" spans="2:17" s="2" customFormat="1" ht="33" hidden="1" customHeight="1" thickBot="1" x14ac:dyDescent="0.25">
      <c r="B285" s="191"/>
      <c r="C285" s="192"/>
      <c r="D285" s="193"/>
      <c r="E285" s="192" t="s">
        <v>302</v>
      </c>
      <c r="F285" s="339" t="str">
        <f>IFERROR(((I283-E283)/ABS(E283)),"-")</f>
        <v>-</v>
      </c>
      <c r="G285" s="339"/>
      <c r="H285" s="194"/>
      <c r="I285" s="194"/>
      <c r="J285" s="194"/>
      <c r="K285" s="339" t="str">
        <f>IFERROR(((M283-I283)/ABS(I283)),"-")</f>
        <v>-</v>
      </c>
      <c r="L285" s="339"/>
      <c r="M285" s="339"/>
      <c r="N285" s="194"/>
      <c r="O285" s="194"/>
      <c r="P285" s="195"/>
      <c r="Q285" s="196"/>
    </row>
    <row r="286" spans="2:17" s="2" customFormat="1" ht="33" hidden="1" customHeight="1" thickTop="1" x14ac:dyDescent="0.2">
      <c r="B286" s="185"/>
      <c r="C286" s="186" t="s">
        <v>308</v>
      </c>
      <c r="D286" s="187"/>
      <c r="E286" s="221">
        <f>I264-I265-I266</f>
        <v>0</v>
      </c>
      <c r="F286" s="187"/>
      <c r="G286" s="188"/>
      <c r="H286" s="188"/>
      <c r="I286" s="337">
        <f>L264-L265-L266</f>
        <v>0</v>
      </c>
      <c r="J286" s="337"/>
      <c r="K286" s="188"/>
      <c r="L286" s="188"/>
      <c r="M286" s="338">
        <f>O264-O265-O266</f>
        <v>0</v>
      </c>
      <c r="N286" s="338"/>
      <c r="O286" s="338"/>
      <c r="P286" s="189"/>
      <c r="Q286" s="190"/>
    </row>
    <row r="287" spans="2:17" s="2" customFormat="1" ht="33" hidden="1" customHeight="1" x14ac:dyDescent="0.2">
      <c r="B287" s="197"/>
      <c r="C287" s="181" t="s">
        <v>309</v>
      </c>
      <c r="D287" s="182"/>
      <c r="E287" s="181"/>
      <c r="F287" s="181"/>
      <c r="G287" s="17"/>
      <c r="H287" s="17"/>
      <c r="I287" s="17"/>
      <c r="J287" s="17"/>
      <c r="K287" s="17"/>
      <c r="L287" s="17"/>
      <c r="M287" s="17"/>
      <c r="N287" s="17"/>
      <c r="O287" s="17"/>
      <c r="Q287" s="198"/>
    </row>
    <row r="288" spans="2:17" s="2" customFormat="1" ht="33" hidden="1" customHeight="1" thickBot="1" x14ac:dyDescent="0.25">
      <c r="B288" s="191"/>
      <c r="C288" s="192"/>
      <c r="D288" s="193"/>
      <c r="E288" s="192" t="s">
        <v>302</v>
      </c>
      <c r="F288" s="339" t="str">
        <f>IFERROR(((I286-E286)/ABS(E286)),"-")</f>
        <v>-</v>
      </c>
      <c r="G288" s="339"/>
      <c r="H288" s="194"/>
      <c r="I288" s="194"/>
      <c r="J288" s="194"/>
      <c r="K288" s="339" t="str">
        <f>IFERROR(((M286-I286)/ABS(I286)),"-")</f>
        <v>-</v>
      </c>
      <c r="L288" s="339"/>
      <c r="M288" s="339"/>
      <c r="N288" s="194"/>
      <c r="O288" s="194"/>
      <c r="P288" s="195"/>
      <c r="Q288" s="196"/>
    </row>
    <row r="289" spans="2:20" s="2" customFormat="1" ht="33" hidden="1" customHeight="1" thickTop="1" x14ac:dyDescent="0.2">
      <c r="B289" s="185"/>
      <c r="C289" s="186" t="s">
        <v>180</v>
      </c>
      <c r="D289" s="187"/>
      <c r="E289" s="221">
        <f>I271</f>
        <v>0</v>
      </c>
      <c r="F289" s="351" t="str">
        <f>IFERROR(ROUND((E289/E278)*100,0)&amp;"% **","n/a**")</f>
        <v>n/a**</v>
      </c>
      <c r="G289" s="351"/>
      <c r="H289" s="188"/>
      <c r="I289" s="337">
        <f>L271</f>
        <v>0</v>
      </c>
      <c r="J289" s="337"/>
      <c r="K289" s="351" t="str">
        <f>IFERROR(TEXT((I289/I278),"+0%;-0%")&amp;" **","n/a**")</f>
        <v>n/a**</v>
      </c>
      <c r="L289" s="351"/>
      <c r="M289" s="338">
        <f>O271</f>
        <v>0</v>
      </c>
      <c r="N289" s="338"/>
      <c r="O289" s="338"/>
      <c r="P289" s="351" t="str">
        <f>IFERROR(ROUND((M289/M278)*100,0)&amp;"% **","n/a**")</f>
        <v>n/a**</v>
      </c>
      <c r="Q289" s="352"/>
    </row>
    <row r="290" spans="2:20" s="2" customFormat="1" ht="33" hidden="1" customHeight="1" thickBot="1" x14ac:dyDescent="0.25">
      <c r="B290" s="191"/>
      <c r="C290" s="192"/>
      <c r="D290" s="193"/>
      <c r="E290" s="192" t="s">
        <v>302</v>
      </c>
      <c r="F290" s="339" t="str">
        <f>IFERROR(((I289-E289)/ABS(E289)),"-")</f>
        <v>-</v>
      </c>
      <c r="G290" s="339"/>
      <c r="H290" s="194"/>
      <c r="I290" s="194"/>
      <c r="J290" s="194"/>
      <c r="K290" s="339" t="str">
        <f>IFERROR(((M289-I289)/ABS(I289)),"-")</f>
        <v>-</v>
      </c>
      <c r="L290" s="339"/>
      <c r="M290" s="339"/>
      <c r="N290" s="194"/>
      <c r="O290" s="194"/>
      <c r="P290" s="195"/>
      <c r="Q290" s="196"/>
    </row>
    <row r="291" spans="2:20" s="2" customFormat="1" ht="18.5" hidden="1" customHeight="1" thickTop="1" x14ac:dyDescent="0.2">
      <c r="B291" s="25"/>
      <c r="C291" s="25" t="s">
        <v>310</v>
      </c>
      <c r="D291" s="182"/>
      <c r="E291" s="182"/>
      <c r="F291" s="182"/>
      <c r="G291" s="17"/>
      <c r="H291" s="17"/>
      <c r="I291" s="17"/>
      <c r="J291" s="17"/>
      <c r="K291" s="17"/>
      <c r="L291" s="17"/>
      <c r="M291" s="17"/>
      <c r="N291" s="17"/>
      <c r="O291" s="17"/>
    </row>
    <row r="292" spans="2:20" ht="13.5" customHeight="1" thickTop="1" thickBot="1" x14ac:dyDescent="0.25"/>
    <row r="293" spans="2:20" s="2" customFormat="1" ht="21" customHeight="1" thickTop="1" thickBot="1" x14ac:dyDescent="0.25">
      <c r="B293" s="176"/>
      <c r="C293" s="177" t="s">
        <v>269</v>
      </c>
      <c r="D293" s="353"/>
      <c r="E293" s="353"/>
      <c r="F293" s="353"/>
      <c r="G293" s="354" t="s">
        <v>271</v>
      </c>
      <c r="H293" s="354"/>
      <c r="I293" s="355"/>
      <c r="J293" s="356"/>
      <c r="K293" s="178"/>
      <c r="L293" s="357" t="s">
        <v>272</v>
      </c>
      <c r="M293" s="354"/>
      <c r="N293" s="354"/>
      <c r="O293" s="358"/>
      <c r="P293" s="359"/>
      <c r="Q293" s="179"/>
    </row>
    <row r="294" spans="2:20" s="2" customFormat="1" ht="21" hidden="1" customHeight="1" thickTop="1" thickBot="1" x14ac:dyDescent="0.25">
      <c r="B294" s="176"/>
      <c r="C294" s="180" t="s">
        <v>270</v>
      </c>
      <c r="D294" s="353"/>
      <c r="E294" s="353"/>
      <c r="F294" s="353"/>
      <c r="G294" s="354"/>
      <c r="H294" s="354"/>
      <c r="I294" s="354"/>
      <c r="J294" s="354"/>
      <c r="K294" s="178"/>
      <c r="L294" s="357" t="s">
        <v>272</v>
      </c>
      <c r="M294" s="354"/>
      <c r="N294" s="354"/>
      <c r="O294" s="358"/>
      <c r="P294" s="359"/>
      <c r="Q294" s="179"/>
    </row>
    <row r="295" spans="2:20" s="2" customFormat="1" ht="24" hidden="1" customHeight="1" thickTop="1" thickBot="1" x14ac:dyDescent="0.25">
      <c r="C295" s="181"/>
      <c r="D295" s="182"/>
      <c r="E295" s="182"/>
      <c r="F295" s="363" t="s">
        <v>242</v>
      </c>
      <c r="G295" s="363"/>
      <c r="H295" s="17"/>
      <c r="I295" s="364"/>
      <c r="J295" s="364"/>
      <c r="K295" s="17"/>
      <c r="L295" s="364"/>
      <c r="M295" s="364"/>
      <c r="N295" s="17"/>
      <c r="O295" s="364"/>
      <c r="P295" s="364"/>
      <c r="Q295" s="64"/>
    </row>
    <row r="296" spans="2:20" s="2" customFormat="1" ht="24" hidden="1" customHeight="1" thickTop="1" thickBot="1" x14ac:dyDescent="0.25">
      <c r="C296" s="181" t="s">
        <v>292</v>
      </c>
      <c r="D296" s="182"/>
      <c r="E296" s="182"/>
      <c r="F296" s="182"/>
      <c r="G296" s="182"/>
      <c r="H296" s="17"/>
      <c r="I296" s="360"/>
      <c r="J296" s="360"/>
      <c r="K296" s="17"/>
      <c r="L296" s="360"/>
      <c r="M296" s="360"/>
      <c r="N296" s="17"/>
      <c r="O296" s="360"/>
      <c r="P296" s="360"/>
    </row>
    <row r="297" spans="2:20" s="2" customFormat="1" ht="24" hidden="1" customHeight="1" thickTop="1" thickBot="1" x14ac:dyDescent="0.25">
      <c r="C297" s="181" t="s">
        <v>293</v>
      </c>
      <c r="D297" s="182"/>
      <c r="E297" s="182"/>
      <c r="F297" s="182"/>
      <c r="G297" s="182"/>
      <c r="H297" s="17"/>
      <c r="I297" s="360"/>
      <c r="J297" s="360"/>
      <c r="K297" s="17"/>
      <c r="L297" s="360"/>
      <c r="M297" s="360"/>
      <c r="N297" s="17"/>
      <c r="O297" s="360"/>
      <c r="P297" s="360"/>
    </row>
    <row r="298" spans="2:20" s="2" customFormat="1" ht="24" hidden="1" customHeight="1" thickTop="1" thickBot="1" x14ac:dyDescent="0.25">
      <c r="C298" s="181" t="s">
        <v>294</v>
      </c>
      <c r="D298" s="182"/>
      <c r="E298" s="182"/>
      <c r="F298" s="182"/>
      <c r="G298" s="182"/>
      <c r="H298" s="17"/>
      <c r="I298" s="360"/>
      <c r="J298" s="360"/>
      <c r="K298" s="17"/>
      <c r="L298" s="360"/>
      <c r="M298" s="360"/>
      <c r="N298" s="17"/>
      <c r="O298" s="360"/>
      <c r="P298" s="360"/>
      <c r="T298" s="183"/>
    </row>
    <row r="299" spans="2:20" s="2" customFormat="1" ht="24" hidden="1" customHeight="1" thickTop="1" x14ac:dyDescent="0.2">
      <c r="C299" s="181" t="s">
        <v>295</v>
      </c>
      <c r="D299" s="182"/>
      <c r="E299" s="182"/>
      <c r="F299" s="182"/>
      <c r="G299" s="182"/>
      <c r="H299" s="17"/>
      <c r="I299" s="361"/>
      <c r="J299" s="361"/>
      <c r="K299" s="17"/>
      <c r="L299" s="361"/>
      <c r="M299" s="361"/>
      <c r="N299" s="17"/>
      <c r="O299" s="361"/>
      <c r="P299" s="361"/>
    </row>
    <row r="300" spans="2:20" s="2" customFormat="1" ht="17.5" hidden="1" customHeight="1" x14ac:dyDescent="0.2">
      <c r="C300" s="181" t="s">
        <v>296</v>
      </c>
      <c r="D300" s="182"/>
      <c r="E300" s="182"/>
      <c r="F300" s="182"/>
      <c r="G300" s="182"/>
      <c r="H300" s="17"/>
      <c r="I300" s="17"/>
      <c r="J300" s="17"/>
      <c r="K300" s="17"/>
      <c r="L300" s="17"/>
      <c r="M300" s="17"/>
      <c r="N300" s="17"/>
      <c r="O300" s="17"/>
    </row>
    <row r="301" spans="2:20" s="2" customFormat="1" ht="17.5" hidden="1" customHeight="1" x14ac:dyDescent="0.2">
      <c r="C301" s="181" t="s">
        <v>297</v>
      </c>
      <c r="D301" s="182"/>
      <c r="E301" s="182"/>
      <c r="F301" s="182"/>
      <c r="G301" s="182"/>
      <c r="H301" s="17"/>
      <c r="I301" s="17"/>
      <c r="J301" s="17"/>
      <c r="K301" s="17"/>
      <c r="L301" s="17"/>
      <c r="M301" s="17"/>
      <c r="N301" s="17"/>
      <c r="O301" s="17"/>
    </row>
    <row r="302" spans="2:20" s="2" customFormat="1" ht="24" hidden="1" customHeight="1" x14ac:dyDescent="0.2">
      <c r="C302" s="181"/>
      <c r="D302" s="182"/>
      <c r="E302" s="182"/>
      <c r="F302" s="182"/>
      <c r="G302" s="182"/>
      <c r="H302" s="17"/>
      <c r="I302" s="17"/>
      <c r="J302" s="17"/>
      <c r="K302" s="17"/>
      <c r="L302" s="17"/>
      <c r="M302" s="17"/>
      <c r="N302" s="17"/>
      <c r="O302" s="17"/>
    </row>
    <row r="303" spans="2:20" s="2" customFormat="1" ht="24" hidden="1" customHeight="1" x14ac:dyDescent="0.2">
      <c r="C303" s="181" t="s">
        <v>180</v>
      </c>
      <c r="D303" s="182"/>
      <c r="E303" s="182"/>
      <c r="F303" s="182"/>
      <c r="G303" s="182"/>
      <c r="H303" s="17"/>
      <c r="I303" s="362"/>
      <c r="J303" s="362"/>
      <c r="K303" s="184"/>
      <c r="L303" s="362"/>
      <c r="M303" s="362"/>
      <c r="N303" s="184"/>
      <c r="O303" s="362"/>
      <c r="P303" s="362"/>
      <c r="Q303" s="220"/>
    </row>
    <row r="304" spans="2:20" s="2" customFormat="1" ht="18.5" hidden="1" customHeight="1" x14ac:dyDescent="0.2">
      <c r="C304" s="181" t="s">
        <v>298</v>
      </c>
      <c r="D304" s="182"/>
      <c r="E304" s="182"/>
      <c r="F304" s="182"/>
      <c r="G304" s="182"/>
      <c r="H304" s="17"/>
      <c r="I304" s="220"/>
      <c r="J304" s="17"/>
      <c r="K304" s="17"/>
      <c r="L304" s="220"/>
      <c r="M304" s="17"/>
      <c r="N304" s="17"/>
      <c r="O304" s="220"/>
    </row>
    <row r="305" spans="2:17" s="2" customFormat="1" ht="18.5" hidden="1" customHeight="1" x14ac:dyDescent="0.2">
      <c r="C305" s="181" t="s">
        <v>299</v>
      </c>
      <c r="D305" s="182"/>
      <c r="E305" s="182"/>
      <c r="F305" s="182"/>
      <c r="G305" s="182"/>
      <c r="H305" s="17"/>
      <c r="I305" s="17"/>
      <c r="J305" s="17"/>
      <c r="K305" s="17"/>
      <c r="L305" s="17"/>
      <c r="M305" s="17"/>
      <c r="N305" s="17"/>
      <c r="O305" s="17"/>
    </row>
    <row r="306" spans="2:17" s="2" customFormat="1" ht="18.5" hidden="1" customHeight="1" x14ac:dyDescent="0.2">
      <c r="C306" s="181" t="s">
        <v>300</v>
      </c>
      <c r="D306" s="182"/>
      <c r="E306" s="182"/>
      <c r="F306" s="182"/>
      <c r="G306" s="182"/>
      <c r="H306" s="17"/>
      <c r="I306" s="17"/>
      <c r="J306" s="17"/>
      <c r="K306" s="17"/>
      <c r="L306" s="17"/>
      <c r="M306" s="17"/>
      <c r="N306" s="17"/>
      <c r="O306" s="17"/>
    </row>
    <row r="307" spans="2:17" s="2" customFormat="1" ht="18.5" hidden="1" customHeight="1" thickBot="1" x14ac:dyDescent="0.25">
      <c r="C307" s="181"/>
      <c r="D307" s="182"/>
      <c r="E307" s="182"/>
      <c r="F307" s="182"/>
      <c r="G307" s="182"/>
      <c r="H307" s="17"/>
      <c r="I307" s="17"/>
      <c r="J307" s="17"/>
      <c r="K307" s="17"/>
      <c r="L307" s="17"/>
      <c r="M307" s="17"/>
      <c r="N307" s="17"/>
      <c r="O307" s="17"/>
    </row>
    <row r="308" spans="2:17" s="2" customFormat="1" ht="33" hidden="1" customHeight="1" thickTop="1" x14ac:dyDescent="0.2">
      <c r="B308" s="185"/>
      <c r="C308" s="186" t="s">
        <v>301</v>
      </c>
      <c r="D308" s="187"/>
      <c r="E308" s="221">
        <f>I296</f>
        <v>0</v>
      </c>
      <c r="F308" s="187"/>
      <c r="G308" s="188"/>
      <c r="H308" s="188"/>
      <c r="I308" s="337">
        <f>L296</f>
        <v>0</v>
      </c>
      <c r="J308" s="337"/>
      <c r="K308" s="188"/>
      <c r="L308" s="188"/>
      <c r="M308" s="338">
        <f>O296</f>
        <v>0</v>
      </c>
      <c r="N308" s="338"/>
      <c r="O308" s="338"/>
      <c r="P308" s="189"/>
      <c r="Q308" s="190"/>
    </row>
    <row r="309" spans="2:17" s="2" customFormat="1" ht="33" hidden="1" customHeight="1" thickBot="1" x14ac:dyDescent="0.25">
      <c r="B309" s="191"/>
      <c r="C309" s="192"/>
      <c r="D309" s="193"/>
      <c r="E309" s="192" t="s">
        <v>302</v>
      </c>
      <c r="F309" s="339" t="str">
        <f>IFERROR(((I308-E308)/ABS(E308)),"-")</f>
        <v>-</v>
      </c>
      <c r="G309" s="339"/>
      <c r="H309" s="194"/>
      <c r="I309" s="194"/>
      <c r="J309" s="194"/>
      <c r="K309" s="339" t="str">
        <f>IFERROR(((M308-I308)/ABS(I308)),"-")</f>
        <v>-</v>
      </c>
      <c r="L309" s="339"/>
      <c r="M309" s="339"/>
      <c r="N309" s="194"/>
      <c r="O309" s="194"/>
      <c r="P309" s="195"/>
      <c r="Q309" s="196"/>
    </row>
    <row r="310" spans="2:17" s="2" customFormat="1" ht="33" hidden="1" customHeight="1" thickTop="1" x14ac:dyDescent="0.2">
      <c r="B310" s="185"/>
      <c r="C310" s="186" t="s">
        <v>303</v>
      </c>
      <c r="D310" s="187"/>
      <c r="E310" s="221">
        <f>I296-I297</f>
        <v>0</v>
      </c>
      <c r="F310" s="187"/>
      <c r="G310" s="188"/>
      <c r="H310" s="188"/>
      <c r="I310" s="337">
        <f>L296-L297</f>
        <v>0</v>
      </c>
      <c r="J310" s="337"/>
      <c r="K310" s="188"/>
      <c r="L310" s="188"/>
      <c r="M310" s="338">
        <f>O296-O297</f>
        <v>0</v>
      </c>
      <c r="N310" s="338"/>
      <c r="O310" s="338"/>
      <c r="P310" s="189"/>
      <c r="Q310" s="190"/>
    </row>
    <row r="311" spans="2:17" s="2" customFormat="1" ht="33" hidden="1" customHeight="1" x14ac:dyDescent="0.2">
      <c r="B311" s="197"/>
      <c r="C311" s="181" t="s">
        <v>304</v>
      </c>
      <c r="D311" s="182"/>
      <c r="E311" s="181"/>
      <c r="F311" s="181"/>
      <c r="G311" s="17"/>
      <c r="H311" s="17"/>
      <c r="I311" s="17"/>
      <c r="J311" s="17"/>
      <c r="K311" s="17"/>
      <c r="L311" s="17"/>
      <c r="M311" s="17"/>
      <c r="N311" s="17"/>
      <c r="O311" s="17"/>
      <c r="Q311" s="198"/>
    </row>
    <row r="312" spans="2:17" s="2" customFormat="1" ht="33" hidden="1" customHeight="1" thickBot="1" x14ac:dyDescent="0.25">
      <c r="B312" s="191"/>
      <c r="C312" s="192"/>
      <c r="D312" s="193"/>
      <c r="E312" s="192" t="s">
        <v>302</v>
      </c>
      <c r="F312" s="339" t="str">
        <f>IFERROR(((I310-E310)/ABS(E310)),"-")</f>
        <v>-</v>
      </c>
      <c r="G312" s="339"/>
      <c r="H312" s="194"/>
      <c r="I312" s="194"/>
      <c r="J312" s="194"/>
      <c r="K312" s="339" t="str">
        <f>IFERROR(((M310-I310)/ABS(I310)),"-")</f>
        <v>-</v>
      </c>
      <c r="L312" s="339"/>
      <c r="M312" s="339"/>
      <c r="N312" s="194"/>
      <c r="O312" s="194"/>
      <c r="P312" s="195"/>
      <c r="Q312" s="196"/>
    </row>
    <row r="313" spans="2:17" s="2" customFormat="1" ht="33" hidden="1" customHeight="1" thickTop="1" x14ac:dyDescent="0.2">
      <c r="B313" s="185"/>
      <c r="C313" s="186" t="s">
        <v>305</v>
      </c>
      <c r="D313" s="187"/>
      <c r="E313" s="221">
        <f>I298</f>
        <v>0</v>
      </c>
      <c r="F313" s="187"/>
      <c r="G313" s="188"/>
      <c r="H313" s="188"/>
      <c r="I313" s="337">
        <f>L298</f>
        <v>0</v>
      </c>
      <c r="J313" s="337"/>
      <c r="K313" s="188"/>
      <c r="L313" s="188"/>
      <c r="M313" s="338">
        <f>O298</f>
        <v>0</v>
      </c>
      <c r="N313" s="338"/>
      <c r="O313" s="338"/>
      <c r="P313" s="189"/>
      <c r="Q313" s="190"/>
    </row>
    <row r="314" spans="2:17" s="2" customFormat="1" ht="33" hidden="1" customHeight="1" thickBot="1" x14ac:dyDescent="0.25">
      <c r="B314" s="191"/>
      <c r="C314" s="192"/>
      <c r="D314" s="193"/>
      <c r="E314" s="192" t="s">
        <v>302</v>
      </c>
      <c r="F314" s="339" t="str">
        <f>IFERROR(((I313-E313)/ABS(E313)),"-")</f>
        <v>-</v>
      </c>
      <c r="G314" s="339"/>
      <c r="H314" s="194"/>
      <c r="I314" s="194"/>
      <c r="J314" s="194"/>
      <c r="K314" s="339" t="str">
        <f>IFERROR(((M313-I313)/ABS(I313)),"-")</f>
        <v>-</v>
      </c>
      <c r="L314" s="339"/>
      <c r="M314" s="339"/>
      <c r="N314" s="194"/>
      <c r="O314" s="194"/>
      <c r="P314" s="195"/>
      <c r="Q314" s="196"/>
    </row>
    <row r="315" spans="2:17" s="2" customFormat="1" ht="33" hidden="1" customHeight="1" thickTop="1" x14ac:dyDescent="0.2">
      <c r="B315" s="185"/>
      <c r="C315" s="186" t="s">
        <v>306</v>
      </c>
      <c r="D315" s="187"/>
      <c r="E315" s="221">
        <f>I298+I299</f>
        <v>0</v>
      </c>
      <c r="F315" s="340" t="str">
        <f>IFERROR(TEXT((E315/E310),"+0%;-0%")&amp;" *","n/a*")</f>
        <v>n/a*</v>
      </c>
      <c r="G315" s="340"/>
      <c r="H315" s="188"/>
      <c r="I315" s="337">
        <f>L298+L299</f>
        <v>0</v>
      </c>
      <c r="J315" s="337"/>
      <c r="K315" s="340" t="str">
        <f>IFERROR(TEXT((I315/I310),"+0%;-0%")&amp;" *","n/a*")</f>
        <v>n/a*</v>
      </c>
      <c r="L315" s="340"/>
      <c r="M315" s="338">
        <f>O298+O299</f>
        <v>0</v>
      </c>
      <c r="N315" s="338"/>
      <c r="O315" s="338"/>
      <c r="P315" s="340" t="str">
        <f>IFERROR(ROUND((M315/M310)*100,0)&amp;"% *","n/a*")</f>
        <v>n/a*</v>
      </c>
      <c r="Q315" s="341"/>
    </row>
    <row r="316" spans="2:17" s="2" customFormat="1" ht="33" hidden="1" customHeight="1" x14ac:dyDescent="0.2">
      <c r="B316" s="197"/>
      <c r="C316" s="181" t="s">
        <v>307</v>
      </c>
      <c r="D316" s="182"/>
      <c r="E316" s="181"/>
      <c r="F316" s="181"/>
      <c r="G316" s="17"/>
      <c r="H316" s="17"/>
      <c r="I316" s="17"/>
      <c r="J316" s="17"/>
      <c r="K316" s="17"/>
      <c r="L316" s="17"/>
      <c r="M316" s="17"/>
      <c r="N316" s="17"/>
      <c r="O316" s="17"/>
      <c r="Q316" s="198"/>
    </row>
    <row r="317" spans="2:17" s="2" customFormat="1" ht="33" hidden="1" customHeight="1" thickBot="1" x14ac:dyDescent="0.25">
      <c r="B317" s="191"/>
      <c r="C317" s="192"/>
      <c r="D317" s="193"/>
      <c r="E317" s="192" t="s">
        <v>302</v>
      </c>
      <c r="F317" s="339" t="str">
        <f>IFERROR(((I315-E315)/ABS(E315)),"-")</f>
        <v>-</v>
      </c>
      <c r="G317" s="339"/>
      <c r="H317" s="194"/>
      <c r="I317" s="194"/>
      <c r="J317" s="194"/>
      <c r="K317" s="339" t="str">
        <f>IFERROR(((M315-I315)/ABS(I315)),"-")</f>
        <v>-</v>
      </c>
      <c r="L317" s="339"/>
      <c r="M317" s="339"/>
      <c r="N317" s="194"/>
      <c r="O317" s="194"/>
      <c r="P317" s="195"/>
      <c r="Q317" s="196"/>
    </row>
    <row r="318" spans="2:17" s="2" customFormat="1" ht="33" hidden="1" customHeight="1" thickTop="1" x14ac:dyDescent="0.2">
      <c r="B318" s="185"/>
      <c r="C318" s="186" t="s">
        <v>308</v>
      </c>
      <c r="D318" s="187"/>
      <c r="E318" s="221">
        <f>I296-I297-I298</f>
        <v>0</v>
      </c>
      <c r="F318" s="187"/>
      <c r="G318" s="188"/>
      <c r="H318" s="188"/>
      <c r="I318" s="337">
        <f>L296-L297-L298</f>
        <v>0</v>
      </c>
      <c r="J318" s="337"/>
      <c r="K318" s="188"/>
      <c r="L318" s="188"/>
      <c r="M318" s="338">
        <f>O296-O297-O298</f>
        <v>0</v>
      </c>
      <c r="N318" s="338"/>
      <c r="O318" s="338"/>
      <c r="P318" s="189"/>
      <c r="Q318" s="190"/>
    </row>
    <row r="319" spans="2:17" s="2" customFormat="1" ht="33" hidden="1" customHeight="1" x14ac:dyDescent="0.2">
      <c r="B319" s="197"/>
      <c r="C319" s="181" t="s">
        <v>309</v>
      </c>
      <c r="D319" s="182"/>
      <c r="E319" s="181"/>
      <c r="F319" s="181"/>
      <c r="G319" s="17"/>
      <c r="H319" s="17"/>
      <c r="I319" s="17"/>
      <c r="J319" s="17"/>
      <c r="K319" s="17"/>
      <c r="L319" s="17"/>
      <c r="M319" s="17"/>
      <c r="N319" s="17"/>
      <c r="O319" s="17"/>
      <c r="Q319" s="198"/>
    </row>
    <row r="320" spans="2:17" s="2" customFormat="1" ht="33" hidden="1" customHeight="1" thickBot="1" x14ac:dyDescent="0.25">
      <c r="B320" s="191"/>
      <c r="C320" s="192"/>
      <c r="D320" s="193"/>
      <c r="E320" s="192" t="s">
        <v>302</v>
      </c>
      <c r="F320" s="339" t="str">
        <f>IFERROR(((I318-E318)/ABS(E318)),"-")</f>
        <v>-</v>
      </c>
      <c r="G320" s="339"/>
      <c r="H320" s="194"/>
      <c r="I320" s="194"/>
      <c r="J320" s="194"/>
      <c r="K320" s="339" t="str">
        <f>IFERROR(((M318-I318)/ABS(I318)),"-")</f>
        <v>-</v>
      </c>
      <c r="L320" s="339"/>
      <c r="M320" s="339"/>
      <c r="N320" s="194"/>
      <c r="O320" s="194"/>
      <c r="P320" s="195"/>
      <c r="Q320" s="196"/>
    </row>
    <row r="321" spans="2:20" s="2" customFormat="1" ht="33" hidden="1" customHeight="1" thickTop="1" x14ac:dyDescent="0.2">
      <c r="B321" s="185"/>
      <c r="C321" s="186" t="s">
        <v>180</v>
      </c>
      <c r="D321" s="187"/>
      <c r="E321" s="221">
        <f>I303</f>
        <v>0</v>
      </c>
      <c r="F321" s="351" t="str">
        <f>IFERROR(ROUND((E321/E310)*100,0)&amp;"% **","n/a**")</f>
        <v>n/a**</v>
      </c>
      <c r="G321" s="351"/>
      <c r="H321" s="188"/>
      <c r="I321" s="337">
        <f>L303</f>
        <v>0</v>
      </c>
      <c r="J321" s="337"/>
      <c r="K321" s="351" t="str">
        <f>IFERROR(TEXT((I321/I310),"+0%;-0%")&amp;" **","n/a**")</f>
        <v>n/a**</v>
      </c>
      <c r="L321" s="351"/>
      <c r="M321" s="338">
        <f>O303</f>
        <v>0</v>
      </c>
      <c r="N321" s="338"/>
      <c r="O321" s="338"/>
      <c r="P321" s="351" t="str">
        <f>IFERROR(ROUND((M321/M310)*100,0)&amp;"% **","n/a**")</f>
        <v>n/a**</v>
      </c>
      <c r="Q321" s="352"/>
    </row>
    <row r="322" spans="2:20" s="2" customFormat="1" ht="33" hidden="1" customHeight="1" thickBot="1" x14ac:dyDescent="0.25">
      <c r="B322" s="191"/>
      <c r="C322" s="192"/>
      <c r="D322" s="193"/>
      <c r="E322" s="192" t="s">
        <v>302</v>
      </c>
      <c r="F322" s="339" t="str">
        <f>IFERROR(((I321-E321)/ABS(E321)),"-")</f>
        <v>-</v>
      </c>
      <c r="G322" s="339"/>
      <c r="H322" s="194"/>
      <c r="I322" s="194"/>
      <c r="J322" s="194"/>
      <c r="K322" s="339" t="str">
        <f>IFERROR(((M321-I321)/ABS(I321)),"-")</f>
        <v>-</v>
      </c>
      <c r="L322" s="339"/>
      <c r="M322" s="339"/>
      <c r="N322" s="194"/>
      <c r="O322" s="194"/>
      <c r="P322" s="195"/>
      <c r="Q322" s="196"/>
    </row>
    <row r="323" spans="2:20" s="2" customFormat="1" ht="18.5" hidden="1" customHeight="1" thickTop="1" x14ac:dyDescent="0.2">
      <c r="B323" s="25"/>
      <c r="C323" s="25" t="s">
        <v>310</v>
      </c>
      <c r="D323" s="182"/>
      <c r="E323" s="182"/>
      <c r="F323" s="182"/>
      <c r="G323" s="17"/>
      <c r="H323" s="17"/>
      <c r="I323" s="17"/>
      <c r="J323" s="17"/>
      <c r="K323" s="17"/>
      <c r="L323" s="17"/>
      <c r="M323" s="17"/>
      <c r="N323" s="17"/>
      <c r="O323" s="17"/>
    </row>
    <row r="324" spans="2:20" ht="13.5" customHeight="1" thickTop="1" thickBot="1" x14ac:dyDescent="0.25"/>
    <row r="325" spans="2:20" s="2" customFormat="1" ht="21" customHeight="1" thickTop="1" thickBot="1" x14ac:dyDescent="0.25">
      <c r="B325" s="176"/>
      <c r="C325" s="177" t="s">
        <v>269</v>
      </c>
      <c r="D325" s="353"/>
      <c r="E325" s="353"/>
      <c r="F325" s="353"/>
      <c r="G325" s="354" t="s">
        <v>271</v>
      </c>
      <c r="H325" s="354"/>
      <c r="I325" s="355"/>
      <c r="J325" s="356"/>
      <c r="K325" s="178"/>
      <c r="L325" s="357" t="s">
        <v>272</v>
      </c>
      <c r="M325" s="354"/>
      <c r="N325" s="354"/>
      <c r="O325" s="358"/>
      <c r="P325" s="359"/>
      <c r="Q325" s="179"/>
    </row>
    <row r="326" spans="2:20" s="2" customFormat="1" ht="21" hidden="1" customHeight="1" thickTop="1" thickBot="1" x14ac:dyDescent="0.25">
      <c r="B326" s="176"/>
      <c r="C326" s="180" t="s">
        <v>270</v>
      </c>
      <c r="D326" s="353"/>
      <c r="E326" s="353"/>
      <c r="F326" s="353"/>
      <c r="G326" s="354"/>
      <c r="H326" s="354"/>
      <c r="I326" s="354"/>
      <c r="J326" s="354"/>
      <c r="K326" s="178"/>
      <c r="L326" s="357" t="s">
        <v>272</v>
      </c>
      <c r="M326" s="354"/>
      <c r="N326" s="354"/>
      <c r="O326" s="358"/>
      <c r="P326" s="359"/>
      <c r="Q326" s="179"/>
    </row>
    <row r="327" spans="2:20" s="2" customFormat="1" ht="24" hidden="1" customHeight="1" thickTop="1" thickBot="1" x14ac:dyDescent="0.25">
      <c r="C327" s="181"/>
      <c r="D327" s="182"/>
      <c r="E327" s="182"/>
      <c r="F327" s="363" t="s">
        <v>242</v>
      </c>
      <c r="G327" s="363"/>
      <c r="H327" s="17"/>
      <c r="I327" s="364"/>
      <c r="J327" s="364"/>
      <c r="K327" s="17"/>
      <c r="L327" s="364"/>
      <c r="M327" s="364"/>
      <c r="N327" s="17"/>
      <c r="O327" s="364"/>
      <c r="P327" s="364"/>
      <c r="Q327" s="64"/>
    </row>
    <row r="328" spans="2:20" s="2" customFormat="1" ht="24" hidden="1" customHeight="1" thickTop="1" thickBot="1" x14ac:dyDescent="0.25">
      <c r="C328" s="181" t="s">
        <v>292</v>
      </c>
      <c r="D328" s="182"/>
      <c r="E328" s="182"/>
      <c r="F328" s="182"/>
      <c r="G328" s="182"/>
      <c r="H328" s="17"/>
      <c r="I328" s="360"/>
      <c r="J328" s="360"/>
      <c r="K328" s="17"/>
      <c r="L328" s="360"/>
      <c r="M328" s="360"/>
      <c r="N328" s="17"/>
      <c r="O328" s="360"/>
      <c r="P328" s="360"/>
    </row>
    <row r="329" spans="2:20" s="2" customFormat="1" ht="24" hidden="1" customHeight="1" thickTop="1" thickBot="1" x14ac:dyDescent="0.25">
      <c r="C329" s="181" t="s">
        <v>293</v>
      </c>
      <c r="D329" s="182"/>
      <c r="E329" s="182"/>
      <c r="F329" s="182"/>
      <c r="G329" s="182"/>
      <c r="H329" s="17"/>
      <c r="I329" s="360"/>
      <c r="J329" s="360"/>
      <c r="K329" s="17"/>
      <c r="L329" s="360"/>
      <c r="M329" s="360"/>
      <c r="N329" s="17"/>
      <c r="O329" s="360"/>
      <c r="P329" s="360"/>
    </row>
    <row r="330" spans="2:20" s="2" customFormat="1" ht="24" hidden="1" customHeight="1" thickTop="1" thickBot="1" x14ac:dyDescent="0.25">
      <c r="C330" s="181" t="s">
        <v>294</v>
      </c>
      <c r="D330" s="182"/>
      <c r="E330" s="182"/>
      <c r="F330" s="182"/>
      <c r="G330" s="182"/>
      <c r="H330" s="17"/>
      <c r="I330" s="360"/>
      <c r="J330" s="360"/>
      <c r="K330" s="17"/>
      <c r="L330" s="360"/>
      <c r="M330" s="360"/>
      <c r="N330" s="17"/>
      <c r="O330" s="360"/>
      <c r="P330" s="360"/>
      <c r="T330" s="183"/>
    </row>
    <row r="331" spans="2:20" s="2" customFormat="1" ht="24" hidden="1" customHeight="1" thickTop="1" x14ac:dyDescent="0.2">
      <c r="C331" s="181" t="s">
        <v>295</v>
      </c>
      <c r="D331" s="182"/>
      <c r="E331" s="182"/>
      <c r="F331" s="182"/>
      <c r="G331" s="182"/>
      <c r="H331" s="17"/>
      <c r="I331" s="361"/>
      <c r="J331" s="361"/>
      <c r="K331" s="17"/>
      <c r="L331" s="361"/>
      <c r="M331" s="361"/>
      <c r="N331" s="17"/>
      <c r="O331" s="361"/>
      <c r="P331" s="361"/>
    </row>
    <row r="332" spans="2:20" s="2" customFormat="1" ht="17.5" hidden="1" customHeight="1" x14ac:dyDescent="0.2">
      <c r="C332" s="181" t="s">
        <v>296</v>
      </c>
      <c r="D332" s="182"/>
      <c r="E332" s="182"/>
      <c r="F332" s="182"/>
      <c r="G332" s="182"/>
      <c r="H332" s="17"/>
      <c r="I332" s="17"/>
      <c r="J332" s="17"/>
      <c r="K332" s="17"/>
      <c r="L332" s="17"/>
      <c r="M332" s="17"/>
      <c r="N332" s="17"/>
      <c r="O332" s="17"/>
    </row>
    <row r="333" spans="2:20" s="2" customFormat="1" ht="17.5" hidden="1" customHeight="1" x14ac:dyDescent="0.2">
      <c r="C333" s="181" t="s">
        <v>297</v>
      </c>
      <c r="D333" s="182"/>
      <c r="E333" s="182"/>
      <c r="F333" s="182"/>
      <c r="G333" s="182"/>
      <c r="H333" s="17"/>
      <c r="I333" s="17"/>
      <c r="J333" s="17"/>
      <c r="K333" s="17"/>
      <c r="L333" s="17"/>
      <c r="M333" s="17"/>
      <c r="N333" s="17"/>
      <c r="O333" s="17"/>
    </row>
    <row r="334" spans="2:20" s="2" customFormat="1" ht="24" hidden="1" customHeight="1" x14ac:dyDescent="0.2">
      <c r="C334" s="181"/>
      <c r="D334" s="182"/>
      <c r="E334" s="182"/>
      <c r="F334" s="182"/>
      <c r="G334" s="182"/>
      <c r="H334" s="17"/>
      <c r="I334" s="17"/>
      <c r="J334" s="17"/>
      <c r="K334" s="17"/>
      <c r="L334" s="17"/>
      <c r="M334" s="17"/>
      <c r="N334" s="17"/>
      <c r="O334" s="17"/>
    </row>
    <row r="335" spans="2:20" s="2" customFormat="1" ht="24" hidden="1" customHeight="1" x14ac:dyDescent="0.2">
      <c r="C335" s="181" t="s">
        <v>180</v>
      </c>
      <c r="D335" s="182"/>
      <c r="E335" s="182"/>
      <c r="F335" s="182"/>
      <c r="G335" s="182"/>
      <c r="H335" s="17"/>
      <c r="I335" s="362"/>
      <c r="J335" s="362"/>
      <c r="K335" s="184"/>
      <c r="L335" s="362"/>
      <c r="M335" s="362"/>
      <c r="N335" s="184"/>
      <c r="O335" s="362"/>
      <c r="P335" s="362"/>
      <c r="Q335" s="220"/>
    </row>
    <row r="336" spans="2:20" s="2" customFormat="1" ht="18.5" hidden="1" customHeight="1" x14ac:dyDescent="0.2">
      <c r="C336" s="181" t="s">
        <v>298</v>
      </c>
      <c r="D336" s="182"/>
      <c r="E336" s="182"/>
      <c r="F336" s="182"/>
      <c r="G336" s="182"/>
      <c r="H336" s="17"/>
      <c r="I336" s="220"/>
      <c r="J336" s="17"/>
      <c r="K336" s="17"/>
      <c r="L336" s="220"/>
      <c r="M336" s="17"/>
      <c r="N336" s="17"/>
      <c r="O336" s="220"/>
    </row>
    <row r="337" spans="2:17" s="2" customFormat="1" ht="18.5" hidden="1" customHeight="1" x14ac:dyDescent="0.2">
      <c r="C337" s="181" t="s">
        <v>299</v>
      </c>
      <c r="D337" s="182"/>
      <c r="E337" s="182"/>
      <c r="F337" s="182"/>
      <c r="G337" s="182"/>
      <c r="H337" s="17"/>
      <c r="I337" s="17"/>
      <c r="J337" s="17"/>
      <c r="K337" s="17"/>
      <c r="L337" s="17"/>
      <c r="M337" s="17"/>
      <c r="N337" s="17"/>
      <c r="O337" s="17"/>
    </row>
    <row r="338" spans="2:17" s="2" customFormat="1" ht="18.5" hidden="1" customHeight="1" x14ac:dyDescent="0.2">
      <c r="C338" s="181" t="s">
        <v>300</v>
      </c>
      <c r="D338" s="182"/>
      <c r="E338" s="182"/>
      <c r="F338" s="182"/>
      <c r="G338" s="182"/>
      <c r="H338" s="17"/>
      <c r="I338" s="17"/>
      <c r="J338" s="17"/>
      <c r="K338" s="17"/>
      <c r="L338" s="17"/>
      <c r="M338" s="17"/>
      <c r="N338" s="17"/>
      <c r="O338" s="17"/>
    </row>
    <row r="339" spans="2:17" s="2" customFormat="1" ht="18.5" hidden="1" customHeight="1" thickBot="1" x14ac:dyDescent="0.25">
      <c r="C339" s="181"/>
      <c r="D339" s="182"/>
      <c r="E339" s="182"/>
      <c r="F339" s="182"/>
      <c r="G339" s="182"/>
      <c r="H339" s="17"/>
      <c r="I339" s="17"/>
      <c r="J339" s="17"/>
      <c r="K339" s="17"/>
      <c r="L339" s="17"/>
      <c r="M339" s="17"/>
      <c r="N339" s="17"/>
      <c r="O339" s="17"/>
    </row>
    <row r="340" spans="2:17" s="2" customFormat="1" ht="33" hidden="1" customHeight="1" thickTop="1" x14ac:dyDescent="0.2">
      <c r="B340" s="185"/>
      <c r="C340" s="186" t="s">
        <v>301</v>
      </c>
      <c r="D340" s="187"/>
      <c r="E340" s="221">
        <f>I328</f>
        <v>0</v>
      </c>
      <c r="F340" s="187"/>
      <c r="G340" s="188"/>
      <c r="H340" s="188"/>
      <c r="I340" s="337">
        <f>L328</f>
        <v>0</v>
      </c>
      <c r="J340" s="337"/>
      <c r="K340" s="188"/>
      <c r="L340" s="188"/>
      <c r="M340" s="338">
        <f>O328</f>
        <v>0</v>
      </c>
      <c r="N340" s="338"/>
      <c r="O340" s="338"/>
      <c r="P340" s="189"/>
      <c r="Q340" s="190"/>
    </row>
    <row r="341" spans="2:17" s="2" customFormat="1" ht="33" hidden="1" customHeight="1" thickBot="1" x14ac:dyDescent="0.25">
      <c r="B341" s="191"/>
      <c r="C341" s="192"/>
      <c r="D341" s="193"/>
      <c r="E341" s="192" t="s">
        <v>302</v>
      </c>
      <c r="F341" s="339" t="str">
        <f>IFERROR(((I340-E340)/ABS(E340)),"-")</f>
        <v>-</v>
      </c>
      <c r="G341" s="339"/>
      <c r="H341" s="194"/>
      <c r="I341" s="194"/>
      <c r="J341" s="194"/>
      <c r="K341" s="339" t="str">
        <f>IFERROR(((M340-I340)/ABS(I340)),"-")</f>
        <v>-</v>
      </c>
      <c r="L341" s="339"/>
      <c r="M341" s="339"/>
      <c r="N341" s="194"/>
      <c r="O341" s="194"/>
      <c r="P341" s="195"/>
      <c r="Q341" s="196"/>
    </row>
    <row r="342" spans="2:17" s="2" customFormat="1" ht="33" hidden="1" customHeight="1" thickTop="1" x14ac:dyDescent="0.2">
      <c r="B342" s="185"/>
      <c r="C342" s="186" t="s">
        <v>303</v>
      </c>
      <c r="D342" s="187"/>
      <c r="E342" s="221">
        <f>I328-I329</f>
        <v>0</v>
      </c>
      <c r="F342" s="187"/>
      <c r="G342" s="188"/>
      <c r="H342" s="188"/>
      <c r="I342" s="337">
        <f>L328-L329</f>
        <v>0</v>
      </c>
      <c r="J342" s="337"/>
      <c r="K342" s="188"/>
      <c r="L342" s="188"/>
      <c r="M342" s="338">
        <f>O328-O329</f>
        <v>0</v>
      </c>
      <c r="N342" s="338"/>
      <c r="O342" s="338"/>
      <c r="P342" s="189"/>
      <c r="Q342" s="190"/>
    </row>
    <row r="343" spans="2:17" s="2" customFormat="1" ht="33" hidden="1" customHeight="1" x14ac:dyDescent="0.2">
      <c r="B343" s="197"/>
      <c r="C343" s="181" t="s">
        <v>304</v>
      </c>
      <c r="D343" s="182"/>
      <c r="E343" s="181"/>
      <c r="F343" s="181"/>
      <c r="G343" s="17"/>
      <c r="H343" s="17"/>
      <c r="I343" s="17"/>
      <c r="J343" s="17"/>
      <c r="K343" s="17"/>
      <c r="L343" s="17"/>
      <c r="M343" s="17"/>
      <c r="N343" s="17"/>
      <c r="O343" s="17"/>
      <c r="Q343" s="198"/>
    </row>
    <row r="344" spans="2:17" s="2" customFormat="1" ht="33" hidden="1" customHeight="1" thickBot="1" x14ac:dyDescent="0.25">
      <c r="B344" s="191"/>
      <c r="C344" s="192"/>
      <c r="D344" s="193"/>
      <c r="E344" s="192" t="s">
        <v>302</v>
      </c>
      <c r="F344" s="339" t="str">
        <f>IFERROR(((I342-E342)/ABS(E342)),"-")</f>
        <v>-</v>
      </c>
      <c r="G344" s="339"/>
      <c r="H344" s="194"/>
      <c r="I344" s="194"/>
      <c r="J344" s="194"/>
      <c r="K344" s="339" t="str">
        <f>IFERROR(((M342-I342)/ABS(I342)),"-")</f>
        <v>-</v>
      </c>
      <c r="L344" s="339"/>
      <c r="M344" s="339"/>
      <c r="N344" s="194"/>
      <c r="O344" s="194"/>
      <c r="P344" s="195"/>
      <c r="Q344" s="196"/>
    </row>
    <row r="345" spans="2:17" s="2" customFormat="1" ht="33" hidden="1" customHeight="1" thickTop="1" x14ac:dyDescent="0.2">
      <c r="B345" s="185"/>
      <c r="C345" s="186" t="s">
        <v>305</v>
      </c>
      <c r="D345" s="187"/>
      <c r="E345" s="221">
        <f>I330</f>
        <v>0</v>
      </c>
      <c r="F345" s="187"/>
      <c r="G345" s="188"/>
      <c r="H345" s="188"/>
      <c r="I345" s="337">
        <f>L330</f>
        <v>0</v>
      </c>
      <c r="J345" s="337"/>
      <c r="K345" s="188"/>
      <c r="L345" s="188"/>
      <c r="M345" s="338">
        <f>O330</f>
        <v>0</v>
      </c>
      <c r="N345" s="338"/>
      <c r="O345" s="338"/>
      <c r="P345" s="189"/>
      <c r="Q345" s="190"/>
    </row>
    <row r="346" spans="2:17" s="2" customFormat="1" ht="33" hidden="1" customHeight="1" thickBot="1" x14ac:dyDescent="0.25">
      <c r="B346" s="191"/>
      <c r="C346" s="192"/>
      <c r="D346" s="193"/>
      <c r="E346" s="192" t="s">
        <v>302</v>
      </c>
      <c r="F346" s="339" t="str">
        <f>IFERROR(((I345-E345)/ABS(E345)),"-")</f>
        <v>-</v>
      </c>
      <c r="G346" s="339"/>
      <c r="H346" s="194"/>
      <c r="I346" s="194"/>
      <c r="J346" s="194"/>
      <c r="K346" s="339" t="str">
        <f>IFERROR(((M345-I345)/ABS(I345)),"-")</f>
        <v>-</v>
      </c>
      <c r="L346" s="339"/>
      <c r="M346" s="339"/>
      <c r="N346" s="194"/>
      <c r="O346" s="194"/>
      <c r="P346" s="195"/>
      <c r="Q346" s="196"/>
    </row>
    <row r="347" spans="2:17" s="2" customFormat="1" ht="33" hidden="1" customHeight="1" thickTop="1" x14ac:dyDescent="0.2">
      <c r="B347" s="185"/>
      <c r="C347" s="186" t="s">
        <v>306</v>
      </c>
      <c r="D347" s="187"/>
      <c r="E347" s="221">
        <f>I330+I331</f>
        <v>0</v>
      </c>
      <c r="F347" s="340" t="str">
        <f>IFERROR(TEXT((E347/E342),"+0%;-0%")&amp;" *","n/a*")</f>
        <v>n/a*</v>
      </c>
      <c r="G347" s="340"/>
      <c r="H347" s="188"/>
      <c r="I347" s="337">
        <f>L330+L331</f>
        <v>0</v>
      </c>
      <c r="J347" s="337"/>
      <c r="K347" s="340" t="str">
        <f>IFERROR(TEXT((I347/I342),"+0%;-0%")&amp;" *","n/a*")</f>
        <v>n/a*</v>
      </c>
      <c r="L347" s="340"/>
      <c r="M347" s="338">
        <f>O330+O331</f>
        <v>0</v>
      </c>
      <c r="N347" s="338"/>
      <c r="O347" s="338"/>
      <c r="P347" s="340" t="str">
        <f>IFERROR(ROUND((M347/M342)*100,0)&amp;"% *","n/a*")</f>
        <v>n/a*</v>
      </c>
      <c r="Q347" s="341"/>
    </row>
    <row r="348" spans="2:17" s="2" customFormat="1" ht="33" hidden="1" customHeight="1" x14ac:dyDescent="0.2">
      <c r="B348" s="197"/>
      <c r="C348" s="181" t="s">
        <v>307</v>
      </c>
      <c r="D348" s="182"/>
      <c r="E348" s="181"/>
      <c r="F348" s="181"/>
      <c r="G348" s="17"/>
      <c r="H348" s="17"/>
      <c r="I348" s="17"/>
      <c r="J348" s="17"/>
      <c r="K348" s="17"/>
      <c r="L348" s="17"/>
      <c r="M348" s="17"/>
      <c r="N348" s="17"/>
      <c r="O348" s="17"/>
      <c r="Q348" s="198"/>
    </row>
    <row r="349" spans="2:17" s="2" customFormat="1" ht="33" hidden="1" customHeight="1" thickBot="1" x14ac:dyDescent="0.25">
      <c r="B349" s="191"/>
      <c r="C349" s="192"/>
      <c r="D349" s="193"/>
      <c r="E349" s="192" t="s">
        <v>302</v>
      </c>
      <c r="F349" s="339" t="str">
        <f>IFERROR(((I347-E347)/ABS(E347)),"-")</f>
        <v>-</v>
      </c>
      <c r="G349" s="339"/>
      <c r="H349" s="194"/>
      <c r="I349" s="194"/>
      <c r="J349" s="194"/>
      <c r="K349" s="339" t="str">
        <f>IFERROR(((M347-I347)/ABS(I347)),"-")</f>
        <v>-</v>
      </c>
      <c r="L349" s="339"/>
      <c r="M349" s="339"/>
      <c r="N349" s="194"/>
      <c r="O349" s="194"/>
      <c r="P349" s="195"/>
      <c r="Q349" s="196"/>
    </row>
    <row r="350" spans="2:17" s="2" customFormat="1" ht="33" hidden="1" customHeight="1" thickTop="1" x14ac:dyDescent="0.2">
      <c r="B350" s="185"/>
      <c r="C350" s="186" t="s">
        <v>308</v>
      </c>
      <c r="D350" s="187"/>
      <c r="E350" s="221">
        <f>I328-I329-I330</f>
        <v>0</v>
      </c>
      <c r="F350" s="187"/>
      <c r="G350" s="188"/>
      <c r="H350" s="188"/>
      <c r="I350" s="337">
        <f>L328-L329-L330</f>
        <v>0</v>
      </c>
      <c r="J350" s="337"/>
      <c r="K350" s="188"/>
      <c r="L350" s="188"/>
      <c r="M350" s="338">
        <f>O328-O329-O330</f>
        <v>0</v>
      </c>
      <c r="N350" s="338"/>
      <c r="O350" s="338"/>
      <c r="P350" s="189"/>
      <c r="Q350" s="190"/>
    </row>
    <row r="351" spans="2:17" s="2" customFormat="1" ht="33" hidden="1" customHeight="1" x14ac:dyDescent="0.2">
      <c r="B351" s="197"/>
      <c r="C351" s="181" t="s">
        <v>309</v>
      </c>
      <c r="D351" s="182"/>
      <c r="E351" s="181"/>
      <c r="F351" s="181"/>
      <c r="G351" s="17"/>
      <c r="H351" s="17"/>
      <c r="I351" s="17"/>
      <c r="J351" s="17"/>
      <c r="K351" s="17"/>
      <c r="L351" s="17"/>
      <c r="M351" s="17"/>
      <c r="N351" s="17"/>
      <c r="O351" s="17"/>
      <c r="Q351" s="198"/>
    </row>
    <row r="352" spans="2:17" s="2" customFormat="1" ht="33" hidden="1" customHeight="1" thickBot="1" x14ac:dyDescent="0.25">
      <c r="B352" s="191"/>
      <c r="C352" s="192"/>
      <c r="D352" s="193"/>
      <c r="E352" s="192" t="s">
        <v>302</v>
      </c>
      <c r="F352" s="339" t="str">
        <f>IFERROR(((I350-E350)/ABS(E350)),"-")</f>
        <v>-</v>
      </c>
      <c r="G352" s="339"/>
      <c r="H352" s="194"/>
      <c r="I352" s="194"/>
      <c r="J352" s="194"/>
      <c r="K352" s="339" t="str">
        <f>IFERROR(((M350-I350)/ABS(I350)),"-")</f>
        <v>-</v>
      </c>
      <c r="L352" s="339"/>
      <c r="M352" s="339"/>
      <c r="N352" s="194"/>
      <c r="O352" s="194"/>
      <c r="P352" s="195"/>
      <c r="Q352" s="196"/>
    </row>
    <row r="353" spans="2:20" s="2" customFormat="1" ht="33" hidden="1" customHeight="1" thickTop="1" x14ac:dyDescent="0.2">
      <c r="B353" s="185"/>
      <c r="C353" s="186" t="s">
        <v>180</v>
      </c>
      <c r="D353" s="187"/>
      <c r="E353" s="221">
        <f>I335</f>
        <v>0</v>
      </c>
      <c r="F353" s="351" t="str">
        <f>IFERROR(ROUND((E353/E342)*100,0)&amp;"% **","n/a**")</f>
        <v>n/a**</v>
      </c>
      <c r="G353" s="351"/>
      <c r="H353" s="188"/>
      <c r="I353" s="337">
        <f>L335</f>
        <v>0</v>
      </c>
      <c r="J353" s="337"/>
      <c r="K353" s="351" t="str">
        <f>IFERROR(TEXT((I353/I342),"+0%;-0%")&amp;" **","n/a**")</f>
        <v>n/a**</v>
      </c>
      <c r="L353" s="351"/>
      <c r="M353" s="338">
        <f>O335</f>
        <v>0</v>
      </c>
      <c r="N353" s="338"/>
      <c r="O353" s="338"/>
      <c r="P353" s="351" t="str">
        <f>IFERROR(ROUND((M353/M342)*100,0)&amp;"% **","n/a**")</f>
        <v>n/a**</v>
      </c>
      <c r="Q353" s="352"/>
    </row>
    <row r="354" spans="2:20" s="2" customFormat="1" ht="33" hidden="1" customHeight="1" thickBot="1" x14ac:dyDescent="0.25">
      <c r="B354" s="191"/>
      <c r="C354" s="192"/>
      <c r="D354" s="193"/>
      <c r="E354" s="192" t="s">
        <v>302</v>
      </c>
      <c r="F354" s="339" t="str">
        <f>IFERROR(((I353-E353)/ABS(E353)),"-")</f>
        <v>-</v>
      </c>
      <c r="G354" s="339"/>
      <c r="H354" s="194"/>
      <c r="I354" s="194"/>
      <c r="J354" s="194"/>
      <c r="K354" s="339" t="str">
        <f>IFERROR(((M353-I353)/ABS(I353)),"-")</f>
        <v>-</v>
      </c>
      <c r="L354" s="339"/>
      <c r="M354" s="339"/>
      <c r="N354" s="194"/>
      <c r="O354" s="194"/>
      <c r="P354" s="195"/>
      <c r="Q354" s="196"/>
    </row>
    <row r="355" spans="2:20" s="2" customFormat="1" ht="18.5" hidden="1" customHeight="1" thickTop="1" x14ac:dyDescent="0.2">
      <c r="B355" s="25"/>
      <c r="C355" s="25" t="s">
        <v>310</v>
      </c>
      <c r="D355" s="182"/>
      <c r="E355" s="182"/>
      <c r="F355" s="182"/>
      <c r="G355" s="17"/>
      <c r="H355" s="17"/>
      <c r="I355" s="17"/>
      <c r="J355" s="17"/>
      <c r="K355" s="17"/>
      <c r="L355" s="17"/>
      <c r="M355" s="17"/>
      <c r="N355" s="17"/>
      <c r="O355" s="17"/>
    </row>
    <row r="356" spans="2:20" ht="13.5" customHeight="1" thickTop="1" thickBot="1" x14ac:dyDescent="0.25"/>
    <row r="357" spans="2:20" s="2" customFormat="1" ht="21" customHeight="1" thickTop="1" thickBot="1" x14ac:dyDescent="0.25">
      <c r="B357" s="176"/>
      <c r="C357" s="177" t="s">
        <v>269</v>
      </c>
      <c r="D357" s="353"/>
      <c r="E357" s="353"/>
      <c r="F357" s="353"/>
      <c r="G357" s="354" t="s">
        <v>271</v>
      </c>
      <c r="H357" s="354"/>
      <c r="I357" s="355"/>
      <c r="J357" s="356"/>
      <c r="K357" s="178"/>
      <c r="L357" s="357" t="s">
        <v>272</v>
      </c>
      <c r="M357" s="354"/>
      <c r="N357" s="354"/>
      <c r="O357" s="358"/>
      <c r="P357" s="359"/>
      <c r="Q357" s="179"/>
    </row>
    <row r="358" spans="2:20" s="2" customFormat="1" ht="21" hidden="1" customHeight="1" thickTop="1" thickBot="1" x14ac:dyDescent="0.25">
      <c r="B358" s="176"/>
      <c r="C358" s="180" t="s">
        <v>270</v>
      </c>
      <c r="D358" s="353"/>
      <c r="E358" s="353"/>
      <c r="F358" s="353"/>
      <c r="G358" s="354"/>
      <c r="H358" s="354"/>
      <c r="I358" s="354"/>
      <c r="J358" s="354"/>
      <c r="K358" s="178"/>
      <c r="L358" s="357" t="s">
        <v>272</v>
      </c>
      <c r="M358" s="354"/>
      <c r="N358" s="354"/>
      <c r="O358" s="358"/>
      <c r="P358" s="359"/>
      <c r="Q358" s="179"/>
    </row>
    <row r="359" spans="2:20" s="2" customFormat="1" ht="24" hidden="1" customHeight="1" thickTop="1" thickBot="1" x14ac:dyDescent="0.25">
      <c r="C359" s="181"/>
      <c r="D359" s="182"/>
      <c r="E359" s="182"/>
      <c r="F359" s="363" t="s">
        <v>242</v>
      </c>
      <c r="G359" s="363"/>
      <c r="H359" s="17"/>
      <c r="I359" s="364"/>
      <c r="J359" s="364"/>
      <c r="K359" s="17"/>
      <c r="L359" s="364"/>
      <c r="M359" s="364"/>
      <c r="N359" s="17"/>
      <c r="O359" s="364"/>
      <c r="P359" s="364"/>
      <c r="Q359" s="64"/>
    </row>
    <row r="360" spans="2:20" s="2" customFormat="1" ht="24" hidden="1" customHeight="1" thickTop="1" thickBot="1" x14ac:dyDescent="0.25">
      <c r="C360" s="181" t="s">
        <v>292</v>
      </c>
      <c r="D360" s="182"/>
      <c r="E360" s="182"/>
      <c r="F360" s="182"/>
      <c r="G360" s="182"/>
      <c r="H360" s="17"/>
      <c r="I360" s="360"/>
      <c r="J360" s="360"/>
      <c r="K360" s="17"/>
      <c r="L360" s="360"/>
      <c r="M360" s="360"/>
      <c r="N360" s="17"/>
      <c r="O360" s="360"/>
      <c r="P360" s="360"/>
    </row>
    <row r="361" spans="2:20" s="2" customFormat="1" ht="24" hidden="1" customHeight="1" thickTop="1" thickBot="1" x14ac:dyDescent="0.25">
      <c r="C361" s="181" t="s">
        <v>293</v>
      </c>
      <c r="D361" s="182"/>
      <c r="E361" s="182"/>
      <c r="F361" s="182"/>
      <c r="G361" s="182"/>
      <c r="H361" s="17"/>
      <c r="I361" s="360"/>
      <c r="J361" s="360"/>
      <c r="K361" s="17"/>
      <c r="L361" s="360"/>
      <c r="M361" s="360"/>
      <c r="N361" s="17"/>
      <c r="O361" s="360"/>
      <c r="P361" s="360"/>
    </row>
    <row r="362" spans="2:20" s="2" customFormat="1" ht="24" hidden="1" customHeight="1" thickTop="1" thickBot="1" x14ac:dyDescent="0.25">
      <c r="C362" s="181" t="s">
        <v>294</v>
      </c>
      <c r="D362" s="182"/>
      <c r="E362" s="182"/>
      <c r="F362" s="182"/>
      <c r="G362" s="182"/>
      <c r="H362" s="17"/>
      <c r="I362" s="360"/>
      <c r="J362" s="360"/>
      <c r="K362" s="17"/>
      <c r="L362" s="360"/>
      <c r="M362" s="360"/>
      <c r="N362" s="17"/>
      <c r="O362" s="360"/>
      <c r="P362" s="360"/>
      <c r="T362" s="183"/>
    </row>
    <row r="363" spans="2:20" s="2" customFormat="1" ht="24" hidden="1" customHeight="1" thickTop="1" x14ac:dyDescent="0.2">
      <c r="C363" s="181" t="s">
        <v>295</v>
      </c>
      <c r="D363" s="182"/>
      <c r="E363" s="182"/>
      <c r="F363" s="182"/>
      <c r="G363" s="182"/>
      <c r="H363" s="17"/>
      <c r="I363" s="361"/>
      <c r="J363" s="361"/>
      <c r="K363" s="17"/>
      <c r="L363" s="361"/>
      <c r="M363" s="361"/>
      <c r="N363" s="17"/>
      <c r="O363" s="361"/>
      <c r="P363" s="361"/>
    </row>
    <row r="364" spans="2:20" s="2" customFormat="1" ht="17.5" hidden="1" customHeight="1" x14ac:dyDescent="0.2">
      <c r="C364" s="181" t="s">
        <v>296</v>
      </c>
      <c r="D364" s="182"/>
      <c r="E364" s="182"/>
      <c r="F364" s="182"/>
      <c r="G364" s="182"/>
      <c r="H364" s="17"/>
      <c r="I364" s="17"/>
      <c r="J364" s="17"/>
      <c r="K364" s="17"/>
      <c r="L364" s="17"/>
      <c r="M364" s="17"/>
      <c r="N364" s="17"/>
      <c r="O364" s="17"/>
    </row>
    <row r="365" spans="2:20" s="2" customFormat="1" ht="17.5" hidden="1" customHeight="1" x14ac:dyDescent="0.2">
      <c r="C365" s="181" t="s">
        <v>297</v>
      </c>
      <c r="D365" s="182"/>
      <c r="E365" s="182"/>
      <c r="F365" s="182"/>
      <c r="G365" s="182"/>
      <c r="H365" s="17"/>
      <c r="I365" s="17"/>
      <c r="J365" s="17"/>
      <c r="K365" s="17"/>
      <c r="L365" s="17"/>
      <c r="M365" s="17"/>
      <c r="N365" s="17"/>
      <c r="O365" s="17"/>
    </row>
    <row r="366" spans="2:20" s="2" customFormat="1" ht="24" hidden="1" customHeight="1" x14ac:dyDescent="0.2">
      <c r="C366" s="181"/>
      <c r="D366" s="182"/>
      <c r="E366" s="182"/>
      <c r="F366" s="182"/>
      <c r="G366" s="182"/>
      <c r="H366" s="17"/>
      <c r="I366" s="17"/>
      <c r="J366" s="17"/>
      <c r="K366" s="17"/>
      <c r="L366" s="17"/>
      <c r="M366" s="17"/>
      <c r="N366" s="17"/>
      <c r="O366" s="17"/>
    </row>
    <row r="367" spans="2:20" s="2" customFormat="1" ht="24" hidden="1" customHeight="1" x14ac:dyDescent="0.2">
      <c r="C367" s="181" t="s">
        <v>180</v>
      </c>
      <c r="D367" s="182"/>
      <c r="E367" s="182"/>
      <c r="F367" s="182"/>
      <c r="G367" s="182"/>
      <c r="H367" s="17"/>
      <c r="I367" s="362"/>
      <c r="J367" s="362"/>
      <c r="K367" s="184"/>
      <c r="L367" s="362"/>
      <c r="M367" s="362"/>
      <c r="N367" s="184"/>
      <c r="O367" s="362"/>
      <c r="P367" s="362"/>
      <c r="Q367" s="220"/>
    </row>
    <row r="368" spans="2:20" s="2" customFormat="1" ht="18.5" hidden="1" customHeight="1" x14ac:dyDescent="0.2">
      <c r="C368" s="181" t="s">
        <v>298</v>
      </c>
      <c r="D368" s="182"/>
      <c r="E368" s="182"/>
      <c r="F368" s="182"/>
      <c r="G368" s="182"/>
      <c r="H368" s="17"/>
      <c r="I368" s="220"/>
      <c r="J368" s="17"/>
      <c r="K368" s="17"/>
      <c r="L368" s="220"/>
      <c r="M368" s="17"/>
      <c r="N368" s="17"/>
      <c r="O368" s="220"/>
    </row>
    <row r="369" spans="2:17" s="2" customFormat="1" ht="18.5" hidden="1" customHeight="1" x14ac:dyDescent="0.2">
      <c r="C369" s="181" t="s">
        <v>299</v>
      </c>
      <c r="D369" s="182"/>
      <c r="E369" s="182"/>
      <c r="F369" s="182"/>
      <c r="G369" s="182"/>
      <c r="H369" s="17"/>
      <c r="I369" s="17"/>
      <c r="J369" s="17"/>
      <c r="K369" s="17"/>
      <c r="L369" s="17"/>
      <c r="M369" s="17"/>
      <c r="N369" s="17"/>
      <c r="O369" s="17"/>
    </row>
    <row r="370" spans="2:17" s="2" customFormat="1" ht="18.5" hidden="1" customHeight="1" x14ac:dyDescent="0.2">
      <c r="C370" s="181" t="s">
        <v>300</v>
      </c>
      <c r="D370" s="182"/>
      <c r="E370" s="182"/>
      <c r="F370" s="182"/>
      <c r="G370" s="182"/>
      <c r="H370" s="17"/>
      <c r="I370" s="17"/>
      <c r="J370" s="17"/>
      <c r="K370" s="17"/>
      <c r="L370" s="17"/>
      <c r="M370" s="17"/>
      <c r="N370" s="17"/>
      <c r="O370" s="17"/>
    </row>
    <row r="371" spans="2:17" s="2" customFormat="1" ht="18.5" hidden="1" customHeight="1" thickBot="1" x14ac:dyDescent="0.25">
      <c r="C371" s="181"/>
      <c r="D371" s="182"/>
      <c r="E371" s="182"/>
      <c r="F371" s="182"/>
      <c r="G371" s="182"/>
      <c r="H371" s="17"/>
      <c r="I371" s="17"/>
      <c r="J371" s="17"/>
      <c r="K371" s="17"/>
      <c r="L371" s="17"/>
      <c r="M371" s="17"/>
      <c r="N371" s="17"/>
      <c r="O371" s="17"/>
    </row>
    <row r="372" spans="2:17" s="2" customFormat="1" ht="33" hidden="1" customHeight="1" thickTop="1" x14ac:dyDescent="0.2">
      <c r="B372" s="185"/>
      <c r="C372" s="186" t="s">
        <v>301</v>
      </c>
      <c r="D372" s="187"/>
      <c r="E372" s="221">
        <f>I360</f>
        <v>0</v>
      </c>
      <c r="F372" s="187"/>
      <c r="G372" s="188"/>
      <c r="H372" s="188"/>
      <c r="I372" s="337">
        <f>L360</f>
        <v>0</v>
      </c>
      <c r="J372" s="337"/>
      <c r="K372" s="188"/>
      <c r="L372" s="188"/>
      <c r="M372" s="338">
        <f>O360</f>
        <v>0</v>
      </c>
      <c r="N372" s="338"/>
      <c r="O372" s="338"/>
      <c r="P372" s="189"/>
      <c r="Q372" s="190"/>
    </row>
    <row r="373" spans="2:17" s="2" customFormat="1" ht="33" hidden="1" customHeight="1" thickBot="1" x14ac:dyDescent="0.25">
      <c r="B373" s="191"/>
      <c r="C373" s="192"/>
      <c r="D373" s="193"/>
      <c r="E373" s="192" t="s">
        <v>302</v>
      </c>
      <c r="F373" s="339" t="str">
        <f>IFERROR(((I372-E372)/ABS(E372)),"-")</f>
        <v>-</v>
      </c>
      <c r="G373" s="339"/>
      <c r="H373" s="194"/>
      <c r="I373" s="194"/>
      <c r="J373" s="194"/>
      <c r="K373" s="339" t="str">
        <f>IFERROR(((M372-I372)/ABS(I372)),"-")</f>
        <v>-</v>
      </c>
      <c r="L373" s="339"/>
      <c r="M373" s="339"/>
      <c r="N373" s="194"/>
      <c r="O373" s="194"/>
      <c r="P373" s="195"/>
      <c r="Q373" s="196"/>
    </row>
    <row r="374" spans="2:17" s="2" customFormat="1" ht="33" hidden="1" customHeight="1" thickTop="1" x14ac:dyDescent="0.2">
      <c r="B374" s="185"/>
      <c r="C374" s="186" t="s">
        <v>303</v>
      </c>
      <c r="D374" s="187"/>
      <c r="E374" s="221">
        <f>I360-I361</f>
        <v>0</v>
      </c>
      <c r="F374" s="187"/>
      <c r="G374" s="188"/>
      <c r="H374" s="188"/>
      <c r="I374" s="337">
        <f>L360-L361</f>
        <v>0</v>
      </c>
      <c r="J374" s="337"/>
      <c r="K374" s="188"/>
      <c r="L374" s="188"/>
      <c r="M374" s="338">
        <f>O360-O361</f>
        <v>0</v>
      </c>
      <c r="N374" s="338"/>
      <c r="O374" s="338"/>
      <c r="P374" s="189"/>
      <c r="Q374" s="190"/>
    </row>
    <row r="375" spans="2:17" s="2" customFormat="1" ht="33" hidden="1" customHeight="1" x14ac:dyDescent="0.2">
      <c r="B375" s="197"/>
      <c r="C375" s="181" t="s">
        <v>304</v>
      </c>
      <c r="D375" s="182"/>
      <c r="E375" s="181"/>
      <c r="F375" s="181"/>
      <c r="G375" s="17"/>
      <c r="H375" s="17"/>
      <c r="I375" s="17"/>
      <c r="J375" s="17"/>
      <c r="K375" s="17"/>
      <c r="L375" s="17"/>
      <c r="M375" s="17"/>
      <c r="N375" s="17"/>
      <c r="O375" s="17"/>
      <c r="Q375" s="198"/>
    </row>
    <row r="376" spans="2:17" s="2" customFormat="1" ht="33" hidden="1" customHeight="1" thickBot="1" x14ac:dyDescent="0.25">
      <c r="B376" s="191"/>
      <c r="C376" s="192"/>
      <c r="D376" s="193"/>
      <c r="E376" s="192" t="s">
        <v>302</v>
      </c>
      <c r="F376" s="339" t="str">
        <f>IFERROR(((I374-E374)/ABS(E374)),"-")</f>
        <v>-</v>
      </c>
      <c r="G376" s="339"/>
      <c r="H376" s="194"/>
      <c r="I376" s="194"/>
      <c r="J376" s="194"/>
      <c r="K376" s="339" t="str">
        <f>IFERROR(((M374-I374)/ABS(I374)),"-")</f>
        <v>-</v>
      </c>
      <c r="L376" s="339"/>
      <c r="M376" s="339"/>
      <c r="N376" s="194"/>
      <c r="O376" s="194"/>
      <c r="P376" s="195"/>
      <c r="Q376" s="196"/>
    </row>
    <row r="377" spans="2:17" s="2" customFormat="1" ht="33" hidden="1" customHeight="1" thickTop="1" x14ac:dyDescent="0.2">
      <c r="B377" s="185"/>
      <c r="C377" s="186" t="s">
        <v>305</v>
      </c>
      <c r="D377" s="187"/>
      <c r="E377" s="221">
        <f>I362</f>
        <v>0</v>
      </c>
      <c r="F377" s="187"/>
      <c r="G377" s="188"/>
      <c r="H377" s="188"/>
      <c r="I377" s="337">
        <f>L362</f>
        <v>0</v>
      </c>
      <c r="J377" s="337"/>
      <c r="K377" s="188"/>
      <c r="L377" s="188"/>
      <c r="M377" s="338">
        <f>O362</f>
        <v>0</v>
      </c>
      <c r="N377" s="338"/>
      <c r="O377" s="338"/>
      <c r="P377" s="189"/>
      <c r="Q377" s="190"/>
    </row>
    <row r="378" spans="2:17" s="2" customFormat="1" ht="33" hidden="1" customHeight="1" thickBot="1" x14ac:dyDescent="0.25">
      <c r="B378" s="191"/>
      <c r="C378" s="192"/>
      <c r="D378" s="193"/>
      <c r="E378" s="192" t="s">
        <v>302</v>
      </c>
      <c r="F378" s="339" t="str">
        <f>IFERROR(((I377-E377)/ABS(E377)),"-")</f>
        <v>-</v>
      </c>
      <c r="G378" s="339"/>
      <c r="H378" s="194"/>
      <c r="I378" s="194"/>
      <c r="J378" s="194"/>
      <c r="K378" s="339" t="str">
        <f>IFERROR(((M377-I377)/ABS(I377)),"-")</f>
        <v>-</v>
      </c>
      <c r="L378" s="339"/>
      <c r="M378" s="339"/>
      <c r="N378" s="194"/>
      <c r="O378" s="194"/>
      <c r="P378" s="195"/>
      <c r="Q378" s="196"/>
    </row>
    <row r="379" spans="2:17" s="2" customFormat="1" ht="33" hidden="1" customHeight="1" thickTop="1" x14ac:dyDescent="0.2">
      <c r="B379" s="185"/>
      <c r="C379" s="186" t="s">
        <v>306</v>
      </c>
      <c r="D379" s="187"/>
      <c r="E379" s="221">
        <f>I362+I363</f>
        <v>0</v>
      </c>
      <c r="F379" s="340" t="str">
        <f>IFERROR(TEXT((E379/E374),"+0%;-0%")&amp;" *","n/a*")</f>
        <v>n/a*</v>
      </c>
      <c r="G379" s="340"/>
      <c r="H379" s="188"/>
      <c r="I379" s="337">
        <f>L362+L363</f>
        <v>0</v>
      </c>
      <c r="J379" s="337"/>
      <c r="K379" s="340" t="str">
        <f>IFERROR(TEXT((I379/I374),"+0%;-0%")&amp;" *","n/a*")</f>
        <v>n/a*</v>
      </c>
      <c r="L379" s="340"/>
      <c r="M379" s="338">
        <f>O362+O363</f>
        <v>0</v>
      </c>
      <c r="N379" s="338"/>
      <c r="O379" s="338"/>
      <c r="P379" s="340" t="str">
        <f>IFERROR(ROUND((M379/M374)*100,0)&amp;"% *","n/a*")</f>
        <v>n/a*</v>
      </c>
      <c r="Q379" s="341"/>
    </row>
    <row r="380" spans="2:17" s="2" customFormat="1" ht="33" hidden="1" customHeight="1" x14ac:dyDescent="0.2">
      <c r="B380" s="197"/>
      <c r="C380" s="181" t="s">
        <v>307</v>
      </c>
      <c r="D380" s="182"/>
      <c r="E380" s="181"/>
      <c r="F380" s="181"/>
      <c r="G380" s="17"/>
      <c r="H380" s="17"/>
      <c r="I380" s="17"/>
      <c r="J380" s="17"/>
      <c r="K380" s="17"/>
      <c r="L380" s="17"/>
      <c r="M380" s="17"/>
      <c r="N380" s="17"/>
      <c r="O380" s="17"/>
      <c r="Q380" s="198"/>
    </row>
    <row r="381" spans="2:17" s="2" customFormat="1" ht="33" hidden="1" customHeight="1" thickBot="1" x14ac:dyDescent="0.25">
      <c r="B381" s="191"/>
      <c r="C381" s="192"/>
      <c r="D381" s="193"/>
      <c r="E381" s="192" t="s">
        <v>302</v>
      </c>
      <c r="F381" s="339" t="str">
        <f>IFERROR(((I379-E379)/ABS(E379)),"-")</f>
        <v>-</v>
      </c>
      <c r="G381" s="339"/>
      <c r="H381" s="194"/>
      <c r="I381" s="194"/>
      <c r="J381" s="194"/>
      <c r="K381" s="339" t="str">
        <f>IFERROR(((M379-I379)/ABS(I379)),"-")</f>
        <v>-</v>
      </c>
      <c r="L381" s="339"/>
      <c r="M381" s="339"/>
      <c r="N381" s="194"/>
      <c r="O381" s="194"/>
      <c r="P381" s="195"/>
      <c r="Q381" s="196"/>
    </row>
    <row r="382" spans="2:17" s="2" customFormat="1" ht="33" hidden="1" customHeight="1" thickTop="1" x14ac:dyDescent="0.2">
      <c r="B382" s="185"/>
      <c r="C382" s="186" t="s">
        <v>308</v>
      </c>
      <c r="D382" s="187"/>
      <c r="E382" s="221">
        <f>I360-I361-I362</f>
        <v>0</v>
      </c>
      <c r="F382" s="187"/>
      <c r="G382" s="188"/>
      <c r="H382" s="188"/>
      <c r="I382" s="337">
        <f>L360-L361-L362</f>
        <v>0</v>
      </c>
      <c r="J382" s="337"/>
      <c r="K382" s="188"/>
      <c r="L382" s="188"/>
      <c r="M382" s="338">
        <f>O360-O361-O362</f>
        <v>0</v>
      </c>
      <c r="N382" s="338"/>
      <c r="O382" s="338"/>
      <c r="P382" s="189"/>
      <c r="Q382" s="190"/>
    </row>
    <row r="383" spans="2:17" s="2" customFormat="1" ht="33" hidden="1" customHeight="1" x14ac:dyDescent="0.2">
      <c r="B383" s="197"/>
      <c r="C383" s="181" t="s">
        <v>309</v>
      </c>
      <c r="D383" s="182"/>
      <c r="E383" s="181"/>
      <c r="F383" s="181"/>
      <c r="G383" s="17"/>
      <c r="H383" s="17"/>
      <c r="I383" s="17"/>
      <c r="J383" s="17"/>
      <c r="K383" s="17"/>
      <c r="L383" s="17"/>
      <c r="M383" s="17"/>
      <c r="N383" s="17"/>
      <c r="O383" s="17"/>
      <c r="Q383" s="198"/>
    </row>
    <row r="384" spans="2:17" s="2" customFormat="1" ht="33" hidden="1" customHeight="1" thickBot="1" x14ac:dyDescent="0.25">
      <c r="B384" s="191"/>
      <c r="C384" s="192"/>
      <c r="D384" s="193"/>
      <c r="E384" s="192" t="s">
        <v>302</v>
      </c>
      <c r="F384" s="339" t="str">
        <f>IFERROR(((I382-E382)/ABS(E382)),"-")</f>
        <v>-</v>
      </c>
      <c r="G384" s="339"/>
      <c r="H384" s="194"/>
      <c r="I384" s="194"/>
      <c r="J384" s="194"/>
      <c r="K384" s="339" t="str">
        <f>IFERROR(((M382-I382)/ABS(I382)),"-")</f>
        <v>-</v>
      </c>
      <c r="L384" s="339"/>
      <c r="M384" s="339"/>
      <c r="N384" s="194"/>
      <c r="O384" s="194"/>
      <c r="P384" s="195"/>
      <c r="Q384" s="196"/>
    </row>
    <row r="385" spans="2:20" s="2" customFormat="1" ht="33" hidden="1" customHeight="1" thickTop="1" x14ac:dyDescent="0.2">
      <c r="B385" s="185"/>
      <c r="C385" s="186" t="s">
        <v>180</v>
      </c>
      <c r="D385" s="187"/>
      <c r="E385" s="221">
        <f>I367</f>
        <v>0</v>
      </c>
      <c r="F385" s="351" t="str">
        <f>IFERROR(ROUND((E385/E374)*100,0)&amp;"% **","n/a**")</f>
        <v>n/a**</v>
      </c>
      <c r="G385" s="351"/>
      <c r="H385" s="188"/>
      <c r="I385" s="337">
        <f>L367</f>
        <v>0</v>
      </c>
      <c r="J385" s="337"/>
      <c r="K385" s="351" t="str">
        <f>IFERROR(TEXT((I385/I374),"+0%;-0%")&amp;" **","n/a**")</f>
        <v>n/a**</v>
      </c>
      <c r="L385" s="351"/>
      <c r="M385" s="338">
        <f>O367</f>
        <v>0</v>
      </c>
      <c r="N385" s="338"/>
      <c r="O385" s="338"/>
      <c r="P385" s="351" t="str">
        <f>IFERROR(ROUND((M385/M374)*100,0)&amp;"% **","n/a**")</f>
        <v>n/a**</v>
      </c>
      <c r="Q385" s="352"/>
    </row>
    <row r="386" spans="2:20" s="2" customFormat="1" ht="33" hidden="1" customHeight="1" thickBot="1" x14ac:dyDescent="0.25">
      <c r="B386" s="191"/>
      <c r="C386" s="192"/>
      <c r="D386" s="193"/>
      <c r="E386" s="192" t="s">
        <v>302</v>
      </c>
      <c r="F386" s="339" t="str">
        <f>IFERROR(((I385-E385)/ABS(E385)),"-")</f>
        <v>-</v>
      </c>
      <c r="G386" s="339"/>
      <c r="H386" s="194"/>
      <c r="I386" s="194"/>
      <c r="J386" s="194"/>
      <c r="K386" s="339" t="str">
        <f>IFERROR(((M385-I385)/ABS(I385)),"-")</f>
        <v>-</v>
      </c>
      <c r="L386" s="339"/>
      <c r="M386" s="339"/>
      <c r="N386" s="194"/>
      <c r="O386" s="194"/>
      <c r="P386" s="195"/>
      <c r="Q386" s="196"/>
    </row>
    <row r="387" spans="2:20" s="2" customFormat="1" ht="18.5" hidden="1" customHeight="1" thickTop="1" x14ac:dyDescent="0.2">
      <c r="B387" s="25"/>
      <c r="C387" s="25" t="s">
        <v>310</v>
      </c>
      <c r="D387" s="182"/>
      <c r="E387" s="182"/>
      <c r="F387" s="182"/>
      <c r="G387" s="17"/>
      <c r="H387" s="17"/>
      <c r="I387" s="17"/>
      <c r="J387" s="17"/>
      <c r="K387" s="17"/>
      <c r="L387" s="17"/>
      <c r="M387" s="17"/>
      <c r="N387" s="17"/>
      <c r="O387" s="17"/>
    </row>
    <row r="388" spans="2:20" ht="13.5" customHeight="1" thickTop="1" thickBot="1" x14ac:dyDescent="0.25"/>
    <row r="389" spans="2:20" s="2" customFormat="1" ht="21" customHeight="1" thickTop="1" thickBot="1" x14ac:dyDescent="0.25">
      <c r="B389" s="176"/>
      <c r="C389" s="177" t="s">
        <v>269</v>
      </c>
      <c r="D389" s="353"/>
      <c r="E389" s="353"/>
      <c r="F389" s="353"/>
      <c r="G389" s="354" t="s">
        <v>271</v>
      </c>
      <c r="H389" s="354"/>
      <c r="I389" s="355"/>
      <c r="J389" s="356"/>
      <c r="K389" s="178"/>
      <c r="L389" s="357" t="s">
        <v>272</v>
      </c>
      <c r="M389" s="354"/>
      <c r="N389" s="354"/>
      <c r="O389" s="358"/>
      <c r="P389" s="359"/>
      <c r="Q389" s="179"/>
    </row>
    <row r="390" spans="2:20" s="2" customFormat="1" ht="21" hidden="1" customHeight="1" thickTop="1" thickBot="1" x14ac:dyDescent="0.25">
      <c r="B390" s="176"/>
      <c r="C390" s="180" t="s">
        <v>270</v>
      </c>
      <c r="D390" s="353"/>
      <c r="E390" s="353"/>
      <c r="F390" s="353"/>
      <c r="G390" s="354"/>
      <c r="H390" s="354"/>
      <c r="I390" s="354"/>
      <c r="J390" s="354"/>
      <c r="K390" s="178"/>
      <c r="L390" s="357" t="s">
        <v>272</v>
      </c>
      <c r="M390" s="354"/>
      <c r="N390" s="354"/>
      <c r="O390" s="358"/>
      <c r="P390" s="359"/>
      <c r="Q390" s="179"/>
    </row>
    <row r="391" spans="2:20" s="2" customFormat="1" ht="24" hidden="1" customHeight="1" thickTop="1" thickBot="1" x14ac:dyDescent="0.25">
      <c r="C391" s="181"/>
      <c r="D391" s="182"/>
      <c r="E391" s="182"/>
      <c r="F391" s="363" t="s">
        <v>242</v>
      </c>
      <c r="G391" s="363"/>
      <c r="H391" s="17"/>
      <c r="I391" s="364"/>
      <c r="J391" s="364"/>
      <c r="K391" s="17"/>
      <c r="L391" s="364"/>
      <c r="M391" s="364"/>
      <c r="N391" s="17"/>
      <c r="O391" s="364"/>
      <c r="P391" s="364"/>
      <c r="Q391" s="64"/>
    </row>
    <row r="392" spans="2:20" s="2" customFormat="1" ht="24" hidden="1" customHeight="1" thickTop="1" thickBot="1" x14ac:dyDescent="0.25">
      <c r="C392" s="181" t="s">
        <v>292</v>
      </c>
      <c r="D392" s="182"/>
      <c r="E392" s="182"/>
      <c r="F392" s="182"/>
      <c r="G392" s="182"/>
      <c r="H392" s="17"/>
      <c r="I392" s="360"/>
      <c r="J392" s="360"/>
      <c r="K392" s="17"/>
      <c r="L392" s="360"/>
      <c r="M392" s="360"/>
      <c r="N392" s="17"/>
      <c r="O392" s="360"/>
      <c r="P392" s="360"/>
    </row>
    <row r="393" spans="2:20" s="2" customFormat="1" ht="24" hidden="1" customHeight="1" thickTop="1" thickBot="1" x14ac:dyDescent="0.25">
      <c r="C393" s="181" t="s">
        <v>293</v>
      </c>
      <c r="D393" s="182"/>
      <c r="E393" s="182"/>
      <c r="F393" s="182"/>
      <c r="G393" s="182"/>
      <c r="H393" s="17"/>
      <c r="I393" s="360"/>
      <c r="J393" s="360"/>
      <c r="K393" s="17"/>
      <c r="L393" s="360"/>
      <c r="M393" s="360"/>
      <c r="N393" s="17"/>
      <c r="O393" s="360"/>
      <c r="P393" s="360"/>
    </row>
    <row r="394" spans="2:20" s="2" customFormat="1" ht="24" hidden="1" customHeight="1" thickTop="1" thickBot="1" x14ac:dyDescent="0.25">
      <c r="C394" s="181" t="s">
        <v>294</v>
      </c>
      <c r="D394" s="182"/>
      <c r="E394" s="182"/>
      <c r="F394" s="182"/>
      <c r="G394" s="182"/>
      <c r="H394" s="17"/>
      <c r="I394" s="360"/>
      <c r="J394" s="360"/>
      <c r="K394" s="17"/>
      <c r="L394" s="360"/>
      <c r="M394" s="360"/>
      <c r="N394" s="17"/>
      <c r="O394" s="360"/>
      <c r="P394" s="360"/>
      <c r="T394" s="183"/>
    </row>
    <row r="395" spans="2:20" s="2" customFormat="1" ht="24" hidden="1" customHeight="1" thickTop="1" x14ac:dyDescent="0.2">
      <c r="C395" s="181" t="s">
        <v>295</v>
      </c>
      <c r="D395" s="182"/>
      <c r="E395" s="182"/>
      <c r="F395" s="182"/>
      <c r="G395" s="182"/>
      <c r="H395" s="17"/>
      <c r="I395" s="361"/>
      <c r="J395" s="361"/>
      <c r="K395" s="17"/>
      <c r="L395" s="361"/>
      <c r="M395" s="361"/>
      <c r="N395" s="17"/>
      <c r="O395" s="361"/>
      <c r="P395" s="361"/>
    </row>
    <row r="396" spans="2:20" s="2" customFormat="1" ht="17.5" hidden="1" customHeight="1" x14ac:dyDescent="0.2">
      <c r="C396" s="181" t="s">
        <v>296</v>
      </c>
      <c r="D396" s="182"/>
      <c r="E396" s="182"/>
      <c r="F396" s="182"/>
      <c r="G396" s="182"/>
      <c r="H396" s="17"/>
      <c r="I396" s="17"/>
      <c r="J396" s="17"/>
      <c r="K396" s="17"/>
      <c r="L396" s="17"/>
      <c r="M396" s="17"/>
      <c r="N396" s="17"/>
      <c r="O396" s="17"/>
    </row>
    <row r="397" spans="2:20" s="2" customFormat="1" ht="17.5" hidden="1" customHeight="1" x14ac:dyDescent="0.2">
      <c r="C397" s="181" t="s">
        <v>297</v>
      </c>
      <c r="D397" s="182"/>
      <c r="E397" s="182"/>
      <c r="F397" s="182"/>
      <c r="G397" s="182"/>
      <c r="H397" s="17"/>
      <c r="I397" s="17"/>
      <c r="J397" s="17"/>
      <c r="K397" s="17"/>
      <c r="L397" s="17"/>
      <c r="M397" s="17"/>
      <c r="N397" s="17"/>
      <c r="O397" s="17"/>
    </row>
    <row r="398" spans="2:20" s="2" customFormat="1" ht="24" hidden="1" customHeight="1" x14ac:dyDescent="0.2">
      <c r="C398" s="181"/>
      <c r="D398" s="182"/>
      <c r="E398" s="182"/>
      <c r="F398" s="182"/>
      <c r="G398" s="182"/>
      <c r="H398" s="17"/>
      <c r="I398" s="17"/>
      <c r="J398" s="17"/>
      <c r="K398" s="17"/>
      <c r="L398" s="17"/>
      <c r="M398" s="17"/>
      <c r="N398" s="17"/>
      <c r="O398" s="17"/>
    </row>
    <row r="399" spans="2:20" s="2" customFormat="1" ht="24" hidden="1" customHeight="1" x14ac:dyDescent="0.2">
      <c r="C399" s="181" t="s">
        <v>180</v>
      </c>
      <c r="D399" s="182"/>
      <c r="E399" s="182"/>
      <c r="F399" s="182"/>
      <c r="G399" s="182"/>
      <c r="H399" s="17"/>
      <c r="I399" s="362"/>
      <c r="J399" s="362"/>
      <c r="K399" s="184"/>
      <c r="L399" s="362"/>
      <c r="M399" s="362"/>
      <c r="N399" s="184"/>
      <c r="O399" s="362"/>
      <c r="P399" s="362"/>
      <c r="Q399" s="220"/>
    </row>
    <row r="400" spans="2:20" s="2" customFormat="1" ht="18.5" hidden="1" customHeight="1" x14ac:dyDescent="0.2">
      <c r="C400" s="181" t="s">
        <v>298</v>
      </c>
      <c r="D400" s="182"/>
      <c r="E400" s="182"/>
      <c r="F400" s="182"/>
      <c r="G400" s="182"/>
      <c r="H400" s="17"/>
      <c r="I400" s="220"/>
      <c r="J400" s="17"/>
      <c r="K400" s="17"/>
      <c r="L400" s="220"/>
      <c r="M400" s="17"/>
      <c r="N400" s="17"/>
      <c r="O400" s="220"/>
    </row>
    <row r="401" spans="2:17" s="2" customFormat="1" ht="18.5" hidden="1" customHeight="1" x14ac:dyDescent="0.2">
      <c r="C401" s="181" t="s">
        <v>299</v>
      </c>
      <c r="D401" s="182"/>
      <c r="E401" s="182"/>
      <c r="F401" s="182"/>
      <c r="G401" s="182"/>
      <c r="H401" s="17"/>
      <c r="I401" s="17"/>
      <c r="J401" s="17"/>
      <c r="K401" s="17"/>
      <c r="L401" s="17"/>
      <c r="M401" s="17"/>
      <c r="N401" s="17"/>
      <c r="O401" s="17"/>
    </row>
    <row r="402" spans="2:17" s="2" customFormat="1" ht="18.5" hidden="1" customHeight="1" x14ac:dyDescent="0.2">
      <c r="C402" s="181" t="s">
        <v>300</v>
      </c>
      <c r="D402" s="182"/>
      <c r="E402" s="182"/>
      <c r="F402" s="182"/>
      <c r="G402" s="182"/>
      <c r="H402" s="17"/>
      <c r="I402" s="17"/>
      <c r="J402" s="17"/>
      <c r="K402" s="17"/>
      <c r="L402" s="17"/>
      <c r="M402" s="17"/>
      <c r="N402" s="17"/>
      <c r="O402" s="17"/>
    </row>
    <row r="403" spans="2:17" s="2" customFormat="1" ht="18.5" hidden="1" customHeight="1" thickBot="1" x14ac:dyDescent="0.25">
      <c r="C403" s="181"/>
      <c r="D403" s="182"/>
      <c r="E403" s="182"/>
      <c r="F403" s="182"/>
      <c r="G403" s="182"/>
      <c r="H403" s="17"/>
      <c r="I403" s="17"/>
      <c r="J403" s="17"/>
      <c r="K403" s="17"/>
      <c r="L403" s="17"/>
      <c r="M403" s="17"/>
      <c r="N403" s="17"/>
      <c r="O403" s="17"/>
    </row>
    <row r="404" spans="2:17" s="2" customFormat="1" ht="33" hidden="1" customHeight="1" thickTop="1" x14ac:dyDescent="0.2">
      <c r="B404" s="185"/>
      <c r="C404" s="186" t="s">
        <v>301</v>
      </c>
      <c r="D404" s="187"/>
      <c r="E404" s="221">
        <f>I392</f>
        <v>0</v>
      </c>
      <c r="F404" s="187"/>
      <c r="G404" s="188"/>
      <c r="H404" s="188"/>
      <c r="I404" s="337">
        <f>L392</f>
        <v>0</v>
      </c>
      <c r="J404" s="337"/>
      <c r="K404" s="188"/>
      <c r="L404" s="188"/>
      <c r="M404" s="338">
        <f>O392</f>
        <v>0</v>
      </c>
      <c r="N404" s="338"/>
      <c r="O404" s="338"/>
      <c r="P404" s="189"/>
      <c r="Q404" s="190"/>
    </row>
    <row r="405" spans="2:17" s="2" customFormat="1" ht="33" hidden="1" customHeight="1" thickBot="1" x14ac:dyDescent="0.25">
      <c r="B405" s="191"/>
      <c r="C405" s="192"/>
      <c r="D405" s="193"/>
      <c r="E405" s="192" t="s">
        <v>302</v>
      </c>
      <c r="F405" s="339" t="str">
        <f>IFERROR(((I404-E404)/ABS(E404)),"-")</f>
        <v>-</v>
      </c>
      <c r="G405" s="339"/>
      <c r="H405" s="194"/>
      <c r="I405" s="194"/>
      <c r="J405" s="194"/>
      <c r="K405" s="339" t="str">
        <f>IFERROR(((M404-I404)/ABS(I404)),"-")</f>
        <v>-</v>
      </c>
      <c r="L405" s="339"/>
      <c r="M405" s="339"/>
      <c r="N405" s="194"/>
      <c r="O405" s="194"/>
      <c r="P405" s="195"/>
      <c r="Q405" s="196"/>
    </row>
    <row r="406" spans="2:17" s="2" customFormat="1" ht="33" hidden="1" customHeight="1" thickTop="1" x14ac:dyDescent="0.2">
      <c r="B406" s="185"/>
      <c r="C406" s="186" t="s">
        <v>303</v>
      </c>
      <c r="D406" s="187"/>
      <c r="E406" s="221">
        <f>I392-I393</f>
        <v>0</v>
      </c>
      <c r="F406" s="187"/>
      <c r="G406" s="188"/>
      <c r="H406" s="188"/>
      <c r="I406" s="337">
        <f>L392-L393</f>
        <v>0</v>
      </c>
      <c r="J406" s="337"/>
      <c r="K406" s="188"/>
      <c r="L406" s="188"/>
      <c r="M406" s="338">
        <f>O392-O393</f>
        <v>0</v>
      </c>
      <c r="N406" s="338"/>
      <c r="O406" s="338"/>
      <c r="P406" s="189"/>
      <c r="Q406" s="190"/>
    </row>
    <row r="407" spans="2:17" s="2" customFormat="1" ht="33" hidden="1" customHeight="1" x14ac:dyDescent="0.2">
      <c r="B407" s="197"/>
      <c r="C407" s="181" t="s">
        <v>304</v>
      </c>
      <c r="D407" s="182"/>
      <c r="E407" s="181"/>
      <c r="F407" s="181"/>
      <c r="G407" s="17"/>
      <c r="H407" s="17"/>
      <c r="I407" s="17"/>
      <c r="J407" s="17"/>
      <c r="K407" s="17"/>
      <c r="L407" s="17"/>
      <c r="M407" s="17"/>
      <c r="N407" s="17"/>
      <c r="O407" s="17"/>
      <c r="Q407" s="198"/>
    </row>
    <row r="408" spans="2:17" s="2" customFormat="1" ht="33" hidden="1" customHeight="1" thickBot="1" x14ac:dyDescent="0.25">
      <c r="B408" s="191"/>
      <c r="C408" s="192"/>
      <c r="D408" s="193"/>
      <c r="E408" s="192" t="s">
        <v>302</v>
      </c>
      <c r="F408" s="339" t="str">
        <f>IFERROR(((I406-E406)/ABS(E406)),"-")</f>
        <v>-</v>
      </c>
      <c r="G408" s="339"/>
      <c r="H408" s="194"/>
      <c r="I408" s="194"/>
      <c r="J408" s="194"/>
      <c r="K408" s="339" t="str">
        <f>IFERROR(((M406-I406)/ABS(I406)),"-")</f>
        <v>-</v>
      </c>
      <c r="L408" s="339"/>
      <c r="M408" s="339"/>
      <c r="N408" s="194"/>
      <c r="O408" s="194"/>
      <c r="P408" s="195"/>
      <c r="Q408" s="196"/>
    </row>
    <row r="409" spans="2:17" s="2" customFormat="1" ht="33" hidden="1" customHeight="1" thickTop="1" x14ac:dyDescent="0.2">
      <c r="B409" s="185"/>
      <c r="C409" s="186" t="s">
        <v>305</v>
      </c>
      <c r="D409" s="187"/>
      <c r="E409" s="221">
        <f>I394</f>
        <v>0</v>
      </c>
      <c r="F409" s="187"/>
      <c r="G409" s="188"/>
      <c r="H409" s="188"/>
      <c r="I409" s="337">
        <f>L394</f>
        <v>0</v>
      </c>
      <c r="J409" s="337"/>
      <c r="K409" s="188"/>
      <c r="L409" s="188"/>
      <c r="M409" s="338">
        <f>O394</f>
        <v>0</v>
      </c>
      <c r="N409" s="338"/>
      <c r="O409" s="338"/>
      <c r="P409" s="189"/>
      <c r="Q409" s="190"/>
    </row>
    <row r="410" spans="2:17" s="2" customFormat="1" ht="33" hidden="1" customHeight="1" thickBot="1" x14ac:dyDescent="0.25">
      <c r="B410" s="191"/>
      <c r="C410" s="192"/>
      <c r="D410" s="193"/>
      <c r="E410" s="192" t="s">
        <v>302</v>
      </c>
      <c r="F410" s="339" t="str">
        <f>IFERROR(((I409-E409)/ABS(E409)),"-")</f>
        <v>-</v>
      </c>
      <c r="G410" s="339"/>
      <c r="H410" s="194"/>
      <c r="I410" s="194"/>
      <c r="J410" s="194"/>
      <c r="K410" s="339" t="str">
        <f>IFERROR(((M409-I409)/ABS(I409)),"-")</f>
        <v>-</v>
      </c>
      <c r="L410" s="339"/>
      <c r="M410" s="339"/>
      <c r="N410" s="194"/>
      <c r="O410" s="194"/>
      <c r="P410" s="195"/>
      <c r="Q410" s="196"/>
    </row>
    <row r="411" spans="2:17" s="2" customFormat="1" ht="33" hidden="1" customHeight="1" thickTop="1" x14ac:dyDescent="0.2">
      <c r="B411" s="185"/>
      <c r="C411" s="186" t="s">
        <v>306</v>
      </c>
      <c r="D411" s="187"/>
      <c r="E411" s="221">
        <f>I394+I395</f>
        <v>0</v>
      </c>
      <c r="F411" s="340" t="str">
        <f>IFERROR(TEXT((E411/E406),"+0%;-0%")&amp;" *","n/a*")</f>
        <v>n/a*</v>
      </c>
      <c r="G411" s="340"/>
      <c r="H411" s="188"/>
      <c r="I411" s="337">
        <f>L394+L395</f>
        <v>0</v>
      </c>
      <c r="J411" s="337"/>
      <c r="K411" s="340" t="str">
        <f>IFERROR(TEXT((I411/I406),"+0%;-0%")&amp;" *","n/a*")</f>
        <v>n/a*</v>
      </c>
      <c r="L411" s="340"/>
      <c r="M411" s="338">
        <f>O394+O395</f>
        <v>0</v>
      </c>
      <c r="N411" s="338"/>
      <c r="O411" s="338"/>
      <c r="P411" s="340" t="str">
        <f>IFERROR(ROUND((M411/M406)*100,0)&amp;"% *","n/a*")</f>
        <v>n/a*</v>
      </c>
      <c r="Q411" s="341"/>
    </row>
    <row r="412" spans="2:17" s="2" customFormat="1" ht="33" hidden="1" customHeight="1" x14ac:dyDescent="0.2">
      <c r="B412" s="197"/>
      <c r="C412" s="181" t="s">
        <v>307</v>
      </c>
      <c r="D412" s="182"/>
      <c r="E412" s="181"/>
      <c r="F412" s="181"/>
      <c r="G412" s="17"/>
      <c r="H412" s="17"/>
      <c r="I412" s="17"/>
      <c r="J412" s="17"/>
      <c r="K412" s="17"/>
      <c r="L412" s="17"/>
      <c r="M412" s="17"/>
      <c r="N412" s="17"/>
      <c r="O412" s="17"/>
      <c r="Q412" s="198"/>
    </row>
    <row r="413" spans="2:17" s="2" customFormat="1" ht="33" hidden="1" customHeight="1" thickBot="1" x14ac:dyDescent="0.25">
      <c r="B413" s="191"/>
      <c r="C413" s="192"/>
      <c r="D413" s="193"/>
      <c r="E413" s="192" t="s">
        <v>302</v>
      </c>
      <c r="F413" s="339" t="str">
        <f>IFERROR(((I411-E411)/ABS(E411)),"-")</f>
        <v>-</v>
      </c>
      <c r="G413" s="339"/>
      <c r="H413" s="194"/>
      <c r="I413" s="194"/>
      <c r="J413" s="194"/>
      <c r="K413" s="339" t="str">
        <f>IFERROR(((M411-I411)/ABS(I411)),"-")</f>
        <v>-</v>
      </c>
      <c r="L413" s="339"/>
      <c r="M413" s="339"/>
      <c r="N413" s="194"/>
      <c r="O413" s="194"/>
      <c r="P413" s="195"/>
      <c r="Q413" s="196"/>
    </row>
    <row r="414" spans="2:17" s="2" customFormat="1" ht="33" hidden="1" customHeight="1" thickTop="1" x14ac:dyDescent="0.2">
      <c r="B414" s="185"/>
      <c r="C414" s="186" t="s">
        <v>308</v>
      </c>
      <c r="D414" s="187"/>
      <c r="E414" s="221">
        <f>I392-I393-I394</f>
        <v>0</v>
      </c>
      <c r="F414" s="187"/>
      <c r="G414" s="188"/>
      <c r="H414" s="188"/>
      <c r="I414" s="337">
        <f>L392-L393-L394</f>
        <v>0</v>
      </c>
      <c r="J414" s="337"/>
      <c r="K414" s="188"/>
      <c r="L414" s="188"/>
      <c r="M414" s="338">
        <f>O392-O393-O394</f>
        <v>0</v>
      </c>
      <c r="N414" s="338"/>
      <c r="O414" s="338"/>
      <c r="P414" s="189"/>
      <c r="Q414" s="190"/>
    </row>
    <row r="415" spans="2:17" s="2" customFormat="1" ht="33" hidden="1" customHeight="1" x14ac:dyDescent="0.2">
      <c r="B415" s="197"/>
      <c r="C415" s="181" t="s">
        <v>309</v>
      </c>
      <c r="D415" s="182"/>
      <c r="E415" s="181"/>
      <c r="F415" s="181"/>
      <c r="G415" s="17"/>
      <c r="H415" s="17"/>
      <c r="I415" s="17"/>
      <c r="J415" s="17"/>
      <c r="K415" s="17"/>
      <c r="L415" s="17"/>
      <c r="M415" s="17"/>
      <c r="N415" s="17"/>
      <c r="O415" s="17"/>
      <c r="Q415" s="198"/>
    </row>
    <row r="416" spans="2:17" s="2" customFormat="1" ht="33" hidden="1" customHeight="1" thickBot="1" x14ac:dyDescent="0.25">
      <c r="B416" s="191"/>
      <c r="C416" s="192"/>
      <c r="D416" s="193"/>
      <c r="E416" s="192" t="s">
        <v>302</v>
      </c>
      <c r="F416" s="339" t="str">
        <f>IFERROR(((I414-E414)/ABS(E414)),"-")</f>
        <v>-</v>
      </c>
      <c r="G416" s="339"/>
      <c r="H416" s="194"/>
      <c r="I416" s="194"/>
      <c r="J416" s="194"/>
      <c r="K416" s="339" t="str">
        <f>IFERROR(((M414-I414)/ABS(I414)),"-")</f>
        <v>-</v>
      </c>
      <c r="L416" s="339"/>
      <c r="M416" s="339"/>
      <c r="N416" s="194"/>
      <c r="O416" s="194"/>
      <c r="P416" s="195"/>
      <c r="Q416" s="196"/>
    </row>
    <row r="417" spans="2:20" s="2" customFormat="1" ht="33" hidden="1" customHeight="1" thickTop="1" x14ac:dyDescent="0.2">
      <c r="B417" s="185"/>
      <c r="C417" s="186" t="s">
        <v>180</v>
      </c>
      <c r="D417" s="187"/>
      <c r="E417" s="221">
        <f>I399</f>
        <v>0</v>
      </c>
      <c r="F417" s="351" t="str">
        <f>IFERROR(ROUND((E417/E406)*100,0)&amp;"% **","n/a**")</f>
        <v>n/a**</v>
      </c>
      <c r="G417" s="351"/>
      <c r="H417" s="188"/>
      <c r="I417" s="337">
        <f>L399</f>
        <v>0</v>
      </c>
      <c r="J417" s="337"/>
      <c r="K417" s="351" t="str">
        <f>IFERROR(TEXT((I417/I406),"+0%;-0%")&amp;" **","n/a**")</f>
        <v>n/a**</v>
      </c>
      <c r="L417" s="351"/>
      <c r="M417" s="338">
        <f>O399</f>
        <v>0</v>
      </c>
      <c r="N417" s="338"/>
      <c r="O417" s="338"/>
      <c r="P417" s="351" t="str">
        <f>IFERROR(ROUND((M417/M406)*100,0)&amp;"% **","n/a**")</f>
        <v>n/a**</v>
      </c>
      <c r="Q417" s="352"/>
    </row>
    <row r="418" spans="2:20" s="2" customFormat="1" ht="33" hidden="1" customHeight="1" thickBot="1" x14ac:dyDescent="0.25">
      <c r="B418" s="191"/>
      <c r="C418" s="192"/>
      <c r="D418" s="193"/>
      <c r="E418" s="192" t="s">
        <v>302</v>
      </c>
      <c r="F418" s="339" t="str">
        <f>IFERROR(((I417-E417)/ABS(E417)),"-")</f>
        <v>-</v>
      </c>
      <c r="G418" s="339"/>
      <c r="H418" s="194"/>
      <c r="I418" s="194"/>
      <c r="J418" s="194"/>
      <c r="K418" s="339" t="str">
        <f>IFERROR(((M417-I417)/ABS(I417)),"-")</f>
        <v>-</v>
      </c>
      <c r="L418" s="339"/>
      <c r="M418" s="339"/>
      <c r="N418" s="194"/>
      <c r="O418" s="194"/>
      <c r="P418" s="195"/>
      <c r="Q418" s="196"/>
    </row>
    <row r="419" spans="2:20" s="2" customFormat="1" ht="18.5" hidden="1" customHeight="1" thickTop="1" x14ac:dyDescent="0.2">
      <c r="B419" s="25"/>
      <c r="C419" s="25" t="s">
        <v>310</v>
      </c>
      <c r="D419" s="182"/>
      <c r="E419" s="182"/>
      <c r="F419" s="182"/>
      <c r="G419" s="17"/>
      <c r="H419" s="17"/>
      <c r="I419" s="17"/>
      <c r="J419" s="17"/>
      <c r="K419" s="17"/>
      <c r="L419" s="17"/>
      <c r="M419" s="17"/>
      <c r="N419" s="17"/>
      <c r="O419" s="17"/>
    </row>
    <row r="420" spans="2:20" ht="13.5" customHeight="1" thickTop="1" thickBot="1" x14ac:dyDescent="0.25"/>
    <row r="421" spans="2:20" s="2" customFormat="1" ht="21" customHeight="1" thickTop="1" thickBot="1" x14ac:dyDescent="0.25">
      <c r="B421" s="176"/>
      <c r="C421" s="177" t="s">
        <v>269</v>
      </c>
      <c r="D421" s="353"/>
      <c r="E421" s="353"/>
      <c r="F421" s="353"/>
      <c r="G421" s="354" t="s">
        <v>271</v>
      </c>
      <c r="H421" s="354"/>
      <c r="I421" s="355"/>
      <c r="J421" s="356"/>
      <c r="K421" s="178"/>
      <c r="L421" s="357" t="s">
        <v>272</v>
      </c>
      <c r="M421" s="354"/>
      <c r="N421" s="354"/>
      <c r="O421" s="358"/>
      <c r="P421" s="359"/>
      <c r="Q421" s="179"/>
    </row>
    <row r="422" spans="2:20" s="2" customFormat="1" ht="21" hidden="1" customHeight="1" thickTop="1" thickBot="1" x14ac:dyDescent="0.25">
      <c r="B422" s="176"/>
      <c r="C422" s="180" t="s">
        <v>270</v>
      </c>
      <c r="D422" s="353"/>
      <c r="E422" s="353"/>
      <c r="F422" s="353"/>
      <c r="G422" s="354"/>
      <c r="H422" s="354"/>
      <c r="I422" s="354"/>
      <c r="J422" s="354"/>
      <c r="K422" s="178"/>
      <c r="L422" s="357" t="s">
        <v>272</v>
      </c>
      <c r="M422" s="354"/>
      <c r="N422" s="354"/>
      <c r="O422" s="358"/>
      <c r="P422" s="359"/>
      <c r="Q422" s="179"/>
    </row>
    <row r="423" spans="2:20" s="2" customFormat="1" ht="24" hidden="1" customHeight="1" thickTop="1" thickBot="1" x14ac:dyDescent="0.25">
      <c r="C423" s="181"/>
      <c r="D423" s="182"/>
      <c r="E423" s="182"/>
      <c r="F423" s="363" t="s">
        <v>242</v>
      </c>
      <c r="G423" s="363"/>
      <c r="H423" s="17"/>
      <c r="I423" s="364"/>
      <c r="J423" s="364"/>
      <c r="K423" s="17"/>
      <c r="L423" s="364"/>
      <c r="M423" s="364"/>
      <c r="N423" s="17"/>
      <c r="O423" s="364"/>
      <c r="P423" s="364"/>
      <c r="Q423" s="64"/>
    </row>
    <row r="424" spans="2:20" s="2" customFormat="1" ht="24" hidden="1" customHeight="1" thickTop="1" thickBot="1" x14ac:dyDescent="0.25">
      <c r="C424" s="181" t="s">
        <v>292</v>
      </c>
      <c r="D424" s="182"/>
      <c r="E424" s="182"/>
      <c r="F424" s="182"/>
      <c r="G424" s="182"/>
      <c r="H424" s="17"/>
      <c r="I424" s="360"/>
      <c r="J424" s="360"/>
      <c r="K424" s="17"/>
      <c r="L424" s="360"/>
      <c r="M424" s="360"/>
      <c r="N424" s="17"/>
      <c r="O424" s="360"/>
      <c r="P424" s="360"/>
    </row>
    <row r="425" spans="2:20" s="2" customFormat="1" ht="24" hidden="1" customHeight="1" thickTop="1" thickBot="1" x14ac:dyDescent="0.25">
      <c r="C425" s="181" t="s">
        <v>293</v>
      </c>
      <c r="D425" s="182"/>
      <c r="E425" s="182"/>
      <c r="F425" s="182"/>
      <c r="G425" s="182"/>
      <c r="H425" s="17"/>
      <c r="I425" s="360"/>
      <c r="J425" s="360"/>
      <c r="K425" s="17"/>
      <c r="L425" s="360"/>
      <c r="M425" s="360"/>
      <c r="N425" s="17"/>
      <c r="O425" s="360"/>
      <c r="P425" s="360"/>
    </row>
    <row r="426" spans="2:20" s="2" customFormat="1" ht="24" hidden="1" customHeight="1" thickTop="1" thickBot="1" x14ac:dyDescent="0.25">
      <c r="C426" s="181" t="s">
        <v>294</v>
      </c>
      <c r="D426" s="182"/>
      <c r="E426" s="182"/>
      <c r="F426" s="182"/>
      <c r="G426" s="182"/>
      <c r="H426" s="17"/>
      <c r="I426" s="360"/>
      <c r="J426" s="360"/>
      <c r="K426" s="17"/>
      <c r="L426" s="360"/>
      <c r="M426" s="360"/>
      <c r="N426" s="17"/>
      <c r="O426" s="360"/>
      <c r="P426" s="360"/>
      <c r="T426" s="183"/>
    </row>
    <row r="427" spans="2:20" s="2" customFormat="1" ht="24" hidden="1" customHeight="1" thickTop="1" x14ac:dyDescent="0.2">
      <c r="C427" s="181" t="s">
        <v>295</v>
      </c>
      <c r="D427" s="182"/>
      <c r="E427" s="182"/>
      <c r="F427" s="182"/>
      <c r="G427" s="182"/>
      <c r="H427" s="17"/>
      <c r="I427" s="361"/>
      <c r="J427" s="361"/>
      <c r="K427" s="17"/>
      <c r="L427" s="361"/>
      <c r="M427" s="361"/>
      <c r="N427" s="17"/>
      <c r="O427" s="361"/>
      <c r="P427" s="361"/>
    </row>
    <row r="428" spans="2:20" s="2" customFormat="1" ht="17.5" hidden="1" customHeight="1" x14ac:dyDescent="0.2">
      <c r="C428" s="181" t="s">
        <v>296</v>
      </c>
      <c r="D428" s="182"/>
      <c r="E428" s="182"/>
      <c r="F428" s="182"/>
      <c r="G428" s="182"/>
      <c r="H428" s="17"/>
      <c r="I428" s="17"/>
      <c r="J428" s="17"/>
      <c r="K428" s="17"/>
      <c r="L428" s="17"/>
      <c r="M428" s="17"/>
      <c r="N428" s="17"/>
      <c r="O428" s="17"/>
    </row>
    <row r="429" spans="2:20" s="2" customFormat="1" ht="17.5" hidden="1" customHeight="1" x14ac:dyDescent="0.2">
      <c r="C429" s="181" t="s">
        <v>297</v>
      </c>
      <c r="D429" s="182"/>
      <c r="E429" s="182"/>
      <c r="F429" s="182"/>
      <c r="G429" s="182"/>
      <c r="H429" s="17"/>
      <c r="I429" s="17"/>
      <c r="J429" s="17"/>
      <c r="K429" s="17"/>
      <c r="L429" s="17"/>
      <c r="M429" s="17"/>
      <c r="N429" s="17"/>
      <c r="O429" s="17"/>
    </row>
    <row r="430" spans="2:20" s="2" customFormat="1" ht="24" hidden="1" customHeight="1" x14ac:dyDescent="0.2">
      <c r="C430" s="181"/>
      <c r="D430" s="182"/>
      <c r="E430" s="182"/>
      <c r="F430" s="182"/>
      <c r="G430" s="182"/>
      <c r="H430" s="17"/>
      <c r="I430" s="17"/>
      <c r="J430" s="17"/>
      <c r="K430" s="17"/>
      <c r="L430" s="17"/>
      <c r="M430" s="17"/>
      <c r="N430" s="17"/>
      <c r="O430" s="17"/>
    </row>
    <row r="431" spans="2:20" s="2" customFormat="1" ht="24" hidden="1" customHeight="1" x14ac:dyDescent="0.2">
      <c r="C431" s="181" t="s">
        <v>180</v>
      </c>
      <c r="D431" s="182"/>
      <c r="E431" s="182"/>
      <c r="F431" s="182"/>
      <c r="G431" s="182"/>
      <c r="H431" s="17"/>
      <c r="I431" s="362"/>
      <c r="J431" s="362"/>
      <c r="K431" s="184"/>
      <c r="L431" s="362"/>
      <c r="M431" s="362"/>
      <c r="N431" s="184"/>
      <c r="O431" s="362"/>
      <c r="P431" s="362"/>
      <c r="Q431" s="220"/>
    </row>
    <row r="432" spans="2:20" s="2" customFormat="1" ht="18.5" hidden="1" customHeight="1" x14ac:dyDescent="0.2">
      <c r="C432" s="181" t="s">
        <v>298</v>
      </c>
      <c r="D432" s="182"/>
      <c r="E432" s="182"/>
      <c r="F432" s="182"/>
      <c r="G432" s="182"/>
      <c r="H432" s="17"/>
      <c r="I432" s="220"/>
      <c r="J432" s="17"/>
      <c r="K432" s="17"/>
      <c r="L432" s="220"/>
      <c r="M432" s="17"/>
      <c r="N432" s="17"/>
      <c r="O432" s="220"/>
    </row>
    <row r="433" spans="2:17" s="2" customFormat="1" ht="18.5" hidden="1" customHeight="1" x14ac:dyDescent="0.2">
      <c r="C433" s="181" t="s">
        <v>299</v>
      </c>
      <c r="D433" s="182"/>
      <c r="E433" s="182"/>
      <c r="F433" s="182"/>
      <c r="G433" s="182"/>
      <c r="H433" s="17"/>
      <c r="I433" s="17"/>
      <c r="J433" s="17"/>
      <c r="K433" s="17"/>
      <c r="L433" s="17"/>
      <c r="M433" s="17"/>
      <c r="N433" s="17"/>
      <c r="O433" s="17"/>
    </row>
    <row r="434" spans="2:17" s="2" customFormat="1" ht="18.5" hidden="1" customHeight="1" x14ac:dyDescent="0.2">
      <c r="C434" s="181" t="s">
        <v>300</v>
      </c>
      <c r="D434" s="182"/>
      <c r="E434" s="182"/>
      <c r="F434" s="182"/>
      <c r="G434" s="182"/>
      <c r="H434" s="17"/>
      <c r="I434" s="17"/>
      <c r="J434" s="17"/>
      <c r="K434" s="17"/>
      <c r="L434" s="17"/>
      <c r="M434" s="17"/>
      <c r="N434" s="17"/>
      <c r="O434" s="17"/>
    </row>
    <row r="435" spans="2:17" s="2" customFormat="1" ht="18.5" hidden="1" customHeight="1" thickBot="1" x14ac:dyDescent="0.25">
      <c r="C435" s="181"/>
      <c r="D435" s="182"/>
      <c r="E435" s="182"/>
      <c r="F435" s="182"/>
      <c r="G435" s="182"/>
      <c r="H435" s="17"/>
      <c r="I435" s="17"/>
      <c r="J435" s="17"/>
      <c r="K435" s="17"/>
      <c r="L435" s="17"/>
      <c r="M435" s="17"/>
      <c r="N435" s="17"/>
      <c r="O435" s="17"/>
    </row>
    <row r="436" spans="2:17" s="2" customFormat="1" ht="33" hidden="1" customHeight="1" thickTop="1" x14ac:dyDescent="0.2">
      <c r="B436" s="185"/>
      <c r="C436" s="186" t="s">
        <v>301</v>
      </c>
      <c r="D436" s="187"/>
      <c r="E436" s="221">
        <f>I424</f>
        <v>0</v>
      </c>
      <c r="F436" s="187"/>
      <c r="G436" s="188"/>
      <c r="H436" s="188"/>
      <c r="I436" s="337">
        <f>L424</f>
        <v>0</v>
      </c>
      <c r="J436" s="337"/>
      <c r="K436" s="188"/>
      <c r="L436" s="188"/>
      <c r="M436" s="338">
        <f>O424</f>
        <v>0</v>
      </c>
      <c r="N436" s="338"/>
      <c r="O436" s="338"/>
      <c r="P436" s="189"/>
      <c r="Q436" s="190"/>
    </row>
    <row r="437" spans="2:17" s="2" customFormat="1" ht="33" hidden="1" customHeight="1" thickBot="1" x14ac:dyDescent="0.25">
      <c r="B437" s="191"/>
      <c r="C437" s="192"/>
      <c r="D437" s="193"/>
      <c r="E437" s="192" t="s">
        <v>302</v>
      </c>
      <c r="F437" s="339" t="str">
        <f>IFERROR(((I436-E436)/ABS(E436)),"-")</f>
        <v>-</v>
      </c>
      <c r="G437" s="339"/>
      <c r="H437" s="194"/>
      <c r="I437" s="194"/>
      <c r="J437" s="194"/>
      <c r="K437" s="339" t="str">
        <f>IFERROR(((M436-I436)/ABS(I436)),"-")</f>
        <v>-</v>
      </c>
      <c r="L437" s="339"/>
      <c r="M437" s="339"/>
      <c r="N437" s="194"/>
      <c r="O437" s="194"/>
      <c r="P437" s="195"/>
      <c r="Q437" s="196"/>
    </row>
    <row r="438" spans="2:17" s="2" customFormat="1" ht="33" hidden="1" customHeight="1" thickTop="1" x14ac:dyDescent="0.2">
      <c r="B438" s="185"/>
      <c r="C438" s="186" t="s">
        <v>303</v>
      </c>
      <c r="D438" s="187"/>
      <c r="E438" s="221">
        <f>I424-I425</f>
        <v>0</v>
      </c>
      <c r="F438" s="187"/>
      <c r="G438" s="188"/>
      <c r="H438" s="188"/>
      <c r="I438" s="337">
        <f>L424-L425</f>
        <v>0</v>
      </c>
      <c r="J438" s="337"/>
      <c r="K438" s="188"/>
      <c r="L438" s="188"/>
      <c r="M438" s="338">
        <f>O424-O425</f>
        <v>0</v>
      </c>
      <c r="N438" s="338"/>
      <c r="O438" s="338"/>
      <c r="P438" s="189"/>
      <c r="Q438" s="190"/>
    </row>
    <row r="439" spans="2:17" s="2" customFormat="1" ht="33" hidden="1" customHeight="1" x14ac:dyDescent="0.2">
      <c r="B439" s="197"/>
      <c r="C439" s="181" t="s">
        <v>304</v>
      </c>
      <c r="D439" s="182"/>
      <c r="E439" s="181"/>
      <c r="F439" s="181"/>
      <c r="G439" s="17"/>
      <c r="H439" s="17"/>
      <c r="I439" s="17"/>
      <c r="J439" s="17"/>
      <c r="K439" s="17"/>
      <c r="L439" s="17"/>
      <c r="M439" s="17"/>
      <c r="N439" s="17"/>
      <c r="O439" s="17"/>
      <c r="Q439" s="198"/>
    </row>
    <row r="440" spans="2:17" s="2" customFormat="1" ht="33" hidden="1" customHeight="1" thickBot="1" x14ac:dyDescent="0.25">
      <c r="B440" s="191"/>
      <c r="C440" s="192"/>
      <c r="D440" s="193"/>
      <c r="E440" s="192" t="s">
        <v>302</v>
      </c>
      <c r="F440" s="339" t="str">
        <f>IFERROR(((I438-E438)/ABS(E438)),"-")</f>
        <v>-</v>
      </c>
      <c r="G440" s="339"/>
      <c r="H440" s="194"/>
      <c r="I440" s="194"/>
      <c r="J440" s="194"/>
      <c r="K440" s="339" t="str">
        <f>IFERROR(((M438-I438)/ABS(I438)),"-")</f>
        <v>-</v>
      </c>
      <c r="L440" s="339"/>
      <c r="M440" s="339"/>
      <c r="N440" s="194"/>
      <c r="O440" s="194"/>
      <c r="P440" s="195"/>
      <c r="Q440" s="196"/>
    </row>
    <row r="441" spans="2:17" s="2" customFormat="1" ht="33" hidden="1" customHeight="1" thickTop="1" x14ac:dyDescent="0.2">
      <c r="B441" s="185"/>
      <c r="C441" s="186" t="s">
        <v>305</v>
      </c>
      <c r="D441" s="187"/>
      <c r="E441" s="221">
        <f>I426</f>
        <v>0</v>
      </c>
      <c r="F441" s="187"/>
      <c r="G441" s="188"/>
      <c r="H441" s="188"/>
      <c r="I441" s="337">
        <f>L426</f>
        <v>0</v>
      </c>
      <c r="J441" s="337"/>
      <c r="K441" s="188"/>
      <c r="L441" s="188"/>
      <c r="M441" s="338">
        <f>O426</f>
        <v>0</v>
      </c>
      <c r="N441" s="338"/>
      <c r="O441" s="338"/>
      <c r="P441" s="189"/>
      <c r="Q441" s="190"/>
    </row>
    <row r="442" spans="2:17" s="2" customFormat="1" ht="33" hidden="1" customHeight="1" thickBot="1" x14ac:dyDescent="0.25">
      <c r="B442" s="191"/>
      <c r="C442" s="192"/>
      <c r="D442" s="193"/>
      <c r="E442" s="192" t="s">
        <v>302</v>
      </c>
      <c r="F442" s="339" t="str">
        <f>IFERROR(((I441-E441)/ABS(E441)),"-")</f>
        <v>-</v>
      </c>
      <c r="G442" s="339"/>
      <c r="H442" s="194"/>
      <c r="I442" s="194"/>
      <c r="J442" s="194"/>
      <c r="K442" s="339" t="str">
        <f>IFERROR(((M441-I441)/ABS(I441)),"-")</f>
        <v>-</v>
      </c>
      <c r="L442" s="339"/>
      <c r="M442" s="339"/>
      <c r="N442" s="194"/>
      <c r="O442" s="194"/>
      <c r="P442" s="195"/>
      <c r="Q442" s="196"/>
    </row>
    <row r="443" spans="2:17" s="2" customFormat="1" ht="33" hidden="1" customHeight="1" thickTop="1" x14ac:dyDescent="0.2">
      <c r="B443" s="185"/>
      <c r="C443" s="186" t="s">
        <v>306</v>
      </c>
      <c r="D443" s="187"/>
      <c r="E443" s="221">
        <f>I426+I427</f>
        <v>0</v>
      </c>
      <c r="F443" s="340" t="str">
        <f>IFERROR(TEXT((E443/E438),"+0%;-0%")&amp;" *","n/a*")</f>
        <v>n/a*</v>
      </c>
      <c r="G443" s="340"/>
      <c r="H443" s="188"/>
      <c r="I443" s="337">
        <f>L426+L427</f>
        <v>0</v>
      </c>
      <c r="J443" s="337"/>
      <c r="K443" s="340" t="str">
        <f>IFERROR(TEXT((I443/I438),"+0%;-0%")&amp;" *","n/a*")</f>
        <v>n/a*</v>
      </c>
      <c r="L443" s="340"/>
      <c r="M443" s="338">
        <f>O426+O427</f>
        <v>0</v>
      </c>
      <c r="N443" s="338"/>
      <c r="O443" s="338"/>
      <c r="P443" s="340" t="str">
        <f>IFERROR(ROUND((M443/M438)*100,0)&amp;"% *","n/a*")</f>
        <v>n/a*</v>
      </c>
      <c r="Q443" s="341"/>
    </row>
    <row r="444" spans="2:17" s="2" customFormat="1" ht="33" hidden="1" customHeight="1" x14ac:dyDescent="0.2">
      <c r="B444" s="197"/>
      <c r="C444" s="181" t="s">
        <v>307</v>
      </c>
      <c r="D444" s="182"/>
      <c r="E444" s="181"/>
      <c r="F444" s="181"/>
      <c r="G444" s="17"/>
      <c r="H444" s="17"/>
      <c r="I444" s="17"/>
      <c r="J444" s="17"/>
      <c r="K444" s="17"/>
      <c r="L444" s="17"/>
      <c r="M444" s="17"/>
      <c r="N444" s="17"/>
      <c r="O444" s="17"/>
      <c r="Q444" s="198"/>
    </row>
    <row r="445" spans="2:17" s="2" customFormat="1" ht="33" hidden="1" customHeight="1" thickBot="1" x14ac:dyDescent="0.25">
      <c r="B445" s="191"/>
      <c r="C445" s="192"/>
      <c r="D445" s="193"/>
      <c r="E445" s="192" t="s">
        <v>302</v>
      </c>
      <c r="F445" s="339" t="str">
        <f>IFERROR(((I443-E443)/ABS(E443)),"-")</f>
        <v>-</v>
      </c>
      <c r="G445" s="339"/>
      <c r="H445" s="194"/>
      <c r="I445" s="194"/>
      <c r="J445" s="194"/>
      <c r="K445" s="339" t="str">
        <f>IFERROR(((M443-I443)/ABS(I443)),"-")</f>
        <v>-</v>
      </c>
      <c r="L445" s="339"/>
      <c r="M445" s="339"/>
      <c r="N445" s="194"/>
      <c r="O445" s="194"/>
      <c r="P445" s="195"/>
      <c r="Q445" s="196"/>
    </row>
    <row r="446" spans="2:17" s="2" customFormat="1" ht="33" hidden="1" customHeight="1" thickTop="1" x14ac:dyDescent="0.2">
      <c r="B446" s="185"/>
      <c r="C446" s="186" t="s">
        <v>308</v>
      </c>
      <c r="D446" s="187"/>
      <c r="E446" s="221">
        <f>I424-I425-I426</f>
        <v>0</v>
      </c>
      <c r="F446" s="187"/>
      <c r="G446" s="188"/>
      <c r="H446" s="188"/>
      <c r="I446" s="337">
        <f>L424-L425-L426</f>
        <v>0</v>
      </c>
      <c r="J446" s="337"/>
      <c r="K446" s="188"/>
      <c r="L446" s="188"/>
      <c r="M446" s="338">
        <f>O424-O425-O426</f>
        <v>0</v>
      </c>
      <c r="N446" s="338"/>
      <c r="O446" s="338"/>
      <c r="P446" s="189"/>
      <c r="Q446" s="190"/>
    </row>
    <row r="447" spans="2:17" s="2" customFormat="1" ht="33" hidden="1" customHeight="1" x14ac:dyDescent="0.2">
      <c r="B447" s="197"/>
      <c r="C447" s="181" t="s">
        <v>309</v>
      </c>
      <c r="D447" s="182"/>
      <c r="E447" s="181"/>
      <c r="F447" s="181"/>
      <c r="G447" s="17"/>
      <c r="H447" s="17"/>
      <c r="I447" s="17"/>
      <c r="J447" s="17"/>
      <c r="K447" s="17"/>
      <c r="L447" s="17"/>
      <c r="M447" s="17"/>
      <c r="N447" s="17"/>
      <c r="O447" s="17"/>
      <c r="Q447" s="198"/>
    </row>
    <row r="448" spans="2:17" s="2" customFormat="1" ht="33" hidden="1" customHeight="1" thickBot="1" x14ac:dyDescent="0.25">
      <c r="B448" s="191"/>
      <c r="C448" s="192"/>
      <c r="D448" s="193"/>
      <c r="E448" s="192" t="s">
        <v>302</v>
      </c>
      <c r="F448" s="339" t="str">
        <f>IFERROR(((I446-E446)/ABS(E446)),"-")</f>
        <v>-</v>
      </c>
      <c r="G448" s="339"/>
      <c r="H448" s="194"/>
      <c r="I448" s="194"/>
      <c r="J448" s="194"/>
      <c r="K448" s="339" t="str">
        <f>IFERROR(((M446-I446)/ABS(I446)),"-")</f>
        <v>-</v>
      </c>
      <c r="L448" s="339"/>
      <c r="M448" s="339"/>
      <c r="N448" s="194"/>
      <c r="O448" s="194"/>
      <c r="P448" s="195"/>
      <c r="Q448" s="196"/>
    </row>
    <row r="449" spans="2:20" s="2" customFormat="1" ht="33" hidden="1" customHeight="1" thickTop="1" x14ac:dyDescent="0.2">
      <c r="B449" s="185"/>
      <c r="C449" s="186" t="s">
        <v>180</v>
      </c>
      <c r="D449" s="187"/>
      <c r="E449" s="221">
        <f>I431</f>
        <v>0</v>
      </c>
      <c r="F449" s="351" t="str">
        <f>IFERROR(ROUND((E449/E438)*100,0)&amp;"% **","n/a**")</f>
        <v>n/a**</v>
      </c>
      <c r="G449" s="351"/>
      <c r="H449" s="188"/>
      <c r="I449" s="337">
        <f>L431</f>
        <v>0</v>
      </c>
      <c r="J449" s="337"/>
      <c r="K449" s="351" t="str">
        <f>IFERROR(TEXT((I449/I438),"+0%;-0%")&amp;" **","n/a**")</f>
        <v>n/a**</v>
      </c>
      <c r="L449" s="351"/>
      <c r="M449" s="338">
        <f>O431</f>
        <v>0</v>
      </c>
      <c r="N449" s="338"/>
      <c r="O449" s="338"/>
      <c r="P449" s="351" t="str">
        <f>IFERROR(ROUND((M449/M438)*100,0)&amp;"% **","n/a**")</f>
        <v>n/a**</v>
      </c>
      <c r="Q449" s="352"/>
    </row>
    <row r="450" spans="2:20" s="2" customFormat="1" ht="33" hidden="1" customHeight="1" thickBot="1" x14ac:dyDescent="0.25">
      <c r="B450" s="191"/>
      <c r="C450" s="192"/>
      <c r="D450" s="193"/>
      <c r="E450" s="192" t="s">
        <v>302</v>
      </c>
      <c r="F450" s="339" t="str">
        <f>IFERROR(((I449-E449)/ABS(E449)),"-")</f>
        <v>-</v>
      </c>
      <c r="G450" s="339"/>
      <c r="H450" s="194"/>
      <c r="I450" s="194"/>
      <c r="J450" s="194"/>
      <c r="K450" s="339" t="str">
        <f>IFERROR(((M449-I449)/ABS(I449)),"-")</f>
        <v>-</v>
      </c>
      <c r="L450" s="339"/>
      <c r="M450" s="339"/>
      <c r="N450" s="194"/>
      <c r="O450" s="194"/>
      <c r="P450" s="195"/>
      <c r="Q450" s="196"/>
    </row>
    <row r="451" spans="2:20" s="2" customFormat="1" ht="18.5" hidden="1" customHeight="1" thickTop="1" x14ac:dyDescent="0.2">
      <c r="B451" s="25"/>
      <c r="C451" s="25" t="s">
        <v>310</v>
      </c>
      <c r="D451" s="182"/>
      <c r="E451" s="182"/>
      <c r="F451" s="182"/>
      <c r="G451" s="17"/>
      <c r="H451" s="17"/>
      <c r="I451" s="17"/>
      <c r="J451" s="17"/>
      <c r="K451" s="17"/>
      <c r="L451" s="17"/>
      <c r="M451" s="17"/>
      <c r="N451" s="17"/>
      <c r="O451" s="17"/>
    </row>
    <row r="452" spans="2:20" ht="13.5" customHeight="1" thickTop="1" thickBot="1" x14ac:dyDescent="0.25"/>
    <row r="453" spans="2:20" s="2" customFormat="1" ht="21" customHeight="1" thickTop="1" thickBot="1" x14ac:dyDescent="0.25">
      <c r="B453" s="176"/>
      <c r="C453" s="177" t="s">
        <v>269</v>
      </c>
      <c r="D453" s="353"/>
      <c r="E453" s="353"/>
      <c r="F453" s="353"/>
      <c r="G453" s="354" t="s">
        <v>271</v>
      </c>
      <c r="H453" s="354"/>
      <c r="I453" s="355"/>
      <c r="J453" s="356"/>
      <c r="K453" s="178"/>
      <c r="L453" s="357" t="s">
        <v>272</v>
      </c>
      <c r="M453" s="354"/>
      <c r="N453" s="354"/>
      <c r="O453" s="358"/>
      <c r="P453" s="359"/>
      <c r="Q453" s="179"/>
    </row>
    <row r="454" spans="2:20" s="2" customFormat="1" ht="21" hidden="1" customHeight="1" thickTop="1" thickBot="1" x14ac:dyDescent="0.25">
      <c r="B454" s="176"/>
      <c r="C454" s="180" t="s">
        <v>270</v>
      </c>
      <c r="D454" s="353"/>
      <c r="E454" s="353"/>
      <c r="F454" s="353"/>
      <c r="G454" s="354"/>
      <c r="H454" s="354"/>
      <c r="I454" s="354"/>
      <c r="J454" s="354"/>
      <c r="K454" s="178"/>
      <c r="L454" s="357" t="s">
        <v>272</v>
      </c>
      <c r="M454" s="354"/>
      <c r="N454" s="354"/>
      <c r="O454" s="358"/>
      <c r="P454" s="359"/>
      <c r="Q454" s="179"/>
    </row>
    <row r="455" spans="2:20" s="2" customFormat="1" ht="24" hidden="1" customHeight="1" thickTop="1" thickBot="1" x14ac:dyDescent="0.25">
      <c r="C455" s="181"/>
      <c r="D455" s="182"/>
      <c r="E455" s="182"/>
      <c r="F455" s="363" t="s">
        <v>242</v>
      </c>
      <c r="G455" s="363"/>
      <c r="H455" s="17"/>
      <c r="I455" s="364"/>
      <c r="J455" s="364"/>
      <c r="K455" s="17"/>
      <c r="L455" s="364"/>
      <c r="M455" s="364"/>
      <c r="N455" s="17"/>
      <c r="O455" s="364"/>
      <c r="P455" s="364"/>
      <c r="Q455" s="64"/>
    </row>
    <row r="456" spans="2:20" s="2" customFormat="1" ht="24" hidden="1" customHeight="1" thickTop="1" thickBot="1" x14ac:dyDescent="0.25">
      <c r="C456" s="181" t="s">
        <v>292</v>
      </c>
      <c r="D456" s="182"/>
      <c r="E456" s="182"/>
      <c r="F456" s="182"/>
      <c r="G456" s="182"/>
      <c r="H456" s="17"/>
      <c r="I456" s="360"/>
      <c r="J456" s="360"/>
      <c r="K456" s="17"/>
      <c r="L456" s="360"/>
      <c r="M456" s="360"/>
      <c r="N456" s="17"/>
      <c r="O456" s="360"/>
      <c r="P456" s="360"/>
    </row>
    <row r="457" spans="2:20" s="2" customFormat="1" ht="24" hidden="1" customHeight="1" thickTop="1" thickBot="1" x14ac:dyDescent="0.25">
      <c r="C457" s="181" t="s">
        <v>293</v>
      </c>
      <c r="D457" s="182"/>
      <c r="E457" s="182"/>
      <c r="F457" s="182"/>
      <c r="G457" s="182"/>
      <c r="H457" s="17"/>
      <c r="I457" s="360"/>
      <c r="J457" s="360"/>
      <c r="K457" s="17"/>
      <c r="L457" s="360"/>
      <c r="M457" s="360"/>
      <c r="N457" s="17"/>
      <c r="O457" s="360"/>
      <c r="P457" s="360"/>
    </row>
    <row r="458" spans="2:20" s="2" customFormat="1" ht="24" hidden="1" customHeight="1" thickTop="1" thickBot="1" x14ac:dyDescent="0.25">
      <c r="C458" s="181" t="s">
        <v>294</v>
      </c>
      <c r="D458" s="182"/>
      <c r="E458" s="182"/>
      <c r="F458" s="182"/>
      <c r="G458" s="182"/>
      <c r="H458" s="17"/>
      <c r="I458" s="360"/>
      <c r="J458" s="360"/>
      <c r="K458" s="17"/>
      <c r="L458" s="360"/>
      <c r="M458" s="360"/>
      <c r="N458" s="17"/>
      <c r="O458" s="360"/>
      <c r="P458" s="360"/>
      <c r="T458" s="183"/>
    </row>
    <row r="459" spans="2:20" s="2" customFormat="1" ht="24" hidden="1" customHeight="1" thickTop="1" x14ac:dyDescent="0.2">
      <c r="C459" s="181" t="s">
        <v>295</v>
      </c>
      <c r="D459" s="182"/>
      <c r="E459" s="182"/>
      <c r="F459" s="182"/>
      <c r="G459" s="182"/>
      <c r="H459" s="17"/>
      <c r="I459" s="361"/>
      <c r="J459" s="361"/>
      <c r="K459" s="17"/>
      <c r="L459" s="361"/>
      <c r="M459" s="361"/>
      <c r="N459" s="17"/>
      <c r="O459" s="361"/>
      <c r="P459" s="361"/>
    </row>
    <row r="460" spans="2:20" s="2" customFormat="1" ht="17.5" hidden="1" customHeight="1" x14ac:dyDescent="0.2">
      <c r="C460" s="181" t="s">
        <v>296</v>
      </c>
      <c r="D460" s="182"/>
      <c r="E460" s="182"/>
      <c r="F460" s="182"/>
      <c r="G460" s="182"/>
      <c r="H460" s="17"/>
      <c r="I460" s="17"/>
      <c r="J460" s="17"/>
      <c r="K460" s="17"/>
      <c r="L460" s="17"/>
      <c r="M460" s="17"/>
      <c r="N460" s="17"/>
      <c r="O460" s="17"/>
    </row>
    <row r="461" spans="2:20" s="2" customFormat="1" ht="17.5" hidden="1" customHeight="1" x14ac:dyDescent="0.2">
      <c r="C461" s="181" t="s">
        <v>297</v>
      </c>
      <c r="D461" s="182"/>
      <c r="E461" s="182"/>
      <c r="F461" s="182"/>
      <c r="G461" s="182"/>
      <c r="H461" s="17"/>
      <c r="I461" s="17"/>
      <c r="J461" s="17"/>
      <c r="K461" s="17"/>
      <c r="L461" s="17"/>
      <c r="M461" s="17"/>
      <c r="N461" s="17"/>
      <c r="O461" s="17"/>
    </row>
    <row r="462" spans="2:20" s="2" customFormat="1" ht="24" hidden="1" customHeight="1" x14ac:dyDescent="0.2">
      <c r="C462" s="181"/>
      <c r="D462" s="182"/>
      <c r="E462" s="182"/>
      <c r="F462" s="182"/>
      <c r="G462" s="182"/>
      <c r="H462" s="17"/>
      <c r="I462" s="17"/>
      <c r="J462" s="17"/>
      <c r="K462" s="17"/>
      <c r="L462" s="17"/>
      <c r="M462" s="17"/>
      <c r="N462" s="17"/>
      <c r="O462" s="17"/>
    </row>
    <row r="463" spans="2:20" s="2" customFormat="1" ht="24" hidden="1" customHeight="1" x14ac:dyDescent="0.2">
      <c r="C463" s="181" t="s">
        <v>180</v>
      </c>
      <c r="D463" s="182"/>
      <c r="E463" s="182"/>
      <c r="F463" s="182"/>
      <c r="G463" s="182"/>
      <c r="H463" s="17"/>
      <c r="I463" s="362"/>
      <c r="J463" s="362"/>
      <c r="K463" s="184"/>
      <c r="L463" s="362"/>
      <c r="M463" s="362"/>
      <c r="N463" s="184"/>
      <c r="O463" s="362"/>
      <c r="P463" s="362"/>
      <c r="Q463" s="220"/>
    </row>
    <row r="464" spans="2:20" s="2" customFormat="1" ht="18.5" hidden="1" customHeight="1" x14ac:dyDescent="0.2">
      <c r="C464" s="181" t="s">
        <v>298</v>
      </c>
      <c r="D464" s="182"/>
      <c r="E464" s="182"/>
      <c r="F464" s="182"/>
      <c r="G464" s="182"/>
      <c r="H464" s="17"/>
      <c r="I464" s="220"/>
      <c r="J464" s="17"/>
      <c r="K464" s="17"/>
      <c r="L464" s="220"/>
      <c r="M464" s="17"/>
      <c r="N464" s="17"/>
      <c r="O464" s="220"/>
    </row>
    <row r="465" spans="2:17" s="2" customFormat="1" ht="18.5" hidden="1" customHeight="1" x14ac:dyDescent="0.2">
      <c r="C465" s="181" t="s">
        <v>299</v>
      </c>
      <c r="D465" s="182"/>
      <c r="E465" s="182"/>
      <c r="F465" s="182"/>
      <c r="G465" s="182"/>
      <c r="H465" s="17"/>
      <c r="I465" s="17"/>
      <c r="J465" s="17"/>
      <c r="K465" s="17"/>
      <c r="L465" s="17"/>
      <c r="M465" s="17"/>
      <c r="N465" s="17"/>
      <c r="O465" s="17"/>
    </row>
    <row r="466" spans="2:17" s="2" customFormat="1" ht="18.5" hidden="1" customHeight="1" x14ac:dyDescent="0.2">
      <c r="C466" s="181" t="s">
        <v>300</v>
      </c>
      <c r="D466" s="182"/>
      <c r="E466" s="182"/>
      <c r="F466" s="182"/>
      <c r="G466" s="182"/>
      <c r="H466" s="17"/>
      <c r="I466" s="17"/>
      <c r="J466" s="17"/>
      <c r="K466" s="17"/>
      <c r="L466" s="17"/>
      <c r="M466" s="17"/>
      <c r="N466" s="17"/>
      <c r="O466" s="17"/>
    </row>
    <row r="467" spans="2:17" s="2" customFormat="1" ht="18.5" hidden="1" customHeight="1" thickBot="1" x14ac:dyDescent="0.25">
      <c r="C467" s="181"/>
      <c r="D467" s="182"/>
      <c r="E467" s="182"/>
      <c r="F467" s="182"/>
      <c r="G467" s="182"/>
      <c r="H467" s="17"/>
      <c r="I467" s="17"/>
      <c r="J467" s="17"/>
      <c r="K467" s="17"/>
      <c r="L467" s="17"/>
      <c r="M467" s="17"/>
      <c r="N467" s="17"/>
      <c r="O467" s="17"/>
    </row>
    <row r="468" spans="2:17" s="2" customFormat="1" ht="33" hidden="1" customHeight="1" thickTop="1" x14ac:dyDescent="0.2">
      <c r="B468" s="185"/>
      <c r="C468" s="186" t="s">
        <v>301</v>
      </c>
      <c r="D468" s="187"/>
      <c r="E468" s="221">
        <f>I456</f>
        <v>0</v>
      </c>
      <c r="F468" s="187"/>
      <c r="G468" s="188"/>
      <c r="H468" s="188"/>
      <c r="I468" s="337">
        <f>L456</f>
        <v>0</v>
      </c>
      <c r="J468" s="337"/>
      <c r="K468" s="188"/>
      <c r="L468" s="188"/>
      <c r="M468" s="338">
        <f>O456</f>
        <v>0</v>
      </c>
      <c r="N468" s="338"/>
      <c r="O468" s="338"/>
      <c r="P468" s="189"/>
      <c r="Q468" s="190"/>
    </row>
    <row r="469" spans="2:17" s="2" customFormat="1" ht="33" hidden="1" customHeight="1" thickBot="1" x14ac:dyDescent="0.25">
      <c r="B469" s="191"/>
      <c r="C469" s="192"/>
      <c r="D469" s="193"/>
      <c r="E469" s="192" t="s">
        <v>302</v>
      </c>
      <c r="F469" s="339" t="str">
        <f>IFERROR(((I468-E468)/ABS(E468)),"-")</f>
        <v>-</v>
      </c>
      <c r="G469" s="339"/>
      <c r="H469" s="194"/>
      <c r="I469" s="194"/>
      <c r="J469" s="194"/>
      <c r="K469" s="339" t="str">
        <f>IFERROR(((M468-I468)/ABS(I468)),"-")</f>
        <v>-</v>
      </c>
      <c r="L469" s="339"/>
      <c r="M469" s="339"/>
      <c r="N469" s="194"/>
      <c r="O469" s="194"/>
      <c r="P469" s="195"/>
      <c r="Q469" s="196"/>
    </row>
    <row r="470" spans="2:17" s="2" customFormat="1" ht="33" hidden="1" customHeight="1" thickTop="1" x14ac:dyDescent="0.2">
      <c r="B470" s="185"/>
      <c r="C470" s="186" t="s">
        <v>303</v>
      </c>
      <c r="D470" s="187"/>
      <c r="E470" s="221">
        <f>I456-I457</f>
        <v>0</v>
      </c>
      <c r="F470" s="187"/>
      <c r="G470" s="188"/>
      <c r="H470" s="188"/>
      <c r="I470" s="337">
        <f>L456-L457</f>
        <v>0</v>
      </c>
      <c r="J470" s="337"/>
      <c r="K470" s="188"/>
      <c r="L470" s="188"/>
      <c r="M470" s="338">
        <f>O456-O457</f>
        <v>0</v>
      </c>
      <c r="N470" s="338"/>
      <c r="O470" s="338"/>
      <c r="P470" s="189"/>
      <c r="Q470" s="190"/>
    </row>
    <row r="471" spans="2:17" s="2" customFormat="1" ht="33" hidden="1" customHeight="1" x14ac:dyDescent="0.2">
      <c r="B471" s="197"/>
      <c r="C471" s="181" t="s">
        <v>304</v>
      </c>
      <c r="D471" s="182"/>
      <c r="E471" s="181"/>
      <c r="F471" s="181"/>
      <c r="G471" s="17"/>
      <c r="H471" s="17"/>
      <c r="I471" s="17"/>
      <c r="J471" s="17"/>
      <c r="K471" s="17"/>
      <c r="L471" s="17"/>
      <c r="M471" s="17"/>
      <c r="N471" s="17"/>
      <c r="O471" s="17"/>
      <c r="Q471" s="198"/>
    </row>
    <row r="472" spans="2:17" s="2" customFormat="1" ht="33" hidden="1" customHeight="1" thickBot="1" x14ac:dyDescent="0.25">
      <c r="B472" s="191"/>
      <c r="C472" s="192"/>
      <c r="D472" s="193"/>
      <c r="E472" s="192" t="s">
        <v>302</v>
      </c>
      <c r="F472" s="339" t="str">
        <f>IFERROR(((I470-E470)/ABS(E470)),"-")</f>
        <v>-</v>
      </c>
      <c r="G472" s="339"/>
      <c r="H472" s="194"/>
      <c r="I472" s="194"/>
      <c r="J472" s="194"/>
      <c r="K472" s="339" t="str">
        <f>IFERROR(((M470-I470)/ABS(I470)),"-")</f>
        <v>-</v>
      </c>
      <c r="L472" s="339"/>
      <c r="M472" s="339"/>
      <c r="N472" s="194"/>
      <c r="O472" s="194"/>
      <c r="P472" s="195"/>
      <c r="Q472" s="196"/>
    </row>
    <row r="473" spans="2:17" s="2" customFormat="1" ht="33" hidden="1" customHeight="1" thickTop="1" x14ac:dyDescent="0.2">
      <c r="B473" s="185"/>
      <c r="C473" s="186" t="s">
        <v>305</v>
      </c>
      <c r="D473" s="187"/>
      <c r="E473" s="221">
        <f>I458</f>
        <v>0</v>
      </c>
      <c r="F473" s="187"/>
      <c r="G473" s="188"/>
      <c r="H473" s="188"/>
      <c r="I473" s="337">
        <f>L458</f>
        <v>0</v>
      </c>
      <c r="J473" s="337"/>
      <c r="K473" s="188"/>
      <c r="L473" s="188"/>
      <c r="M473" s="338">
        <f>O458</f>
        <v>0</v>
      </c>
      <c r="N473" s="338"/>
      <c r="O473" s="338"/>
      <c r="P473" s="189"/>
      <c r="Q473" s="190"/>
    </row>
    <row r="474" spans="2:17" s="2" customFormat="1" ht="33" hidden="1" customHeight="1" thickBot="1" x14ac:dyDescent="0.25">
      <c r="B474" s="191"/>
      <c r="C474" s="192"/>
      <c r="D474" s="193"/>
      <c r="E474" s="192" t="s">
        <v>302</v>
      </c>
      <c r="F474" s="339" t="str">
        <f>IFERROR(((I473-E473)/ABS(E473)),"-")</f>
        <v>-</v>
      </c>
      <c r="G474" s="339"/>
      <c r="H474" s="194"/>
      <c r="I474" s="194"/>
      <c r="J474" s="194"/>
      <c r="K474" s="339" t="str">
        <f>IFERROR(((M473-I473)/ABS(I473)),"-")</f>
        <v>-</v>
      </c>
      <c r="L474" s="339"/>
      <c r="M474" s="339"/>
      <c r="N474" s="194"/>
      <c r="O474" s="194"/>
      <c r="P474" s="195"/>
      <c r="Q474" s="196"/>
    </row>
    <row r="475" spans="2:17" s="2" customFormat="1" ht="33" hidden="1" customHeight="1" thickTop="1" x14ac:dyDescent="0.2">
      <c r="B475" s="185"/>
      <c r="C475" s="186" t="s">
        <v>306</v>
      </c>
      <c r="D475" s="187"/>
      <c r="E475" s="221">
        <f>I458+I459</f>
        <v>0</v>
      </c>
      <c r="F475" s="340" t="str">
        <f>IFERROR(TEXT((E475/E470),"+0%;-0%")&amp;" *","n/a*")</f>
        <v>n/a*</v>
      </c>
      <c r="G475" s="340"/>
      <c r="H475" s="188"/>
      <c r="I475" s="337">
        <f>L458+L459</f>
        <v>0</v>
      </c>
      <c r="J475" s="337"/>
      <c r="K475" s="340" t="str">
        <f>IFERROR(TEXT((I475/I470),"+0%;-0%")&amp;" *","n/a*")</f>
        <v>n/a*</v>
      </c>
      <c r="L475" s="340"/>
      <c r="M475" s="338">
        <f>O458+O459</f>
        <v>0</v>
      </c>
      <c r="N475" s="338"/>
      <c r="O475" s="338"/>
      <c r="P475" s="340" t="str">
        <f>IFERROR(ROUND((M475/M470)*100,0)&amp;"% *","n/a*")</f>
        <v>n/a*</v>
      </c>
      <c r="Q475" s="341"/>
    </row>
    <row r="476" spans="2:17" s="2" customFormat="1" ht="33" hidden="1" customHeight="1" x14ac:dyDescent="0.2">
      <c r="B476" s="197"/>
      <c r="C476" s="181" t="s">
        <v>307</v>
      </c>
      <c r="D476" s="182"/>
      <c r="E476" s="181"/>
      <c r="F476" s="181"/>
      <c r="G476" s="17"/>
      <c r="H476" s="17"/>
      <c r="I476" s="17"/>
      <c r="J476" s="17"/>
      <c r="K476" s="17"/>
      <c r="L476" s="17"/>
      <c r="M476" s="17"/>
      <c r="N476" s="17"/>
      <c r="O476" s="17"/>
      <c r="Q476" s="198"/>
    </row>
    <row r="477" spans="2:17" s="2" customFormat="1" ht="33" hidden="1" customHeight="1" thickBot="1" x14ac:dyDescent="0.25">
      <c r="B477" s="191"/>
      <c r="C477" s="192"/>
      <c r="D477" s="193"/>
      <c r="E477" s="192" t="s">
        <v>302</v>
      </c>
      <c r="F477" s="339" t="str">
        <f>IFERROR(((I475-E475)/ABS(E475)),"-")</f>
        <v>-</v>
      </c>
      <c r="G477" s="339"/>
      <c r="H477" s="194"/>
      <c r="I477" s="194"/>
      <c r="J477" s="194"/>
      <c r="K477" s="339" t="str">
        <f>IFERROR(((M475-I475)/ABS(I475)),"-")</f>
        <v>-</v>
      </c>
      <c r="L477" s="339"/>
      <c r="M477" s="339"/>
      <c r="N477" s="194"/>
      <c r="O477" s="194"/>
      <c r="P477" s="195"/>
      <c r="Q477" s="196"/>
    </row>
    <row r="478" spans="2:17" s="2" customFormat="1" ht="33" hidden="1" customHeight="1" thickTop="1" x14ac:dyDescent="0.2">
      <c r="B478" s="185"/>
      <c r="C478" s="186" t="s">
        <v>308</v>
      </c>
      <c r="D478" s="187"/>
      <c r="E478" s="221">
        <f>I456-I457-I458</f>
        <v>0</v>
      </c>
      <c r="F478" s="187"/>
      <c r="G478" s="188"/>
      <c r="H478" s="188"/>
      <c r="I478" s="337">
        <f>L456-L457-L458</f>
        <v>0</v>
      </c>
      <c r="J478" s="337"/>
      <c r="K478" s="188"/>
      <c r="L478" s="188"/>
      <c r="M478" s="338">
        <f>O456-O457-O458</f>
        <v>0</v>
      </c>
      <c r="N478" s="338"/>
      <c r="O478" s="338"/>
      <c r="P478" s="189"/>
      <c r="Q478" s="190"/>
    </row>
    <row r="479" spans="2:17" s="2" customFormat="1" ht="33" hidden="1" customHeight="1" x14ac:dyDescent="0.2">
      <c r="B479" s="197"/>
      <c r="C479" s="181" t="s">
        <v>309</v>
      </c>
      <c r="D479" s="182"/>
      <c r="E479" s="181"/>
      <c r="F479" s="181"/>
      <c r="G479" s="17"/>
      <c r="H479" s="17"/>
      <c r="I479" s="17"/>
      <c r="J479" s="17"/>
      <c r="K479" s="17"/>
      <c r="L479" s="17"/>
      <c r="M479" s="17"/>
      <c r="N479" s="17"/>
      <c r="O479" s="17"/>
      <c r="Q479" s="198"/>
    </row>
    <row r="480" spans="2:17" s="2" customFormat="1" ht="33" hidden="1" customHeight="1" thickBot="1" x14ac:dyDescent="0.25">
      <c r="B480" s="191"/>
      <c r="C480" s="192"/>
      <c r="D480" s="193"/>
      <c r="E480" s="192" t="s">
        <v>302</v>
      </c>
      <c r="F480" s="339" t="str">
        <f>IFERROR(((I478-E478)/ABS(E478)),"-")</f>
        <v>-</v>
      </c>
      <c r="G480" s="339"/>
      <c r="H480" s="194"/>
      <c r="I480" s="194"/>
      <c r="J480" s="194"/>
      <c r="K480" s="339" t="str">
        <f>IFERROR(((M478-I478)/ABS(I478)),"-")</f>
        <v>-</v>
      </c>
      <c r="L480" s="339"/>
      <c r="M480" s="339"/>
      <c r="N480" s="194"/>
      <c r="O480" s="194"/>
      <c r="P480" s="195"/>
      <c r="Q480" s="196"/>
    </row>
    <row r="481" spans="2:20" s="2" customFormat="1" ht="33" hidden="1" customHeight="1" thickTop="1" x14ac:dyDescent="0.2">
      <c r="B481" s="185"/>
      <c r="C481" s="186" t="s">
        <v>180</v>
      </c>
      <c r="D481" s="187"/>
      <c r="E481" s="221">
        <f>I463</f>
        <v>0</v>
      </c>
      <c r="F481" s="351" t="str">
        <f>IFERROR(ROUND((E481/E470)*100,0)&amp;"% **","n/a**")</f>
        <v>n/a**</v>
      </c>
      <c r="G481" s="351"/>
      <c r="H481" s="188"/>
      <c r="I481" s="337">
        <f>L463</f>
        <v>0</v>
      </c>
      <c r="J481" s="337"/>
      <c r="K481" s="351" t="str">
        <f>IFERROR(TEXT((I481/I470),"+0%;-0%")&amp;" **","n/a**")</f>
        <v>n/a**</v>
      </c>
      <c r="L481" s="351"/>
      <c r="M481" s="338">
        <f>O463</f>
        <v>0</v>
      </c>
      <c r="N481" s="338"/>
      <c r="O481" s="338"/>
      <c r="P481" s="351" t="str">
        <f>IFERROR(ROUND((M481/M470)*100,0)&amp;"% **","n/a**")</f>
        <v>n/a**</v>
      </c>
      <c r="Q481" s="352"/>
    </row>
    <row r="482" spans="2:20" s="2" customFormat="1" ht="33" hidden="1" customHeight="1" thickBot="1" x14ac:dyDescent="0.25">
      <c r="B482" s="191"/>
      <c r="C482" s="192"/>
      <c r="D482" s="193"/>
      <c r="E482" s="192" t="s">
        <v>302</v>
      </c>
      <c r="F482" s="339" t="str">
        <f>IFERROR(((I481-E481)/ABS(E481)),"-")</f>
        <v>-</v>
      </c>
      <c r="G482" s="339"/>
      <c r="H482" s="194"/>
      <c r="I482" s="194"/>
      <c r="J482" s="194"/>
      <c r="K482" s="339" t="str">
        <f>IFERROR(((M481-I481)/ABS(I481)),"-")</f>
        <v>-</v>
      </c>
      <c r="L482" s="339"/>
      <c r="M482" s="339"/>
      <c r="N482" s="194"/>
      <c r="O482" s="194"/>
      <c r="P482" s="195"/>
      <c r="Q482" s="196"/>
    </row>
    <row r="483" spans="2:20" s="2" customFormat="1" ht="18.5" hidden="1" customHeight="1" thickTop="1" x14ac:dyDescent="0.2">
      <c r="B483" s="25"/>
      <c r="C483" s="25" t="s">
        <v>310</v>
      </c>
      <c r="D483" s="182"/>
      <c r="E483" s="182"/>
      <c r="F483" s="182"/>
      <c r="G483" s="17"/>
      <c r="H483" s="17"/>
      <c r="I483" s="17"/>
      <c r="J483" s="17"/>
      <c r="K483" s="17"/>
      <c r="L483" s="17"/>
      <c r="M483" s="17"/>
      <c r="N483" s="17"/>
      <c r="O483" s="17"/>
    </row>
    <row r="484" spans="2:20" ht="13.5" customHeight="1" thickTop="1" thickBot="1" x14ac:dyDescent="0.25"/>
    <row r="485" spans="2:20" s="2" customFormat="1" ht="21" customHeight="1" thickTop="1" thickBot="1" x14ac:dyDescent="0.25">
      <c r="B485" s="176"/>
      <c r="C485" s="177" t="s">
        <v>269</v>
      </c>
      <c r="D485" s="353"/>
      <c r="E485" s="353"/>
      <c r="F485" s="353"/>
      <c r="G485" s="354" t="s">
        <v>271</v>
      </c>
      <c r="H485" s="354"/>
      <c r="I485" s="355"/>
      <c r="J485" s="356"/>
      <c r="K485" s="178"/>
      <c r="L485" s="357" t="s">
        <v>272</v>
      </c>
      <c r="M485" s="354"/>
      <c r="N485" s="354"/>
      <c r="O485" s="358"/>
      <c r="P485" s="359"/>
      <c r="Q485" s="179"/>
    </row>
    <row r="486" spans="2:20" s="2" customFormat="1" ht="21" hidden="1" customHeight="1" thickTop="1" thickBot="1" x14ac:dyDescent="0.25">
      <c r="B486" s="176"/>
      <c r="C486" s="180" t="s">
        <v>270</v>
      </c>
      <c r="D486" s="353"/>
      <c r="E486" s="353"/>
      <c r="F486" s="353"/>
      <c r="G486" s="354"/>
      <c r="H486" s="354"/>
      <c r="I486" s="354"/>
      <c r="J486" s="354"/>
      <c r="K486" s="178"/>
      <c r="L486" s="357" t="s">
        <v>272</v>
      </c>
      <c r="M486" s="354"/>
      <c r="N486" s="354"/>
      <c r="O486" s="358"/>
      <c r="P486" s="359"/>
      <c r="Q486" s="179"/>
    </row>
    <row r="487" spans="2:20" s="2" customFormat="1" ht="24" hidden="1" customHeight="1" thickTop="1" thickBot="1" x14ac:dyDescent="0.25">
      <c r="C487" s="181"/>
      <c r="D487" s="182"/>
      <c r="E487" s="182"/>
      <c r="F487" s="363" t="s">
        <v>242</v>
      </c>
      <c r="G487" s="363"/>
      <c r="H487" s="17"/>
      <c r="I487" s="364"/>
      <c r="J487" s="364"/>
      <c r="K487" s="17"/>
      <c r="L487" s="364"/>
      <c r="M487" s="364"/>
      <c r="N487" s="17"/>
      <c r="O487" s="364"/>
      <c r="P487" s="364"/>
      <c r="Q487" s="64"/>
    </row>
    <row r="488" spans="2:20" s="2" customFormat="1" ht="24" hidden="1" customHeight="1" thickTop="1" thickBot="1" x14ac:dyDescent="0.25">
      <c r="C488" s="181" t="s">
        <v>292</v>
      </c>
      <c r="D488" s="182"/>
      <c r="E488" s="182"/>
      <c r="F488" s="182"/>
      <c r="G488" s="182"/>
      <c r="H488" s="17"/>
      <c r="I488" s="360"/>
      <c r="J488" s="360"/>
      <c r="K488" s="17"/>
      <c r="L488" s="360"/>
      <c r="M488" s="360"/>
      <c r="N488" s="17"/>
      <c r="O488" s="360"/>
      <c r="P488" s="360"/>
    </row>
    <row r="489" spans="2:20" s="2" customFormat="1" ht="24" hidden="1" customHeight="1" thickTop="1" thickBot="1" x14ac:dyDescent="0.25">
      <c r="C489" s="181" t="s">
        <v>293</v>
      </c>
      <c r="D489" s="182"/>
      <c r="E489" s="182"/>
      <c r="F489" s="182"/>
      <c r="G489" s="182"/>
      <c r="H489" s="17"/>
      <c r="I489" s="360"/>
      <c r="J489" s="360"/>
      <c r="K489" s="17"/>
      <c r="L489" s="360"/>
      <c r="M489" s="360"/>
      <c r="N489" s="17"/>
      <c r="O489" s="360"/>
      <c r="P489" s="360"/>
    </row>
    <row r="490" spans="2:20" s="2" customFormat="1" ht="24" hidden="1" customHeight="1" thickTop="1" thickBot="1" x14ac:dyDescent="0.25">
      <c r="C490" s="181" t="s">
        <v>294</v>
      </c>
      <c r="D490" s="182"/>
      <c r="E490" s="182"/>
      <c r="F490" s="182"/>
      <c r="G490" s="182"/>
      <c r="H490" s="17"/>
      <c r="I490" s="360"/>
      <c r="J490" s="360"/>
      <c r="K490" s="17"/>
      <c r="L490" s="360"/>
      <c r="M490" s="360"/>
      <c r="N490" s="17"/>
      <c r="O490" s="360"/>
      <c r="P490" s="360"/>
      <c r="T490" s="183"/>
    </row>
    <row r="491" spans="2:20" s="2" customFormat="1" ht="24" hidden="1" customHeight="1" thickTop="1" x14ac:dyDescent="0.2">
      <c r="C491" s="181" t="s">
        <v>295</v>
      </c>
      <c r="D491" s="182"/>
      <c r="E491" s="182"/>
      <c r="F491" s="182"/>
      <c r="G491" s="182"/>
      <c r="H491" s="17"/>
      <c r="I491" s="361"/>
      <c r="J491" s="361"/>
      <c r="K491" s="17"/>
      <c r="L491" s="361"/>
      <c r="M491" s="361"/>
      <c r="N491" s="17"/>
      <c r="O491" s="361"/>
      <c r="P491" s="361"/>
    </row>
    <row r="492" spans="2:20" s="2" customFormat="1" ht="17.5" hidden="1" customHeight="1" x14ac:dyDescent="0.2">
      <c r="C492" s="181" t="s">
        <v>296</v>
      </c>
      <c r="D492" s="182"/>
      <c r="E492" s="182"/>
      <c r="F492" s="182"/>
      <c r="G492" s="182"/>
      <c r="H492" s="17"/>
      <c r="I492" s="17"/>
      <c r="J492" s="17"/>
      <c r="K492" s="17"/>
      <c r="L492" s="17"/>
      <c r="M492" s="17"/>
      <c r="N492" s="17"/>
      <c r="O492" s="17"/>
    </row>
    <row r="493" spans="2:20" s="2" customFormat="1" ht="17.5" hidden="1" customHeight="1" x14ac:dyDescent="0.2">
      <c r="C493" s="181" t="s">
        <v>297</v>
      </c>
      <c r="D493" s="182"/>
      <c r="E493" s="182"/>
      <c r="F493" s="182"/>
      <c r="G493" s="182"/>
      <c r="H493" s="17"/>
      <c r="I493" s="17"/>
      <c r="J493" s="17"/>
      <c r="K493" s="17"/>
      <c r="L493" s="17"/>
      <c r="M493" s="17"/>
      <c r="N493" s="17"/>
      <c r="O493" s="17"/>
    </row>
    <row r="494" spans="2:20" s="2" customFormat="1" ht="24" hidden="1" customHeight="1" x14ac:dyDescent="0.2">
      <c r="C494" s="181"/>
      <c r="D494" s="182"/>
      <c r="E494" s="182"/>
      <c r="F494" s="182"/>
      <c r="G494" s="182"/>
      <c r="H494" s="17"/>
      <c r="I494" s="17"/>
      <c r="J494" s="17"/>
      <c r="K494" s="17"/>
      <c r="L494" s="17"/>
      <c r="M494" s="17"/>
      <c r="N494" s="17"/>
      <c r="O494" s="17"/>
    </row>
    <row r="495" spans="2:20" s="2" customFormat="1" ht="24" hidden="1" customHeight="1" x14ac:dyDescent="0.2">
      <c r="C495" s="181" t="s">
        <v>180</v>
      </c>
      <c r="D495" s="182"/>
      <c r="E495" s="182"/>
      <c r="F495" s="182"/>
      <c r="G495" s="182"/>
      <c r="H495" s="17"/>
      <c r="I495" s="362"/>
      <c r="J495" s="362"/>
      <c r="K495" s="184"/>
      <c r="L495" s="362"/>
      <c r="M495" s="362"/>
      <c r="N495" s="184"/>
      <c r="O495" s="362"/>
      <c r="P495" s="362"/>
      <c r="Q495" s="220"/>
    </row>
    <row r="496" spans="2:20" s="2" customFormat="1" ht="18.5" hidden="1" customHeight="1" x14ac:dyDescent="0.2">
      <c r="C496" s="181" t="s">
        <v>298</v>
      </c>
      <c r="D496" s="182"/>
      <c r="E496" s="182"/>
      <c r="F496" s="182"/>
      <c r="G496" s="182"/>
      <c r="H496" s="17"/>
      <c r="I496" s="220"/>
      <c r="J496" s="17"/>
      <c r="K496" s="17"/>
      <c r="L496" s="220"/>
      <c r="M496" s="17"/>
      <c r="N496" s="17"/>
      <c r="O496" s="220"/>
    </row>
    <row r="497" spans="2:17" s="2" customFormat="1" ht="18.5" hidden="1" customHeight="1" x14ac:dyDescent="0.2">
      <c r="C497" s="181" t="s">
        <v>299</v>
      </c>
      <c r="D497" s="182"/>
      <c r="E497" s="182"/>
      <c r="F497" s="182"/>
      <c r="G497" s="182"/>
      <c r="H497" s="17"/>
      <c r="I497" s="17"/>
      <c r="J497" s="17"/>
      <c r="K497" s="17"/>
      <c r="L497" s="17"/>
      <c r="M497" s="17"/>
      <c r="N497" s="17"/>
      <c r="O497" s="17"/>
    </row>
    <row r="498" spans="2:17" s="2" customFormat="1" ht="18.5" hidden="1" customHeight="1" x14ac:dyDescent="0.2">
      <c r="C498" s="181" t="s">
        <v>300</v>
      </c>
      <c r="D498" s="182"/>
      <c r="E498" s="182"/>
      <c r="F498" s="182"/>
      <c r="G498" s="182"/>
      <c r="H498" s="17"/>
      <c r="I498" s="17"/>
      <c r="J498" s="17"/>
      <c r="K498" s="17"/>
      <c r="L498" s="17"/>
      <c r="M498" s="17"/>
      <c r="N498" s="17"/>
      <c r="O498" s="17"/>
    </row>
    <row r="499" spans="2:17" s="2" customFormat="1" ht="18.5" hidden="1" customHeight="1" thickBot="1" x14ac:dyDescent="0.25">
      <c r="C499" s="181"/>
      <c r="D499" s="182"/>
      <c r="E499" s="182"/>
      <c r="F499" s="182"/>
      <c r="G499" s="182"/>
      <c r="H499" s="17"/>
      <c r="I499" s="17"/>
      <c r="J499" s="17"/>
      <c r="K499" s="17"/>
      <c r="L499" s="17"/>
      <c r="M499" s="17"/>
      <c r="N499" s="17"/>
      <c r="O499" s="17"/>
    </row>
    <row r="500" spans="2:17" s="2" customFormat="1" ht="33" hidden="1" customHeight="1" thickTop="1" x14ac:dyDescent="0.2">
      <c r="B500" s="185"/>
      <c r="C500" s="186" t="s">
        <v>301</v>
      </c>
      <c r="D500" s="187"/>
      <c r="E500" s="221">
        <f>I488</f>
        <v>0</v>
      </c>
      <c r="F500" s="187"/>
      <c r="G500" s="188"/>
      <c r="H500" s="188"/>
      <c r="I500" s="337">
        <f>L488</f>
        <v>0</v>
      </c>
      <c r="J500" s="337"/>
      <c r="K500" s="188"/>
      <c r="L500" s="188"/>
      <c r="M500" s="338">
        <f>O488</f>
        <v>0</v>
      </c>
      <c r="N500" s="338"/>
      <c r="O500" s="338"/>
      <c r="P500" s="189"/>
      <c r="Q500" s="190"/>
    </row>
    <row r="501" spans="2:17" s="2" customFormat="1" ht="33" hidden="1" customHeight="1" thickBot="1" x14ac:dyDescent="0.25">
      <c r="B501" s="191"/>
      <c r="C501" s="192"/>
      <c r="D501" s="193"/>
      <c r="E501" s="192" t="s">
        <v>302</v>
      </c>
      <c r="F501" s="339" t="str">
        <f>IFERROR(((I500-E500)/ABS(E500)),"-")</f>
        <v>-</v>
      </c>
      <c r="G501" s="339"/>
      <c r="H501" s="194"/>
      <c r="I501" s="194"/>
      <c r="J501" s="194"/>
      <c r="K501" s="339" t="str">
        <f>IFERROR(((M500-I500)/ABS(I500)),"-")</f>
        <v>-</v>
      </c>
      <c r="L501" s="339"/>
      <c r="M501" s="339"/>
      <c r="N501" s="194"/>
      <c r="O501" s="194"/>
      <c r="P501" s="195"/>
      <c r="Q501" s="196"/>
    </row>
    <row r="502" spans="2:17" s="2" customFormat="1" ht="33" hidden="1" customHeight="1" thickTop="1" x14ac:dyDescent="0.2">
      <c r="B502" s="185"/>
      <c r="C502" s="186" t="s">
        <v>303</v>
      </c>
      <c r="D502" s="187"/>
      <c r="E502" s="221">
        <f>I488-I489</f>
        <v>0</v>
      </c>
      <c r="F502" s="187"/>
      <c r="G502" s="188"/>
      <c r="H502" s="188"/>
      <c r="I502" s="337">
        <f>L488-L489</f>
        <v>0</v>
      </c>
      <c r="J502" s="337"/>
      <c r="K502" s="188"/>
      <c r="L502" s="188"/>
      <c r="M502" s="338">
        <f>O488-O489</f>
        <v>0</v>
      </c>
      <c r="N502" s="338"/>
      <c r="O502" s="338"/>
      <c r="P502" s="189"/>
      <c r="Q502" s="190"/>
    </row>
    <row r="503" spans="2:17" s="2" customFormat="1" ht="33" hidden="1" customHeight="1" x14ac:dyDescent="0.2">
      <c r="B503" s="197"/>
      <c r="C503" s="181" t="s">
        <v>304</v>
      </c>
      <c r="D503" s="182"/>
      <c r="E503" s="181"/>
      <c r="F503" s="181"/>
      <c r="G503" s="17"/>
      <c r="H503" s="17"/>
      <c r="I503" s="17"/>
      <c r="J503" s="17"/>
      <c r="K503" s="17"/>
      <c r="L503" s="17"/>
      <c r="M503" s="17"/>
      <c r="N503" s="17"/>
      <c r="O503" s="17"/>
      <c r="Q503" s="198"/>
    </row>
    <row r="504" spans="2:17" s="2" customFormat="1" ht="33" hidden="1" customHeight="1" thickBot="1" x14ac:dyDescent="0.25">
      <c r="B504" s="191"/>
      <c r="C504" s="192"/>
      <c r="D504" s="193"/>
      <c r="E504" s="192" t="s">
        <v>302</v>
      </c>
      <c r="F504" s="339" t="str">
        <f>IFERROR(((I502-E502)/ABS(E502)),"-")</f>
        <v>-</v>
      </c>
      <c r="G504" s="339"/>
      <c r="H504" s="194"/>
      <c r="I504" s="194"/>
      <c r="J504" s="194"/>
      <c r="K504" s="339" t="str">
        <f>IFERROR(((M502-I502)/ABS(I502)),"-")</f>
        <v>-</v>
      </c>
      <c r="L504" s="339"/>
      <c r="M504" s="339"/>
      <c r="N504" s="194"/>
      <c r="O504" s="194"/>
      <c r="P504" s="195"/>
      <c r="Q504" s="196"/>
    </row>
    <row r="505" spans="2:17" s="2" customFormat="1" ht="33" hidden="1" customHeight="1" thickTop="1" x14ac:dyDescent="0.2">
      <c r="B505" s="185"/>
      <c r="C505" s="186" t="s">
        <v>305</v>
      </c>
      <c r="D505" s="187"/>
      <c r="E505" s="221">
        <f>I490</f>
        <v>0</v>
      </c>
      <c r="F505" s="187"/>
      <c r="G505" s="188"/>
      <c r="H505" s="188"/>
      <c r="I505" s="337">
        <f>L490</f>
        <v>0</v>
      </c>
      <c r="J505" s="337"/>
      <c r="K505" s="188"/>
      <c r="L505" s="188"/>
      <c r="M505" s="338">
        <f>O490</f>
        <v>0</v>
      </c>
      <c r="N505" s="338"/>
      <c r="O505" s="338"/>
      <c r="P505" s="189"/>
      <c r="Q505" s="190"/>
    </row>
    <row r="506" spans="2:17" s="2" customFormat="1" ht="33" hidden="1" customHeight="1" thickBot="1" x14ac:dyDescent="0.25">
      <c r="B506" s="191"/>
      <c r="C506" s="192"/>
      <c r="D506" s="193"/>
      <c r="E506" s="192" t="s">
        <v>302</v>
      </c>
      <c r="F506" s="339" t="str">
        <f>IFERROR(((I505-E505)/ABS(E505)),"-")</f>
        <v>-</v>
      </c>
      <c r="G506" s="339"/>
      <c r="H506" s="194"/>
      <c r="I506" s="194"/>
      <c r="J506" s="194"/>
      <c r="K506" s="339" t="str">
        <f>IFERROR(((M505-I505)/ABS(I505)),"-")</f>
        <v>-</v>
      </c>
      <c r="L506" s="339"/>
      <c r="M506" s="339"/>
      <c r="N506" s="194"/>
      <c r="O506" s="194"/>
      <c r="P506" s="195"/>
      <c r="Q506" s="196"/>
    </row>
    <row r="507" spans="2:17" s="2" customFormat="1" ht="33" hidden="1" customHeight="1" thickTop="1" x14ac:dyDescent="0.2">
      <c r="B507" s="185"/>
      <c r="C507" s="186" t="s">
        <v>306</v>
      </c>
      <c r="D507" s="187"/>
      <c r="E507" s="221">
        <f>I490+I491</f>
        <v>0</v>
      </c>
      <c r="F507" s="340" t="str">
        <f>IFERROR(TEXT((E507/E502),"+0%;-0%")&amp;" *","n/a*")</f>
        <v>n/a*</v>
      </c>
      <c r="G507" s="340"/>
      <c r="H507" s="188"/>
      <c r="I507" s="337">
        <f>L490+L491</f>
        <v>0</v>
      </c>
      <c r="J507" s="337"/>
      <c r="K507" s="340" t="str">
        <f>IFERROR(TEXT((I507/I502),"+0%;-0%")&amp;" *","n/a*")</f>
        <v>n/a*</v>
      </c>
      <c r="L507" s="340"/>
      <c r="M507" s="338">
        <f>O490+O491</f>
        <v>0</v>
      </c>
      <c r="N507" s="338"/>
      <c r="O507" s="338"/>
      <c r="P507" s="340" t="str">
        <f>IFERROR(ROUND((M507/M502)*100,0)&amp;"% *","n/a*")</f>
        <v>n/a*</v>
      </c>
      <c r="Q507" s="341"/>
    </row>
    <row r="508" spans="2:17" s="2" customFormat="1" ht="33" hidden="1" customHeight="1" x14ac:dyDescent="0.2">
      <c r="B508" s="197"/>
      <c r="C508" s="181" t="s">
        <v>307</v>
      </c>
      <c r="D508" s="182"/>
      <c r="E508" s="181"/>
      <c r="F508" s="181"/>
      <c r="G508" s="17"/>
      <c r="H508" s="17"/>
      <c r="I508" s="17"/>
      <c r="J508" s="17"/>
      <c r="K508" s="17"/>
      <c r="L508" s="17"/>
      <c r="M508" s="17"/>
      <c r="N508" s="17"/>
      <c r="O508" s="17"/>
      <c r="Q508" s="198"/>
    </row>
    <row r="509" spans="2:17" s="2" customFormat="1" ht="33" hidden="1" customHeight="1" thickBot="1" x14ac:dyDescent="0.25">
      <c r="B509" s="191"/>
      <c r="C509" s="192"/>
      <c r="D509" s="193"/>
      <c r="E509" s="192" t="s">
        <v>302</v>
      </c>
      <c r="F509" s="339" t="str">
        <f>IFERROR(((I507-E507)/ABS(E507)),"-")</f>
        <v>-</v>
      </c>
      <c r="G509" s="339"/>
      <c r="H509" s="194"/>
      <c r="I509" s="194"/>
      <c r="J509" s="194"/>
      <c r="K509" s="339" t="str">
        <f>IFERROR(((M507-I507)/ABS(I507)),"-")</f>
        <v>-</v>
      </c>
      <c r="L509" s="339"/>
      <c r="M509" s="339"/>
      <c r="N509" s="194"/>
      <c r="O509" s="194"/>
      <c r="P509" s="195"/>
      <c r="Q509" s="196"/>
    </row>
    <row r="510" spans="2:17" s="2" customFormat="1" ht="33" hidden="1" customHeight="1" thickTop="1" x14ac:dyDescent="0.2">
      <c r="B510" s="185"/>
      <c r="C510" s="186" t="s">
        <v>308</v>
      </c>
      <c r="D510" s="187"/>
      <c r="E510" s="221">
        <f>I488-I489-I490</f>
        <v>0</v>
      </c>
      <c r="F510" s="187"/>
      <c r="G510" s="188"/>
      <c r="H510" s="188"/>
      <c r="I510" s="337">
        <f>L488-L489-L490</f>
        <v>0</v>
      </c>
      <c r="J510" s="337"/>
      <c r="K510" s="188"/>
      <c r="L510" s="188"/>
      <c r="M510" s="338">
        <f>O488-O489-O490</f>
        <v>0</v>
      </c>
      <c r="N510" s="338"/>
      <c r="O510" s="338"/>
      <c r="P510" s="189"/>
      <c r="Q510" s="190"/>
    </row>
    <row r="511" spans="2:17" s="2" customFormat="1" ht="33" hidden="1" customHeight="1" x14ac:dyDescent="0.2">
      <c r="B511" s="197"/>
      <c r="C511" s="181" t="s">
        <v>309</v>
      </c>
      <c r="D511" s="182"/>
      <c r="E511" s="181"/>
      <c r="F511" s="181"/>
      <c r="G511" s="17"/>
      <c r="H511" s="17"/>
      <c r="I511" s="17"/>
      <c r="J511" s="17"/>
      <c r="K511" s="17"/>
      <c r="L511" s="17"/>
      <c r="M511" s="17"/>
      <c r="N511" s="17"/>
      <c r="O511" s="17"/>
      <c r="Q511" s="198"/>
    </row>
    <row r="512" spans="2:17" s="2" customFormat="1" ht="33" hidden="1" customHeight="1" thickBot="1" x14ac:dyDescent="0.25">
      <c r="B512" s="191"/>
      <c r="C512" s="192"/>
      <c r="D512" s="193"/>
      <c r="E512" s="192" t="s">
        <v>302</v>
      </c>
      <c r="F512" s="339" t="str">
        <f>IFERROR(((I510-E510)/ABS(E510)),"-")</f>
        <v>-</v>
      </c>
      <c r="G512" s="339"/>
      <c r="H512" s="194"/>
      <c r="I512" s="194"/>
      <c r="J512" s="194"/>
      <c r="K512" s="339" t="str">
        <f>IFERROR(((M510-I510)/ABS(I510)),"-")</f>
        <v>-</v>
      </c>
      <c r="L512" s="339"/>
      <c r="M512" s="339"/>
      <c r="N512" s="194"/>
      <c r="O512" s="194"/>
      <c r="P512" s="195"/>
      <c r="Q512" s="196"/>
    </row>
    <row r="513" spans="2:20" s="2" customFormat="1" ht="33" hidden="1" customHeight="1" thickTop="1" x14ac:dyDescent="0.2">
      <c r="B513" s="185"/>
      <c r="C513" s="186" t="s">
        <v>180</v>
      </c>
      <c r="D513" s="187"/>
      <c r="E513" s="221">
        <f>I495</f>
        <v>0</v>
      </c>
      <c r="F513" s="351" t="str">
        <f>IFERROR(ROUND((E513/E502)*100,0)&amp;"% **","n/a**")</f>
        <v>n/a**</v>
      </c>
      <c r="G513" s="351"/>
      <c r="H513" s="188"/>
      <c r="I513" s="337">
        <f>L495</f>
        <v>0</v>
      </c>
      <c r="J513" s="337"/>
      <c r="K513" s="351" t="str">
        <f>IFERROR(TEXT((I513/I502),"+0%;-0%")&amp;" **","n/a**")</f>
        <v>n/a**</v>
      </c>
      <c r="L513" s="351"/>
      <c r="M513" s="338">
        <f>O495</f>
        <v>0</v>
      </c>
      <c r="N513" s="338"/>
      <c r="O513" s="338"/>
      <c r="P513" s="351" t="str">
        <f>IFERROR(ROUND((M513/M502)*100,0)&amp;"% **","n/a**")</f>
        <v>n/a**</v>
      </c>
      <c r="Q513" s="352"/>
    </row>
    <row r="514" spans="2:20" s="2" customFormat="1" ht="33" hidden="1" customHeight="1" thickBot="1" x14ac:dyDescent="0.25">
      <c r="B514" s="191"/>
      <c r="C514" s="192"/>
      <c r="D514" s="193"/>
      <c r="E514" s="192" t="s">
        <v>302</v>
      </c>
      <c r="F514" s="339" t="str">
        <f>IFERROR(((I513-E513)/ABS(E513)),"-")</f>
        <v>-</v>
      </c>
      <c r="G514" s="339"/>
      <c r="H514" s="194"/>
      <c r="I514" s="194"/>
      <c r="J514" s="194"/>
      <c r="K514" s="339" t="str">
        <f>IFERROR(((M513-I513)/ABS(I513)),"-")</f>
        <v>-</v>
      </c>
      <c r="L514" s="339"/>
      <c r="M514" s="339"/>
      <c r="N514" s="194"/>
      <c r="O514" s="194"/>
      <c r="P514" s="195"/>
      <c r="Q514" s="196"/>
    </row>
    <row r="515" spans="2:20" s="2" customFormat="1" ht="18.5" hidden="1" customHeight="1" thickTop="1" x14ac:dyDescent="0.2">
      <c r="B515" s="25"/>
      <c r="C515" s="25" t="s">
        <v>310</v>
      </c>
      <c r="D515" s="182"/>
      <c r="E515" s="182"/>
      <c r="F515" s="182"/>
      <c r="G515" s="17"/>
      <c r="H515" s="17"/>
      <c r="I515" s="17"/>
      <c r="J515" s="17"/>
      <c r="K515" s="17"/>
      <c r="L515" s="17"/>
      <c r="M515" s="17"/>
      <c r="N515" s="17"/>
      <c r="O515" s="17"/>
    </row>
    <row r="516" spans="2:20" ht="13.5" customHeight="1" thickTop="1" thickBot="1" x14ac:dyDescent="0.25"/>
    <row r="517" spans="2:20" s="2" customFormat="1" ht="21" customHeight="1" thickTop="1" thickBot="1" x14ac:dyDescent="0.25">
      <c r="B517" s="176"/>
      <c r="C517" s="177" t="s">
        <v>269</v>
      </c>
      <c r="D517" s="353"/>
      <c r="E517" s="353"/>
      <c r="F517" s="353"/>
      <c r="G517" s="354" t="s">
        <v>271</v>
      </c>
      <c r="H517" s="354"/>
      <c r="I517" s="355"/>
      <c r="J517" s="356"/>
      <c r="K517" s="178"/>
      <c r="L517" s="357" t="s">
        <v>272</v>
      </c>
      <c r="M517" s="354"/>
      <c r="N517" s="354"/>
      <c r="O517" s="358"/>
      <c r="P517" s="359"/>
      <c r="Q517" s="179"/>
    </row>
    <row r="518" spans="2:20" s="2" customFormat="1" ht="21" hidden="1" customHeight="1" thickTop="1" thickBot="1" x14ac:dyDescent="0.25">
      <c r="B518" s="176"/>
      <c r="C518" s="180" t="s">
        <v>270</v>
      </c>
      <c r="D518" s="353"/>
      <c r="E518" s="353"/>
      <c r="F518" s="353"/>
      <c r="G518" s="354"/>
      <c r="H518" s="354"/>
      <c r="I518" s="354"/>
      <c r="J518" s="354"/>
      <c r="K518" s="178"/>
      <c r="L518" s="357" t="s">
        <v>272</v>
      </c>
      <c r="M518" s="354"/>
      <c r="N518" s="354"/>
      <c r="O518" s="358"/>
      <c r="P518" s="359"/>
      <c r="Q518" s="179"/>
    </row>
    <row r="519" spans="2:20" s="2" customFormat="1" ht="24" hidden="1" customHeight="1" thickTop="1" thickBot="1" x14ac:dyDescent="0.25">
      <c r="C519" s="181"/>
      <c r="D519" s="182"/>
      <c r="E519" s="182"/>
      <c r="F519" s="363" t="s">
        <v>242</v>
      </c>
      <c r="G519" s="363"/>
      <c r="H519" s="17"/>
      <c r="I519" s="364"/>
      <c r="J519" s="364"/>
      <c r="K519" s="17"/>
      <c r="L519" s="364"/>
      <c r="M519" s="364"/>
      <c r="N519" s="17"/>
      <c r="O519" s="364"/>
      <c r="P519" s="364"/>
      <c r="Q519" s="64"/>
    </row>
    <row r="520" spans="2:20" s="2" customFormat="1" ht="24" hidden="1" customHeight="1" thickTop="1" thickBot="1" x14ac:dyDescent="0.25">
      <c r="C520" s="181" t="s">
        <v>292</v>
      </c>
      <c r="D520" s="182"/>
      <c r="E520" s="182"/>
      <c r="F520" s="182"/>
      <c r="G520" s="182"/>
      <c r="H520" s="17"/>
      <c r="I520" s="360"/>
      <c r="J520" s="360"/>
      <c r="K520" s="17"/>
      <c r="L520" s="360"/>
      <c r="M520" s="360"/>
      <c r="N520" s="17"/>
      <c r="O520" s="360"/>
      <c r="P520" s="360"/>
    </row>
    <row r="521" spans="2:20" s="2" customFormat="1" ht="24" hidden="1" customHeight="1" thickTop="1" thickBot="1" x14ac:dyDescent="0.25">
      <c r="C521" s="181" t="s">
        <v>293</v>
      </c>
      <c r="D521" s="182"/>
      <c r="E521" s="182"/>
      <c r="F521" s="182"/>
      <c r="G521" s="182"/>
      <c r="H521" s="17"/>
      <c r="I521" s="360"/>
      <c r="J521" s="360"/>
      <c r="K521" s="17"/>
      <c r="L521" s="360"/>
      <c r="M521" s="360"/>
      <c r="N521" s="17"/>
      <c r="O521" s="360"/>
      <c r="P521" s="360"/>
    </row>
    <row r="522" spans="2:20" s="2" customFormat="1" ht="24" hidden="1" customHeight="1" thickTop="1" thickBot="1" x14ac:dyDescent="0.25">
      <c r="C522" s="181" t="s">
        <v>294</v>
      </c>
      <c r="D522" s="182"/>
      <c r="E522" s="182"/>
      <c r="F522" s="182"/>
      <c r="G522" s="182"/>
      <c r="H522" s="17"/>
      <c r="I522" s="360"/>
      <c r="J522" s="360"/>
      <c r="K522" s="17"/>
      <c r="L522" s="360"/>
      <c r="M522" s="360"/>
      <c r="N522" s="17"/>
      <c r="O522" s="360"/>
      <c r="P522" s="360"/>
      <c r="T522" s="183"/>
    </row>
    <row r="523" spans="2:20" s="2" customFormat="1" ht="24" hidden="1" customHeight="1" thickTop="1" x14ac:dyDescent="0.2">
      <c r="C523" s="181" t="s">
        <v>295</v>
      </c>
      <c r="D523" s="182"/>
      <c r="E523" s="182"/>
      <c r="F523" s="182"/>
      <c r="G523" s="182"/>
      <c r="H523" s="17"/>
      <c r="I523" s="361"/>
      <c r="J523" s="361"/>
      <c r="K523" s="17"/>
      <c r="L523" s="361"/>
      <c r="M523" s="361"/>
      <c r="N523" s="17"/>
      <c r="O523" s="361"/>
      <c r="P523" s="361"/>
    </row>
    <row r="524" spans="2:20" s="2" customFormat="1" ht="17.5" hidden="1" customHeight="1" x14ac:dyDescent="0.2">
      <c r="C524" s="181" t="s">
        <v>296</v>
      </c>
      <c r="D524" s="182"/>
      <c r="E524" s="182"/>
      <c r="F524" s="182"/>
      <c r="G524" s="182"/>
      <c r="H524" s="17"/>
      <c r="I524" s="17"/>
      <c r="J524" s="17"/>
      <c r="K524" s="17"/>
      <c r="L524" s="17"/>
      <c r="M524" s="17"/>
      <c r="N524" s="17"/>
      <c r="O524" s="17"/>
    </row>
    <row r="525" spans="2:20" s="2" customFormat="1" ht="17.5" hidden="1" customHeight="1" x14ac:dyDescent="0.2">
      <c r="C525" s="181" t="s">
        <v>297</v>
      </c>
      <c r="D525" s="182"/>
      <c r="E525" s="182"/>
      <c r="F525" s="182"/>
      <c r="G525" s="182"/>
      <c r="H525" s="17"/>
      <c r="I525" s="17"/>
      <c r="J525" s="17"/>
      <c r="K525" s="17"/>
      <c r="L525" s="17"/>
      <c r="M525" s="17"/>
      <c r="N525" s="17"/>
      <c r="O525" s="17"/>
    </row>
    <row r="526" spans="2:20" s="2" customFormat="1" ht="24" hidden="1" customHeight="1" x14ac:dyDescent="0.2">
      <c r="C526" s="181"/>
      <c r="D526" s="182"/>
      <c r="E526" s="182"/>
      <c r="F526" s="182"/>
      <c r="G526" s="182"/>
      <c r="H526" s="17"/>
      <c r="I526" s="17"/>
      <c r="J526" s="17"/>
      <c r="K526" s="17"/>
      <c r="L526" s="17"/>
      <c r="M526" s="17"/>
      <c r="N526" s="17"/>
      <c r="O526" s="17"/>
    </row>
    <row r="527" spans="2:20" s="2" customFormat="1" ht="24" hidden="1" customHeight="1" x14ac:dyDescent="0.2">
      <c r="C527" s="181" t="s">
        <v>180</v>
      </c>
      <c r="D527" s="182"/>
      <c r="E527" s="182"/>
      <c r="F527" s="182"/>
      <c r="G527" s="182"/>
      <c r="H527" s="17"/>
      <c r="I527" s="362"/>
      <c r="J527" s="362"/>
      <c r="K527" s="184"/>
      <c r="L527" s="362"/>
      <c r="M527" s="362"/>
      <c r="N527" s="184"/>
      <c r="O527" s="362"/>
      <c r="P527" s="362"/>
      <c r="Q527" s="220"/>
    </row>
    <row r="528" spans="2:20" s="2" customFormat="1" ht="18.5" hidden="1" customHeight="1" x14ac:dyDescent="0.2">
      <c r="C528" s="181" t="s">
        <v>298</v>
      </c>
      <c r="D528" s="182"/>
      <c r="E528" s="182"/>
      <c r="F528" s="182"/>
      <c r="G528" s="182"/>
      <c r="H528" s="17"/>
      <c r="I528" s="220"/>
      <c r="J528" s="17"/>
      <c r="K528" s="17"/>
      <c r="L528" s="220"/>
      <c r="M528" s="17"/>
      <c r="N528" s="17"/>
      <c r="O528" s="220"/>
    </row>
    <row r="529" spans="2:17" s="2" customFormat="1" ht="18.5" hidden="1" customHeight="1" x14ac:dyDescent="0.2">
      <c r="C529" s="181" t="s">
        <v>299</v>
      </c>
      <c r="D529" s="182"/>
      <c r="E529" s="182"/>
      <c r="F529" s="182"/>
      <c r="G529" s="182"/>
      <c r="H529" s="17"/>
      <c r="I529" s="17"/>
      <c r="J529" s="17"/>
      <c r="K529" s="17"/>
      <c r="L529" s="17"/>
      <c r="M529" s="17"/>
      <c r="N529" s="17"/>
      <c r="O529" s="17"/>
    </row>
    <row r="530" spans="2:17" s="2" customFormat="1" ht="18.5" hidden="1" customHeight="1" x14ac:dyDescent="0.2">
      <c r="C530" s="181" t="s">
        <v>300</v>
      </c>
      <c r="D530" s="182"/>
      <c r="E530" s="182"/>
      <c r="F530" s="182"/>
      <c r="G530" s="182"/>
      <c r="H530" s="17"/>
      <c r="I530" s="17"/>
      <c r="J530" s="17"/>
      <c r="K530" s="17"/>
      <c r="L530" s="17"/>
      <c r="M530" s="17"/>
      <c r="N530" s="17"/>
      <c r="O530" s="17"/>
    </row>
    <row r="531" spans="2:17" s="2" customFormat="1" ht="18.5" hidden="1" customHeight="1" thickBot="1" x14ac:dyDescent="0.25">
      <c r="C531" s="181"/>
      <c r="D531" s="182"/>
      <c r="E531" s="182"/>
      <c r="F531" s="182"/>
      <c r="G531" s="182"/>
      <c r="H531" s="17"/>
      <c r="I531" s="17"/>
      <c r="J531" s="17"/>
      <c r="K531" s="17"/>
      <c r="L531" s="17"/>
      <c r="M531" s="17"/>
      <c r="N531" s="17"/>
      <c r="O531" s="17"/>
    </row>
    <row r="532" spans="2:17" s="2" customFormat="1" ht="33" hidden="1" customHeight="1" thickTop="1" x14ac:dyDescent="0.2">
      <c r="B532" s="185"/>
      <c r="C532" s="186" t="s">
        <v>301</v>
      </c>
      <c r="D532" s="187"/>
      <c r="E532" s="221">
        <f>I520</f>
        <v>0</v>
      </c>
      <c r="F532" s="187"/>
      <c r="G532" s="188"/>
      <c r="H532" s="188"/>
      <c r="I532" s="337">
        <f>L520</f>
        <v>0</v>
      </c>
      <c r="J532" s="337"/>
      <c r="K532" s="188"/>
      <c r="L532" s="188"/>
      <c r="M532" s="338">
        <f>O520</f>
        <v>0</v>
      </c>
      <c r="N532" s="338"/>
      <c r="O532" s="338"/>
      <c r="P532" s="189"/>
      <c r="Q532" s="190"/>
    </row>
    <row r="533" spans="2:17" s="2" customFormat="1" ht="33" hidden="1" customHeight="1" thickBot="1" x14ac:dyDescent="0.25">
      <c r="B533" s="191"/>
      <c r="C533" s="192"/>
      <c r="D533" s="193"/>
      <c r="E533" s="192" t="s">
        <v>302</v>
      </c>
      <c r="F533" s="339" t="str">
        <f>IFERROR(((I532-E532)/ABS(E532)),"-")</f>
        <v>-</v>
      </c>
      <c r="G533" s="339"/>
      <c r="H533" s="194"/>
      <c r="I533" s="194"/>
      <c r="J533" s="194"/>
      <c r="K533" s="339" t="str">
        <f>IFERROR(((M532-I532)/ABS(I532)),"-")</f>
        <v>-</v>
      </c>
      <c r="L533" s="339"/>
      <c r="M533" s="339"/>
      <c r="N533" s="194"/>
      <c r="O533" s="194"/>
      <c r="P533" s="195"/>
      <c r="Q533" s="196"/>
    </row>
    <row r="534" spans="2:17" s="2" customFormat="1" ht="33" hidden="1" customHeight="1" thickTop="1" x14ac:dyDescent="0.2">
      <c r="B534" s="185"/>
      <c r="C534" s="186" t="s">
        <v>303</v>
      </c>
      <c r="D534" s="187"/>
      <c r="E534" s="221">
        <f>I520-I521</f>
        <v>0</v>
      </c>
      <c r="F534" s="187"/>
      <c r="G534" s="188"/>
      <c r="H534" s="188"/>
      <c r="I534" s="337">
        <f>L520-L521</f>
        <v>0</v>
      </c>
      <c r="J534" s="337"/>
      <c r="K534" s="188"/>
      <c r="L534" s="188"/>
      <c r="M534" s="338">
        <f>O520-O521</f>
        <v>0</v>
      </c>
      <c r="N534" s="338"/>
      <c r="O534" s="338"/>
      <c r="P534" s="189"/>
      <c r="Q534" s="190"/>
    </row>
    <row r="535" spans="2:17" s="2" customFormat="1" ht="33" hidden="1" customHeight="1" x14ac:dyDescent="0.2">
      <c r="B535" s="197"/>
      <c r="C535" s="181" t="s">
        <v>304</v>
      </c>
      <c r="D535" s="182"/>
      <c r="E535" s="181"/>
      <c r="F535" s="181"/>
      <c r="G535" s="17"/>
      <c r="H535" s="17"/>
      <c r="I535" s="17"/>
      <c r="J535" s="17"/>
      <c r="K535" s="17"/>
      <c r="L535" s="17"/>
      <c r="M535" s="17"/>
      <c r="N535" s="17"/>
      <c r="O535" s="17"/>
      <c r="Q535" s="198"/>
    </row>
    <row r="536" spans="2:17" s="2" customFormat="1" ht="33" hidden="1" customHeight="1" thickBot="1" x14ac:dyDescent="0.25">
      <c r="B536" s="191"/>
      <c r="C536" s="192"/>
      <c r="D536" s="193"/>
      <c r="E536" s="192" t="s">
        <v>302</v>
      </c>
      <c r="F536" s="339" t="str">
        <f>IFERROR(((I534-E534)/ABS(E534)),"-")</f>
        <v>-</v>
      </c>
      <c r="G536" s="339"/>
      <c r="H536" s="194"/>
      <c r="I536" s="194"/>
      <c r="J536" s="194"/>
      <c r="K536" s="339" t="str">
        <f>IFERROR(((M534-I534)/ABS(I534)),"-")</f>
        <v>-</v>
      </c>
      <c r="L536" s="339"/>
      <c r="M536" s="339"/>
      <c r="N536" s="194"/>
      <c r="O536" s="194"/>
      <c r="P536" s="195"/>
      <c r="Q536" s="196"/>
    </row>
    <row r="537" spans="2:17" s="2" customFormat="1" ht="33" hidden="1" customHeight="1" thickTop="1" x14ac:dyDescent="0.2">
      <c r="B537" s="185"/>
      <c r="C537" s="186" t="s">
        <v>305</v>
      </c>
      <c r="D537" s="187"/>
      <c r="E537" s="221">
        <f>I522</f>
        <v>0</v>
      </c>
      <c r="F537" s="187"/>
      <c r="G537" s="188"/>
      <c r="H537" s="188"/>
      <c r="I537" s="337">
        <f>L522</f>
        <v>0</v>
      </c>
      <c r="J537" s="337"/>
      <c r="K537" s="188"/>
      <c r="L537" s="188"/>
      <c r="M537" s="338">
        <f>O522</f>
        <v>0</v>
      </c>
      <c r="N537" s="338"/>
      <c r="O537" s="338"/>
      <c r="P537" s="189"/>
      <c r="Q537" s="190"/>
    </row>
    <row r="538" spans="2:17" s="2" customFormat="1" ht="33" hidden="1" customHeight="1" thickBot="1" x14ac:dyDescent="0.25">
      <c r="B538" s="191"/>
      <c r="C538" s="192"/>
      <c r="D538" s="193"/>
      <c r="E538" s="192" t="s">
        <v>302</v>
      </c>
      <c r="F538" s="339" t="str">
        <f>IFERROR(((I537-E537)/ABS(E537)),"-")</f>
        <v>-</v>
      </c>
      <c r="G538" s="339"/>
      <c r="H538" s="194"/>
      <c r="I538" s="194"/>
      <c r="J538" s="194"/>
      <c r="K538" s="339" t="str">
        <f>IFERROR(((M537-I537)/ABS(I537)),"-")</f>
        <v>-</v>
      </c>
      <c r="L538" s="339"/>
      <c r="M538" s="339"/>
      <c r="N538" s="194"/>
      <c r="O538" s="194"/>
      <c r="P538" s="195"/>
      <c r="Q538" s="196"/>
    </row>
    <row r="539" spans="2:17" s="2" customFormat="1" ht="33" hidden="1" customHeight="1" thickTop="1" x14ac:dyDescent="0.2">
      <c r="B539" s="185"/>
      <c r="C539" s="186" t="s">
        <v>306</v>
      </c>
      <c r="D539" s="187"/>
      <c r="E539" s="221">
        <f>I522+I523</f>
        <v>0</v>
      </c>
      <c r="F539" s="340" t="str">
        <f>IFERROR(TEXT((E539/E534),"+0%;-0%")&amp;" *","n/a*")</f>
        <v>n/a*</v>
      </c>
      <c r="G539" s="340"/>
      <c r="H539" s="188"/>
      <c r="I539" s="337">
        <f>L522+L523</f>
        <v>0</v>
      </c>
      <c r="J539" s="337"/>
      <c r="K539" s="340" t="str">
        <f>IFERROR(TEXT((I539/I534),"+0%;-0%")&amp;" *","n/a*")</f>
        <v>n/a*</v>
      </c>
      <c r="L539" s="340"/>
      <c r="M539" s="338">
        <f>O522+O523</f>
        <v>0</v>
      </c>
      <c r="N539" s="338"/>
      <c r="O539" s="338"/>
      <c r="P539" s="340" t="str">
        <f>IFERROR(ROUND((M539/M534)*100,0)&amp;"% *","n/a*")</f>
        <v>n/a*</v>
      </c>
      <c r="Q539" s="341"/>
    </row>
    <row r="540" spans="2:17" s="2" customFormat="1" ht="33" hidden="1" customHeight="1" x14ac:dyDescent="0.2">
      <c r="B540" s="197"/>
      <c r="C540" s="181" t="s">
        <v>307</v>
      </c>
      <c r="D540" s="182"/>
      <c r="E540" s="181"/>
      <c r="F540" s="181"/>
      <c r="G540" s="17"/>
      <c r="H540" s="17"/>
      <c r="I540" s="17"/>
      <c r="J540" s="17"/>
      <c r="K540" s="17"/>
      <c r="L540" s="17"/>
      <c r="M540" s="17"/>
      <c r="N540" s="17"/>
      <c r="O540" s="17"/>
      <c r="Q540" s="198"/>
    </row>
    <row r="541" spans="2:17" s="2" customFormat="1" ht="33" hidden="1" customHeight="1" thickBot="1" x14ac:dyDescent="0.25">
      <c r="B541" s="191"/>
      <c r="C541" s="192"/>
      <c r="D541" s="193"/>
      <c r="E541" s="192" t="s">
        <v>302</v>
      </c>
      <c r="F541" s="339" t="str">
        <f>IFERROR(((I539-E539)/ABS(E539)),"-")</f>
        <v>-</v>
      </c>
      <c r="G541" s="339"/>
      <c r="H541" s="194"/>
      <c r="I541" s="194"/>
      <c r="J541" s="194"/>
      <c r="K541" s="339" t="str">
        <f>IFERROR(((M539-I539)/ABS(I539)),"-")</f>
        <v>-</v>
      </c>
      <c r="L541" s="339"/>
      <c r="M541" s="339"/>
      <c r="N541" s="194"/>
      <c r="O541" s="194"/>
      <c r="P541" s="195"/>
      <c r="Q541" s="196"/>
    </row>
    <row r="542" spans="2:17" s="2" customFormat="1" ht="33" hidden="1" customHeight="1" thickTop="1" x14ac:dyDescent="0.2">
      <c r="B542" s="185"/>
      <c r="C542" s="186" t="s">
        <v>308</v>
      </c>
      <c r="D542" s="187"/>
      <c r="E542" s="221">
        <f>I520-I521-I522</f>
        <v>0</v>
      </c>
      <c r="F542" s="187"/>
      <c r="G542" s="188"/>
      <c r="H542" s="188"/>
      <c r="I542" s="337">
        <f>L520-L521-L522</f>
        <v>0</v>
      </c>
      <c r="J542" s="337"/>
      <c r="K542" s="188"/>
      <c r="L542" s="188"/>
      <c r="M542" s="338">
        <f>O520-O521-O522</f>
        <v>0</v>
      </c>
      <c r="N542" s="338"/>
      <c r="O542" s="338"/>
      <c r="P542" s="189"/>
      <c r="Q542" s="190"/>
    </row>
    <row r="543" spans="2:17" s="2" customFormat="1" ht="33" hidden="1" customHeight="1" x14ac:dyDescent="0.2">
      <c r="B543" s="197"/>
      <c r="C543" s="181" t="s">
        <v>309</v>
      </c>
      <c r="D543" s="182"/>
      <c r="E543" s="181"/>
      <c r="F543" s="181"/>
      <c r="G543" s="17"/>
      <c r="H543" s="17"/>
      <c r="I543" s="17"/>
      <c r="J543" s="17"/>
      <c r="K543" s="17"/>
      <c r="L543" s="17"/>
      <c r="M543" s="17"/>
      <c r="N543" s="17"/>
      <c r="O543" s="17"/>
      <c r="Q543" s="198"/>
    </row>
    <row r="544" spans="2:17" s="2" customFormat="1" ht="33" hidden="1" customHeight="1" thickBot="1" x14ac:dyDescent="0.25">
      <c r="B544" s="191"/>
      <c r="C544" s="192"/>
      <c r="D544" s="193"/>
      <c r="E544" s="192" t="s">
        <v>302</v>
      </c>
      <c r="F544" s="339" t="str">
        <f>IFERROR(((I542-E542)/ABS(E542)),"-")</f>
        <v>-</v>
      </c>
      <c r="G544" s="339"/>
      <c r="H544" s="194"/>
      <c r="I544" s="194"/>
      <c r="J544" s="194"/>
      <c r="K544" s="339" t="str">
        <f>IFERROR(((M542-I542)/ABS(I542)),"-")</f>
        <v>-</v>
      </c>
      <c r="L544" s="339"/>
      <c r="M544" s="339"/>
      <c r="N544" s="194"/>
      <c r="O544" s="194"/>
      <c r="P544" s="195"/>
      <c r="Q544" s="196"/>
    </row>
    <row r="545" spans="2:20" s="2" customFormat="1" ht="33" hidden="1" customHeight="1" thickTop="1" x14ac:dyDescent="0.2">
      <c r="B545" s="185"/>
      <c r="C545" s="186" t="s">
        <v>180</v>
      </c>
      <c r="D545" s="187"/>
      <c r="E545" s="221">
        <f>I527</f>
        <v>0</v>
      </c>
      <c r="F545" s="351" t="str">
        <f>IFERROR(ROUND((E545/E534)*100,0)&amp;"% **","n/a**")</f>
        <v>n/a**</v>
      </c>
      <c r="G545" s="351"/>
      <c r="H545" s="188"/>
      <c r="I545" s="337">
        <f>L527</f>
        <v>0</v>
      </c>
      <c r="J545" s="337"/>
      <c r="K545" s="351" t="str">
        <f>IFERROR(TEXT((I545/I534),"+0%;-0%")&amp;" **","n/a**")</f>
        <v>n/a**</v>
      </c>
      <c r="L545" s="351"/>
      <c r="M545" s="338">
        <f>O527</f>
        <v>0</v>
      </c>
      <c r="N545" s="338"/>
      <c r="O545" s="338"/>
      <c r="P545" s="351" t="str">
        <f>IFERROR(ROUND((M545/M534)*100,0)&amp;"% **","n/a**")</f>
        <v>n/a**</v>
      </c>
      <c r="Q545" s="352"/>
    </row>
    <row r="546" spans="2:20" s="2" customFormat="1" ht="33" hidden="1" customHeight="1" thickBot="1" x14ac:dyDescent="0.25">
      <c r="B546" s="191"/>
      <c r="C546" s="192"/>
      <c r="D546" s="193"/>
      <c r="E546" s="192" t="s">
        <v>302</v>
      </c>
      <c r="F546" s="339" t="str">
        <f>IFERROR(((I545-E545)/ABS(E545)),"-")</f>
        <v>-</v>
      </c>
      <c r="G546" s="339"/>
      <c r="H546" s="194"/>
      <c r="I546" s="194"/>
      <c r="J546" s="194"/>
      <c r="K546" s="339" t="str">
        <f>IFERROR(((M545-I545)/ABS(I545)),"-")</f>
        <v>-</v>
      </c>
      <c r="L546" s="339"/>
      <c r="M546" s="339"/>
      <c r="N546" s="194"/>
      <c r="O546" s="194"/>
      <c r="P546" s="195"/>
      <c r="Q546" s="196"/>
    </row>
    <row r="547" spans="2:20" s="2" customFormat="1" ht="18.5" hidden="1" customHeight="1" thickTop="1" x14ac:dyDescent="0.2">
      <c r="B547" s="25"/>
      <c r="C547" s="25" t="s">
        <v>310</v>
      </c>
      <c r="D547" s="182"/>
      <c r="E547" s="182"/>
      <c r="F547" s="182"/>
      <c r="G547" s="17"/>
      <c r="H547" s="17"/>
      <c r="I547" s="17"/>
      <c r="J547" s="17"/>
      <c r="K547" s="17"/>
      <c r="L547" s="17"/>
      <c r="M547" s="17"/>
      <c r="N547" s="17"/>
      <c r="O547" s="17"/>
    </row>
    <row r="548" spans="2:20" ht="13.5" customHeight="1" thickTop="1" thickBot="1" x14ac:dyDescent="0.25"/>
    <row r="549" spans="2:20" s="2" customFormat="1" ht="21" customHeight="1" thickTop="1" thickBot="1" x14ac:dyDescent="0.25">
      <c r="B549" s="176"/>
      <c r="C549" s="177" t="s">
        <v>269</v>
      </c>
      <c r="D549" s="353"/>
      <c r="E549" s="353"/>
      <c r="F549" s="353"/>
      <c r="G549" s="354" t="s">
        <v>271</v>
      </c>
      <c r="H549" s="354"/>
      <c r="I549" s="355"/>
      <c r="J549" s="356"/>
      <c r="K549" s="178"/>
      <c r="L549" s="357" t="s">
        <v>272</v>
      </c>
      <c r="M549" s="354"/>
      <c r="N549" s="354"/>
      <c r="O549" s="358"/>
      <c r="P549" s="359"/>
      <c r="Q549" s="179"/>
    </row>
    <row r="550" spans="2:20" s="2" customFormat="1" ht="21" hidden="1" customHeight="1" thickTop="1" thickBot="1" x14ac:dyDescent="0.25">
      <c r="B550" s="176"/>
      <c r="C550" s="180" t="s">
        <v>270</v>
      </c>
      <c r="D550" s="353"/>
      <c r="E550" s="353"/>
      <c r="F550" s="353"/>
      <c r="G550" s="354"/>
      <c r="H550" s="354"/>
      <c r="I550" s="354"/>
      <c r="J550" s="354"/>
      <c r="K550" s="178"/>
      <c r="L550" s="357" t="s">
        <v>272</v>
      </c>
      <c r="M550" s="354"/>
      <c r="N550" s="354"/>
      <c r="O550" s="358"/>
      <c r="P550" s="359"/>
      <c r="Q550" s="179"/>
    </row>
    <row r="551" spans="2:20" s="2" customFormat="1" ht="24" hidden="1" customHeight="1" thickTop="1" thickBot="1" x14ac:dyDescent="0.25">
      <c r="C551" s="181"/>
      <c r="D551" s="182"/>
      <c r="E551" s="182"/>
      <c r="F551" s="363" t="s">
        <v>242</v>
      </c>
      <c r="G551" s="363"/>
      <c r="H551" s="17"/>
      <c r="I551" s="364"/>
      <c r="J551" s="364"/>
      <c r="K551" s="17"/>
      <c r="L551" s="364"/>
      <c r="M551" s="364"/>
      <c r="N551" s="17"/>
      <c r="O551" s="364"/>
      <c r="P551" s="364"/>
      <c r="Q551" s="64"/>
    </row>
    <row r="552" spans="2:20" s="2" customFormat="1" ht="24" hidden="1" customHeight="1" thickTop="1" thickBot="1" x14ac:dyDescent="0.25">
      <c r="C552" s="181" t="s">
        <v>292</v>
      </c>
      <c r="D552" s="182"/>
      <c r="E552" s="182"/>
      <c r="F552" s="182"/>
      <c r="G552" s="182"/>
      <c r="H552" s="17"/>
      <c r="I552" s="360"/>
      <c r="J552" s="360"/>
      <c r="K552" s="17"/>
      <c r="L552" s="360"/>
      <c r="M552" s="360"/>
      <c r="N552" s="17"/>
      <c r="O552" s="360"/>
      <c r="P552" s="360"/>
    </row>
    <row r="553" spans="2:20" s="2" customFormat="1" ht="24" hidden="1" customHeight="1" thickTop="1" thickBot="1" x14ac:dyDescent="0.25">
      <c r="C553" s="181" t="s">
        <v>293</v>
      </c>
      <c r="D553" s="182"/>
      <c r="E553" s="182"/>
      <c r="F553" s="182"/>
      <c r="G553" s="182"/>
      <c r="H553" s="17"/>
      <c r="I553" s="360"/>
      <c r="J553" s="360"/>
      <c r="K553" s="17"/>
      <c r="L553" s="360"/>
      <c r="M553" s="360"/>
      <c r="N553" s="17"/>
      <c r="O553" s="360"/>
      <c r="P553" s="360"/>
    </row>
    <row r="554" spans="2:20" s="2" customFormat="1" ht="24" hidden="1" customHeight="1" thickTop="1" thickBot="1" x14ac:dyDescent="0.25">
      <c r="C554" s="181" t="s">
        <v>294</v>
      </c>
      <c r="D554" s="182"/>
      <c r="E554" s="182"/>
      <c r="F554" s="182"/>
      <c r="G554" s="182"/>
      <c r="H554" s="17"/>
      <c r="I554" s="360"/>
      <c r="J554" s="360"/>
      <c r="K554" s="17"/>
      <c r="L554" s="360"/>
      <c r="M554" s="360"/>
      <c r="N554" s="17"/>
      <c r="O554" s="360"/>
      <c r="P554" s="360"/>
      <c r="T554" s="183"/>
    </row>
    <row r="555" spans="2:20" s="2" customFormat="1" ht="24" hidden="1" customHeight="1" thickTop="1" x14ac:dyDescent="0.2">
      <c r="C555" s="181" t="s">
        <v>295</v>
      </c>
      <c r="D555" s="182"/>
      <c r="E555" s="182"/>
      <c r="F555" s="182"/>
      <c r="G555" s="182"/>
      <c r="H555" s="17"/>
      <c r="I555" s="361"/>
      <c r="J555" s="361"/>
      <c r="K555" s="17"/>
      <c r="L555" s="361"/>
      <c r="M555" s="361"/>
      <c r="N555" s="17"/>
      <c r="O555" s="361"/>
      <c r="P555" s="361"/>
    </row>
    <row r="556" spans="2:20" s="2" customFormat="1" ht="17.5" hidden="1" customHeight="1" x14ac:dyDescent="0.2">
      <c r="C556" s="181" t="s">
        <v>296</v>
      </c>
      <c r="D556" s="182"/>
      <c r="E556" s="182"/>
      <c r="F556" s="182"/>
      <c r="G556" s="182"/>
      <c r="H556" s="17"/>
      <c r="I556" s="17"/>
      <c r="J556" s="17"/>
      <c r="K556" s="17"/>
      <c r="L556" s="17"/>
      <c r="M556" s="17"/>
      <c r="N556" s="17"/>
      <c r="O556" s="17"/>
    </row>
    <row r="557" spans="2:20" s="2" customFormat="1" ht="17.5" hidden="1" customHeight="1" x14ac:dyDescent="0.2">
      <c r="C557" s="181" t="s">
        <v>297</v>
      </c>
      <c r="D557" s="182"/>
      <c r="E557" s="182"/>
      <c r="F557" s="182"/>
      <c r="G557" s="182"/>
      <c r="H557" s="17"/>
      <c r="I557" s="17"/>
      <c r="J557" s="17"/>
      <c r="K557" s="17"/>
      <c r="L557" s="17"/>
      <c r="M557" s="17"/>
      <c r="N557" s="17"/>
      <c r="O557" s="17"/>
    </row>
    <row r="558" spans="2:20" s="2" customFormat="1" ht="24" hidden="1" customHeight="1" x14ac:dyDescent="0.2">
      <c r="C558" s="181"/>
      <c r="D558" s="182"/>
      <c r="E558" s="182"/>
      <c r="F558" s="182"/>
      <c r="G558" s="182"/>
      <c r="H558" s="17"/>
      <c r="I558" s="17"/>
      <c r="J558" s="17"/>
      <c r="K558" s="17"/>
      <c r="L558" s="17"/>
      <c r="M558" s="17"/>
      <c r="N558" s="17"/>
      <c r="O558" s="17"/>
    </row>
    <row r="559" spans="2:20" s="2" customFormat="1" ht="24" hidden="1" customHeight="1" x14ac:dyDescent="0.2">
      <c r="C559" s="181" t="s">
        <v>180</v>
      </c>
      <c r="D559" s="182"/>
      <c r="E559" s="182"/>
      <c r="F559" s="182"/>
      <c r="G559" s="182"/>
      <c r="H559" s="17"/>
      <c r="I559" s="362"/>
      <c r="J559" s="362"/>
      <c r="K559" s="184"/>
      <c r="L559" s="362"/>
      <c r="M559" s="362"/>
      <c r="N559" s="184"/>
      <c r="O559" s="362"/>
      <c r="P559" s="362"/>
      <c r="Q559" s="220"/>
    </row>
    <row r="560" spans="2:20" s="2" customFormat="1" ht="18.5" hidden="1" customHeight="1" x14ac:dyDescent="0.2">
      <c r="C560" s="181" t="s">
        <v>298</v>
      </c>
      <c r="D560" s="182"/>
      <c r="E560" s="182"/>
      <c r="F560" s="182"/>
      <c r="G560" s="182"/>
      <c r="H560" s="17"/>
      <c r="I560" s="220"/>
      <c r="J560" s="17"/>
      <c r="K560" s="17"/>
      <c r="L560" s="220"/>
      <c r="M560" s="17"/>
      <c r="N560" s="17"/>
      <c r="O560" s="220"/>
    </row>
    <row r="561" spans="2:17" s="2" customFormat="1" ht="18.5" hidden="1" customHeight="1" x14ac:dyDescent="0.2">
      <c r="C561" s="181" t="s">
        <v>299</v>
      </c>
      <c r="D561" s="182"/>
      <c r="E561" s="182"/>
      <c r="F561" s="182"/>
      <c r="G561" s="182"/>
      <c r="H561" s="17"/>
      <c r="I561" s="17"/>
      <c r="J561" s="17"/>
      <c r="K561" s="17"/>
      <c r="L561" s="17"/>
      <c r="M561" s="17"/>
      <c r="N561" s="17"/>
      <c r="O561" s="17"/>
    </row>
    <row r="562" spans="2:17" s="2" customFormat="1" ht="18.5" hidden="1" customHeight="1" x14ac:dyDescent="0.2">
      <c r="C562" s="181" t="s">
        <v>300</v>
      </c>
      <c r="D562" s="182"/>
      <c r="E562" s="182"/>
      <c r="F562" s="182"/>
      <c r="G562" s="182"/>
      <c r="H562" s="17"/>
      <c r="I562" s="17"/>
      <c r="J562" s="17"/>
      <c r="K562" s="17"/>
      <c r="L562" s="17"/>
      <c r="M562" s="17"/>
      <c r="N562" s="17"/>
      <c r="O562" s="17"/>
    </row>
    <row r="563" spans="2:17" s="2" customFormat="1" ht="18.5" hidden="1" customHeight="1" thickBot="1" x14ac:dyDescent="0.25">
      <c r="C563" s="181"/>
      <c r="D563" s="182"/>
      <c r="E563" s="182"/>
      <c r="F563" s="182"/>
      <c r="G563" s="182"/>
      <c r="H563" s="17"/>
      <c r="I563" s="17"/>
      <c r="J563" s="17"/>
      <c r="K563" s="17"/>
      <c r="L563" s="17"/>
      <c r="M563" s="17"/>
      <c r="N563" s="17"/>
      <c r="O563" s="17"/>
    </row>
    <row r="564" spans="2:17" s="2" customFormat="1" ht="33" hidden="1" customHeight="1" thickTop="1" x14ac:dyDescent="0.2">
      <c r="B564" s="185"/>
      <c r="C564" s="186" t="s">
        <v>301</v>
      </c>
      <c r="D564" s="187"/>
      <c r="E564" s="221">
        <f>I552</f>
        <v>0</v>
      </c>
      <c r="F564" s="187"/>
      <c r="G564" s="188"/>
      <c r="H564" s="188"/>
      <c r="I564" s="337">
        <f>L552</f>
        <v>0</v>
      </c>
      <c r="J564" s="337"/>
      <c r="K564" s="188"/>
      <c r="L564" s="188"/>
      <c r="M564" s="338">
        <f>O552</f>
        <v>0</v>
      </c>
      <c r="N564" s="338"/>
      <c r="O564" s="338"/>
      <c r="P564" s="189"/>
      <c r="Q564" s="190"/>
    </row>
    <row r="565" spans="2:17" s="2" customFormat="1" ht="33" hidden="1" customHeight="1" thickBot="1" x14ac:dyDescent="0.25">
      <c r="B565" s="191"/>
      <c r="C565" s="192"/>
      <c r="D565" s="193"/>
      <c r="E565" s="192" t="s">
        <v>302</v>
      </c>
      <c r="F565" s="339" t="str">
        <f>IFERROR(((I564-E564)/ABS(E564)),"-")</f>
        <v>-</v>
      </c>
      <c r="G565" s="339"/>
      <c r="H565" s="194"/>
      <c r="I565" s="194"/>
      <c r="J565" s="194"/>
      <c r="K565" s="339" t="str">
        <f>IFERROR(((M564-I564)/ABS(I564)),"-")</f>
        <v>-</v>
      </c>
      <c r="L565" s="339"/>
      <c r="M565" s="339"/>
      <c r="N565" s="194"/>
      <c r="O565" s="194"/>
      <c r="P565" s="195"/>
      <c r="Q565" s="196"/>
    </row>
    <row r="566" spans="2:17" s="2" customFormat="1" ht="33" hidden="1" customHeight="1" thickTop="1" x14ac:dyDescent="0.2">
      <c r="B566" s="185"/>
      <c r="C566" s="186" t="s">
        <v>303</v>
      </c>
      <c r="D566" s="187"/>
      <c r="E566" s="221">
        <f>I552-I553</f>
        <v>0</v>
      </c>
      <c r="F566" s="187"/>
      <c r="G566" s="188"/>
      <c r="H566" s="188"/>
      <c r="I566" s="337">
        <f>L552-L553</f>
        <v>0</v>
      </c>
      <c r="J566" s="337"/>
      <c r="K566" s="188"/>
      <c r="L566" s="188"/>
      <c r="M566" s="338">
        <f>O552-O553</f>
        <v>0</v>
      </c>
      <c r="N566" s="338"/>
      <c r="O566" s="338"/>
      <c r="P566" s="189"/>
      <c r="Q566" s="190"/>
    </row>
    <row r="567" spans="2:17" s="2" customFormat="1" ht="33" hidden="1" customHeight="1" x14ac:dyDescent="0.2">
      <c r="B567" s="197"/>
      <c r="C567" s="181" t="s">
        <v>304</v>
      </c>
      <c r="D567" s="182"/>
      <c r="E567" s="181"/>
      <c r="F567" s="181"/>
      <c r="G567" s="17"/>
      <c r="H567" s="17"/>
      <c r="I567" s="17"/>
      <c r="J567" s="17"/>
      <c r="K567" s="17"/>
      <c r="L567" s="17"/>
      <c r="M567" s="17"/>
      <c r="N567" s="17"/>
      <c r="O567" s="17"/>
      <c r="Q567" s="198"/>
    </row>
    <row r="568" spans="2:17" s="2" customFormat="1" ht="33" hidden="1" customHeight="1" thickBot="1" x14ac:dyDescent="0.25">
      <c r="B568" s="191"/>
      <c r="C568" s="192"/>
      <c r="D568" s="193"/>
      <c r="E568" s="192" t="s">
        <v>302</v>
      </c>
      <c r="F568" s="339" t="str">
        <f>IFERROR(((I566-E566)/ABS(E566)),"-")</f>
        <v>-</v>
      </c>
      <c r="G568" s="339"/>
      <c r="H568" s="194"/>
      <c r="I568" s="194"/>
      <c r="J568" s="194"/>
      <c r="K568" s="339" t="str">
        <f>IFERROR(((M566-I566)/ABS(I566)),"-")</f>
        <v>-</v>
      </c>
      <c r="L568" s="339"/>
      <c r="M568" s="339"/>
      <c r="N568" s="194"/>
      <c r="O568" s="194"/>
      <c r="P568" s="195"/>
      <c r="Q568" s="196"/>
    </row>
    <row r="569" spans="2:17" s="2" customFormat="1" ht="33" hidden="1" customHeight="1" thickTop="1" x14ac:dyDescent="0.2">
      <c r="B569" s="185"/>
      <c r="C569" s="186" t="s">
        <v>305</v>
      </c>
      <c r="D569" s="187"/>
      <c r="E569" s="221">
        <f>I554</f>
        <v>0</v>
      </c>
      <c r="F569" s="187"/>
      <c r="G569" s="188"/>
      <c r="H569" s="188"/>
      <c r="I569" s="337">
        <f>L554</f>
        <v>0</v>
      </c>
      <c r="J569" s="337"/>
      <c r="K569" s="188"/>
      <c r="L569" s="188"/>
      <c r="M569" s="338">
        <f>O554</f>
        <v>0</v>
      </c>
      <c r="N569" s="338"/>
      <c r="O569" s="338"/>
      <c r="P569" s="189"/>
      <c r="Q569" s="190"/>
    </row>
    <row r="570" spans="2:17" s="2" customFormat="1" ht="33" hidden="1" customHeight="1" thickBot="1" x14ac:dyDescent="0.25">
      <c r="B570" s="191"/>
      <c r="C570" s="192"/>
      <c r="D570" s="193"/>
      <c r="E570" s="192" t="s">
        <v>302</v>
      </c>
      <c r="F570" s="339" t="str">
        <f>IFERROR(((I569-E569)/ABS(E569)),"-")</f>
        <v>-</v>
      </c>
      <c r="G570" s="339"/>
      <c r="H570" s="194"/>
      <c r="I570" s="194"/>
      <c r="J570" s="194"/>
      <c r="K570" s="339" t="str">
        <f>IFERROR(((M569-I569)/ABS(I569)),"-")</f>
        <v>-</v>
      </c>
      <c r="L570" s="339"/>
      <c r="M570" s="339"/>
      <c r="N570" s="194"/>
      <c r="O570" s="194"/>
      <c r="P570" s="195"/>
      <c r="Q570" s="196"/>
    </row>
    <row r="571" spans="2:17" s="2" customFormat="1" ht="33" hidden="1" customHeight="1" thickTop="1" x14ac:dyDescent="0.2">
      <c r="B571" s="185"/>
      <c r="C571" s="186" t="s">
        <v>306</v>
      </c>
      <c r="D571" s="187"/>
      <c r="E571" s="221">
        <f>I554+I555</f>
        <v>0</v>
      </c>
      <c r="F571" s="340" t="str">
        <f>IFERROR(TEXT((E571/E566),"+0%;-0%")&amp;" *","n/a*")</f>
        <v>n/a*</v>
      </c>
      <c r="G571" s="340"/>
      <c r="H571" s="188"/>
      <c r="I571" s="337">
        <f>L554+L555</f>
        <v>0</v>
      </c>
      <c r="J571" s="337"/>
      <c r="K571" s="340" t="str">
        <f>IFERROR(TEXT((I571/I566),"+0%;-0%")&amp;" *","n/a*")</f>
        <v>n/a*</v>
      </c>
      <c r="L571" s="340"/>
      <c r="M571" s="338">
        <f>O554+O555</f>
        <v>0</v>
      </c>
      <c r="N571" s="338"/>
      <c r="O571" s="338"/>
      <c r="P571" s="340" t="str">
        <f>IFERROR(ROUND((M571/M566)*100,0)&amp;"% *","n/a*")</f>
        <v>n/a*</v>
      </c>
      <c r="Q571" s="341"/>
    </row>
    <row r="572" spans="2:17" s="2" customFormat="1" ht="33" hidden="1" customHeight="1" x14ac:dyDescent="0.2">
      <c r="B572" s="197"/>
      <c r="C572" s="181" t="s">
        <v>307</v>
      </c>
      <c r="D572" s="182"/>
      <c r="E572" s="181"/>
      <c r="F572" s="181"/>
      <c r="G572" s="17"/>
      <c r="H572" s="17"/>
      <c r="I572" s="17"/>
      <c r="J572" s="17"/>
      <c r="K572" s="17"/>
      <c r="L572" s="17"/>
      <c r="M572" s="17"/>
      <c r="N572" s="17"/>
      <c r="O572" s="17"/>
      <c r="Q572" s="198"/>
    </row>
    <row r="573" spans="2:17" s="2" customFormat="1" ht="33" hidden="1" customHeight="1" thickBot="1" x14ac:dyDescent="0.25">
      <c r="B573" s="191"/>
      <c r="C573" s="192"/>
      <c r="D573" s="193"/>
      <c r="E573" s="192" t="s">
        <v>302</v>
      </c>
      <c r="F573" s="339" t="str">
        <f>IFERROR(((I571-E571)/ABS(E571)),"-")</f>
        <v>-</v>
      </c>
      <c r="G573" s="339"/>
      <c r="H573" s="194"/>
      <c r="I573" s="194"/>
      <c r="J573" s="194"/>
      <c r="K573" s="339" t="str">
        <f>IFERROR(((M571-I571)/ABS(I571)),"-")</f>
        <v>-</v>
      </c>
      <c r="L573" s="339"/>
      <c r="M573" s="339"/>
      <c r="N573" s="194"/>
      <c r="O573" s="194"/>
      <c r="P573" s="195"/>
      <c r="Q573" s="196"/>
    </row>
    <row r="574" spans="2:17" s="2" customFormat="1" ht="33" hidden="1" customHeight="1" thickTop="1" x14ac:dyDescent="0.2">
      <c r="B574" s="185"/>
      <c r="C574" s="186" t="s">
        <v>308</v>
      </c>
      <c r="D574" s="187"/>
      <c r="E574" s="221">
        <f>I552-I553-I554</f>
        <v>0</v>
      </c>
      <c r="F574" s="187"/>
      <c r="G574" s="188"/>
      <c r="H574" s="188"/>
      <c r="I574" s="337">
        <f>L552-L553-L554</f>
        <v>0</v>
      </c>
      <c r="J574" s="337"/>
      <c r="K574" s="188"/>
      <c r="L574" s="188"/>
      <c r="M574" s="338">
        <f>O552-O553-O554</f>
        <v>0</v>
      </c>
      <c r="N574" s="338"/>
      <c r="O574" s="338"/>
      <c r="P574" s="189"/>
      <c r="Q574" s="190"/>
    </row>
    <row r="575" spans="2:17" s="2" customFormat="1" ht="33" hidden="1" customHeight="1" x14ac:dyDescent="0.2">
      <c r="B575" s="197"/>
      <c r="C575" s="181" t="s">
        <v>309</v>
      </c>
      <c r="D575" s="182"/>
      <c r="E575" s="181"/>
      <c r="F575" s="181"/>
      <c r="G575" s="17"/>
      <c r="H575" s="17"/>
      <c r="I575" s="17"/>
      <c r="J575" s="17"/>
      <c r="K575" s="17"/>
      <c r="L575" s="17"/>
      <c r="M575" s="17"/>
      <c r="N575" s="17"/>
      <c r="O575" s="17"/>
      <c r="Q575" s="198"/>
    </row>
    <row r="576" spans="2:17" s="2" customFormat="1" ht="33" hidden="1" customHeight="1" thickBot="1" x14ac:dyDescent="0.25">
      <c r="B576" s="191"/>
      <c r="C576" s="192"/>
      <c r="D576" s="193"/>
      <c r="E576" s="192" t="s">
        <v>302</v>
      </c>
      <c r="F576" s="339" t="str">
        <f>IFERROR(((I574-E574)/ABS(E574)),"-")</f>
        <v>-</v>
      </c>
      <c r="G576" s="339"/>
      <c r="H576" s="194"/>
      <c r="I576" s="194"/>
      <c r="J576" s="194"/>
      <c r="K576" s="339" t="str">
        <f>IFERROR(((M574-I574)/ABS(I574)),"-")</f>
        <v>-</v>
      </c>
      <c r="L576" s="339"/>
      <c r="M576" s="339"/>
      <c r="N576" s="194"/>
      <c r="O576" s="194"/>
      <c r="P576" s="195"/>
      <c r="Q576" s="196"/>
    </row>
    <row r="577" spans="2:23" s="2" customFormat="1" ht="33" hidden="1" customHeight="1" thickTop="1" x14ac:dyDescent="0.2">
      <c r="B577" s="185"/>
      <c r="C577" s="186" t="s">
        <v>180</v>
      </c>
      <c r="D577" s="187"/>
      <c r="E577" s="221">
        <f>I559</f>
        <v>0</v>
      </c>
      <c r="F577" s="351" t="str">
        <f>IFERROR(ROUND((E577/E566)*100,0)&amp;"% **","n/a**")</f>
        <v>n/a**</v>
      </c>
      <c r="G577" s="351"/>
      <c r="H577" s="188"/>
      <c r="I577" s="337">
        <f>L559</f>
        <v>0</v>
      </c>
      <c r="J577" s="337"/>
      <c r="K577" s="351" t="str">
        <f>IFERROR(TEXT((I577/I566),"+0%;-0%")&amp;" **","n/a**")</f>
        <v>n/a**</v>
      </c>
      <c r="L577" s="351"/>
      <c r="M577" s="338">
        <f>O559</f>
        <v>0</v>
      </c>
      <c r="N577" s="338"/>
      <c r="O577" s="338"/>
      <c r="P577" s="351" t="str">
        <f>IFERROR(ROUND((M577/M566)*100,0)&amp;"% **","n/a**")</f>
        <v>n/a**</v>
      </c>
      <c r="Q577" s="352"/>
    </row>
    <row r="578" spans="2:23" s="2" customFormat="1" ht="33" hidden="1" customHeight="1" thickBot="1" x14ac:dyDescent="0.25">
      <c r="B578" s="191"/>
      <c r="C578" s="192"/>
      <c r="D578" s="193"/>
      <c r="E578" s="192" t="s">
        <v>302</v>
      </c>
      <c r="F578" s="339" t="str">
        <f>IFERROR(((I577-E577)/ABS(E577)),"-")</f>
        <v>-</v>
      </c>
      <c r="G578" s="339"/>
      <c r="H578" s="194"/>
      <c r="I578" s="194"/>
      <c r="J578" s="194"/>
      <c r="K578" s="339" t="str">
        <f>IFERROR(((M577-I577)/ABS(I577)),"-")</f>
        <v>-</v>
      </c>
      <c r="L578" s="339"/>
      <c r="M578" s="339"/>
      <c r="N578" s="194"/>
      <c r="O578" s="194"/>
      <c r="P578" s="195"/>
      <c r="Q578" s="196"/>
    </row>
    <row r="579" spans="2:23" s="2" customFormat="1" ht="18.5" hidden="1" customHeight="1" thickTop="1" x14ac:dyDescent="0.2">
      <c r="B579" s="25"/>
      <c r="C579" s="25" t="s">
        <v>310</v>
      </c>
      <c r="D579" s="182"/>
      <c r="E579" s="182"/>
      <c r="F579" s="182"/>
      <c r="G579" s="17"/>
      <c r="H579" s="17"/>
      <c r="I579" s="17"/>
      <c r="J579" s="17"/>
      <c r="K579" s="17"/>
      <c r="L579" s="17"/>
      <c r="M579" s="17"/>
      <c r="N579" s="17"/>
      <c r="O579" s="17"/>
    </row>
    <row r="580" spans="2:23" ht="13.5" customHeight="1" thickTop="1" x14ac:dyDescent="0.2"/>
    <row r="581" spans="2:23" s="2" customFormat="1" ht="20.5" customHeight="1" x14ac:dyDescent="0.2">
      <c r="B581" s="199"/>
      <c r="C581" s="47" t="s">
        <v>148</v>
      </c>
      <c r="D581" s="47"/>
      <c r="E581" s="48"/>
      <c r="F581" s="48"/>
      <c r="G581" s="48"/>
      <c r="H581" s="48"/>
      <c r="I581" s="48"/>
      <c r="J581" s="48"/>
      <c r="K581" s="48"/>
      <c r="L581" s="48"/>
      <c r="M581" s="48"/>
      <c r="N581" s="48"/>
      <c r="O581" s="48"/>
      <c r="P581" s="82"/>
      <c r="Q581" s="49"/>
    </row>
    <row r="582" spans="2:23" s="4" customFormat="1" ht="22.25" customHeight="1" x14ac:dyDescent="0.2">
      <c r="B582" s="200"/>
      <c r="C582" s="342"/>
      <c r="D582" s="343"/>
      <c r="E582" s="343"/>
      <c r="F582" s="343"/>
      <c r="G582" s="343"/>
      <c r="H582" s="343"/>
      <c r="I582" s="343"/>
      <c r="J582" s="343"/>
      <c r="K582" s="343"/>
      <c r="L582" s="343"/>
      <c r="M582" s="343"/>
      <c r="N582" s="343"/>
      <c r="O582" s="343"/>
      <c r="P582" s="344"/>
      <c r="Q582" s="201"/>
      <c r="R582" s="67" t="s">
        <v>65</v>
      </c>
      <c r="U582" s="2"/>
      <c r="V582" s="2"/>
      <c r="W582" s="2"/>
    </row>
    <row r="583" spans="2:23" s="4" customFormat="1" ht="22.25" customHeight="1" x14ac:dyDescent="0.2">
      <c r="B583" s="200"/>
      <c r="C583" s="345"/>
      <c r="D583" s="346"/>
      <c r="E583" s="346"/>
      <c r="F583" s="346"/>
      <c r="G583" s="346"/>
      <c r="H583" s="346"/>
      <c r="I583" s="346"/>
      <c r="J583" s="346"/>
      <c r="K583" s="346"/>
      <c r="L583" s="346"/>
      <c r="M583" s="346"/>
      <c r="N583" s="346"/>
      <c r="O583" s="346"/>
      <c r="P583" s="347"/>
      <c r="Q583" s="201"/>
      <c r="R583" s="67" t="s">
        <v>65</v>
      </c>
      <c r="U583" s="2"/>
      <c r="V583" s="2"/>
      <c r="W583" s="2"/>
    </row>
    <row r="584" spans="2:23" s="4" customFormat="1" ht="22.25" customHeight="1" x14ac:dyDescent="0.2">
      <c r="B584" s="200"/>
      <c r="C584" s="345"/>
      <c r="D584" s="346"/>
      <c r="E584" s="346"/>
      <c r="F584" s="346"/>
      <c r="G584" s="346"/>
      <c r="H584" s="346"/>
      <c r="I584" s="346"/>
      <c r="J584" s="346"/>
      <c r="K584" s="346"/>
      <c r="L584" s="346"/>
      <c r="M584" s="346"/>
      <c r="N584" s="346"/>
      <c r="O584" s="346"/>
      <c r="P584" s="347"/>
      <c r="Q584" s="201"/>
      <c r="R584" s="67" t="s">
        <v>65</v>
      </c>
      <c r="U584" s="2"/>
      <c r="V584" s="2"/>
      <c r="W584" s="2"/>
    </row>
    <row r="585" spans="2:23" s="4" customFormat="1" ht="22.25" customHeight="1" x14ac:dyDescent="0.2">
      <c r="B585" s="200"/>
      <c r="C585" s="345"/>
      <c r="D585" s="346"/>
      <c r="E585" s="346"/>
      <c r="F585" s="346"/>
      <c r="G585" s="346"/>
      <c r="H585" s="346"/>
      <c r="I585" s="346"/>
      <c r="J585" s="346"/>
      <c r="K585" s="346"/>
      <c r="L585" s="346"/>
      <c r="M585" s="346"/>
      <c r="N585" s="346"/>
      <c r="O585" s="346"/>
      <c r="P585" s="347"/>
      <c r="Q585" s="201"/>
      <c r="R585" s="67" t="s">
        <v>65</v>
      </c>
      <c r="U585" s="2"/>
      <c r="V585" s="2"/>
      <c r="W585" s="2"/>
    </row>
    <row r="586" spans="2:23" s="4" customFormat="1" ht="22.25" customHeight="1" x14ac:dyDescent="0.2">
      <c r="B586" s="200"/>
      <c r="C586" s="345"/>
      <c r="D586" s="346"/>
      <c r="E586" s="346"/>
      <c r="F586" s="346"/>
      <c r="G586" s="346"/>
      <c r="H586" s="346"/>
      <c r="I586" s="346"/>
      <c r="J586" s="346"/>
      <c r="K586" s="346"/>
      <c r="L586" s="346"/>
      <c r="M586" s="346"/>
      <c r="N586" s="346"/>
      <c r="O586" s="346"/>
      <c r="P586" s="347"/>
      <c r="Q586" s="201"/>
      <c r="R586" s="67" t="s">
        <v>65</v>
      </c>
      <c r="U586" s="2"/>
      <c r="V586" s="2"/>
      <c r="W586" s="2"/>
    </row>
    <row r="587" spans="2:23" s="4" customFormat="1" ht="22.25" customHeight="1" x14ac:dyDescent="0.2">
      <c r="B587" s="200"/>
      <c r="C587" s="345"/>
      <c r="D587" s="346"/>
      <c r="E587" s="346"/>
      <c r="F587" s="346"/>
      <c r="G587" s="346"/>
      <c r="H587" s="346"/>
      <c r="I587" s="346"/>
      <c r="J587" s="346"/>
      <c r="K587" s="346"/>
      <c r="L587" s="346"/>
      <c r="M587" s="346"/>
      <c r="N587" s="346"/>
      <c r="O587" s="346"/>
      <c r="P587" s="347"/>
      <c r="Q587" s="201"/>
      <c r="R587" s="67" t="s">
        <v>65</v>
      </c>
    </row>
    <row r="588" spans="2:23" s="4" customFormat="1" ht="22.25" customHeight="1" x14ac:dyDescent="0.2">
      <c r="B588" s="200"/>
      <c r="C588" s="345"/>
      <c r="D588" s="346"/>
      <c r="E588" s="346"/>
      <c r="F588" s="346"/>
      <c r="G588" s="346"/>
      <c r="H588" s="346"/>
      <c r="I588" s="346"/>
      <c r="J588" s="346"/>
      <c r="K588" s="346"/>
      <c r="L588" s="346"/>
      <c r="M588" s="346"/>
      <c r="N588" s="346"/>
      <c r="O588" s="346"/>
      <c r="P588" s="347"/>
      <c r="Q588" s="201"/>
      <c r="R588" s="67" t="s">
        <v>65</v>
      </c>
    </row>
    <row r="589" spans="2:23" s="4" customFormat="1" ht="24" customHeight="1" x14ac:dyDescent="0.2">
      <c r="B589" s="200"/>
      <c r="C589" s="348"/>
      <c r="D589" s="349"/>
      <c r="E589" s="349"/>
      <c r="F589" s="349"/>
      <c r="G589" s="349"/>
      <c r="H589" s="349"/>
      <c r="I589" s="349"/>
      <c r="J589" s="349"/>
      <c r="K589" s="349"/>
      <c r="L589" s="349"/>
      <c r="M589" s="349"/>
      <c r="N589" s="349"/>
      <c r="O589" s="349"/>
      <c r="P589" s="350"/>
      <c r="Q589" s="201"/>
      <c r="R589" s="67" t="s">
        <v>65</v>
      </c>
    </row>
    <row r="590" spans="2:23" ht="15" customHeight="1" x14ac:dyDescent="0.2">
      <c r="B590" s="51"/>
      <c r="C590" s="52"/>
      <c r="D590" s="52"/>
      <c r="E590" s="52"/>
      <c r="F590" s="52"/>
      <c r="G590" s="52"/>
      <c r="H590" s="52"/>
      <c r="I590" s="52"/>
      <c r="J590" s="52"/>
      <c r="K590" s="52"/>
      <c r="L590" s="52"/>
      <c r="M590" s="52"/>
      <c r="N590" s="52"/>
      <c r="O590" s="52"/>
      <c r="P590" s="52"/>
      <c r="Q590" s="53"/>
    </row>
    <row r="591" spans="2:23" x14ac:dyDescent="0.2">
      <c r="C591" s="79"/>
    </row>
  </sheetData>
  <sheetProtection algorithmName="SHA-512" hashValue="a1M9DVZ/QSPaavXiGUMfdA7CfSrchgusUL1seZ60lqi+NCMWqdQBbme9gDABKWNN3GwPlpSKiTz6xz7oto/s0A==" saltValue="nO6b2BJlzGabT9hRdiktlQ==" spinCount="100000" sheet="1" objects="1" scenarios="1" selectLockedCells="1"/>
  <mergeCells count="1064">
    <mergeCell ref="F386:G386"/>
    <mergeCell ref="K386:M386"/>
    <mergeCell ref="F385:G385"/>
    <mergeCell ref="I385:J385"/>
    <mergeCell ref="K385:L385"/>
    <mergeCell ref="M385:O385"/>
    <mergeCell ref="P385:Q385"/>
    <mergeCell ref="F381:G381"/>
    <mergeCell ref="K381:M381"/>
    <mergeCell ref="I382:J382"/>
    <mergeCell ref="M382:O382"/>
    <mergeCell ref="F384:G384"/>
    <mergeCell ref="K384:M384"/>
    <mergeCell ref="F379:G379"/>
    <mergeCell ref="I379:J379"/>
    <mergeCell ref="K379:L379"/>
    <mergeCell ref="M379:O379"/>
    <mergeCell ref="P379:Q379"/>
    <mergeCell ref="F376:G376"/>
    <mergeCell ref="K376:M376"/>
    <mergeCell ref="I377:J377"/>
    <mergeCell ref="M377:O377"/>
    <mergeCell ref="F378:G378"/>
    <mergeCell ref="K378:M378"/>
    <mergeCell ref="I372:J372"/>
    <mergeCell ref="M372:O372"/>
    <mergeCell ref="F373:G373"/>
    <mergeCell ref="K373:M373"/>
    <mergeCell ref="I374:J374"/>
    <mergeCell ref="M374:O374"/>
    <mergeCell ref="I363:J363"/>
    <mergeCell ref="L363:M363"/>
    <mergeCell ref="O363:P363"/>
    <mergeCell ref="I367:J367"/>
    <mergeCell ref="L367:M367"/>
    <mergeCell ref="O367:P367"/>
    <mergeCell ref="I361:J361"/>
    <mergeCell ref="L361:M361"/>
    <mergeCell ref="O361:P361"/>
    <mergeCell ref="I362:J362"/>
    <mergeCell ref="L362:M362"/>
    <mergeCell ref="O362:P362"/>
    <mergeCell ref="F359:G359"/>
    <mergeCell ref="I359:J359"/>
    <mergeCell ref="L359:M359"/>
    <mergeCell ref="O359:P359"/>
    <mergeCell ref="I360:J360"/>
    <mergeCell ref="L360:M360"/>
    <mergeCell ref="O360:P360"/>
    <mergeCell ref="D358:F358"/>
    <mergeCell ref="G358:H358"/>
    <mergeCell ref="I358:J358"/>
    <mergeCell ref="L358:N358"/>
    <mergeCell ref="O358:P358"/>
    <mergeCell ref="F354:G354"/>
    <mergeCell ref="K354:M354"/>
    <mergeCell ref="D357:F357"/>
    <mergeCell ref="G357:H357"/>
    <mergeCell ref="I357:J357"/>
    <mergeCell ref="L357:N357"/>
    <mergeCell ref="O357:P357"/>
    <mergeCell ref="F352:G352"/>
    <mergeCell ref="K352:M352"/>
    <mergeCell ref="F353:G353"/>
    <mergeCell ref="I353:J353"/>
    <mergeCell ref="K353:L353"/>
    <mergeCell ref="M353:O353"/>
    <mergeCell ref="M347:O347"/>
    <mergeCell ref="P347:Q347"/>
    <mergeCell ref="F349:G349"/>
    <mergeCell ref="K349:M349"/>
    <mergeCell ref="I350:J350"/>
    <mergeCell ref="M350:O350"/>
    <mergeCell ref="I335:J335"/>
    <mergeCell ref="L335:M335"/>
    <mergeCell ref="O335:P335"/>
    <mergeCell ref="O327:P327"/>
    <mergeCell ref="I328:J328"/>
    <mergeCell ref="L328:M328"/>
    <mergeCell ref="O328:P328"/>
    <mergeCell ref="I329:J329"/>
    <mergeCell ref="L329:M329"/>
    <mergeCell ref="O329:P329"/>
    <mergeCell ref="O325:P325"/>
    <mergeCell ref="D326:F326"/>
    <mergeCell ref="G326:H326"/>
    <mergeCell ref="I326:J326"/>
    <mergeCell ref="L326:N326"/>
    <mergeCell ref="O326:P326"/>
    <mergeCell ref="P353:Q353"/>
    <mergeCell ref="F450:G450"/>
    <mergeCell ref="K450:M450"/>
    <mergeCell ref="D325:F325"/>
    <mergeCell ref="G325:H325"/>
    <mergeCell ref="I325:J325"/>
    <mergeCell ref="L325:N325"/>
    <mergeCell ref="F327:G327"/>
    <mergeCell ref="I327:J327"/>
    <mergeCell ref="L327:M327"/>
    <mergeCell ref="I330:J330"/>
    <mergeCell ref="L330:M330"/>
    <mergeCell ref="I340:J340"/>
    <mergeCell ref="M340:O340"/>
    <mergeCell ref="F341:G341"/>
    <mergeCell ref="K341:M341"/>
    <mergeCell ref="I342:J342"/>
    <mergeCell ref="F449:G449"/>
    <mergeCell ref="I449:J449"/>
    <mergeCell ref="K449:L449"/>
    <mergeCell ref="M449:O449"/>
    <mergeCell ref="I436:J436"/>
    <mergeCell ref="M436:O436"/>
    <mergeCell ref="F437:G437"/>
    <mergeCell ref="K437:M437"/>
    <mergeCell ref="I438:J438"/>
    <mergeCell ref="M438:O438"/>
    <mergeCell ref="I427:J427"/>
    <mergeCell ref="L427:M427"/>
    <mergeCell ref="O427:P427"/>
    <mergeCell ref="I431:J431"/>
    <mergeCell ref="L431:M431"/>
    <mergeCell ref="O431:P431"/>
    <mergeCell ref="P449:Q449"/>
    <mergeCell ref="F445:G445"/>
    <mergeCell ref="K445:M445"/>
    <mergeCell ref="I446:J446"/>
    <mergeCell ref="M446:O446"/>
    <mergeCell ref="F448:G448"/>
    <mergeCell ref="K448:M448"/>
    <mergeCell ref="F443:G443"/>
    <mergeCell ref="I443:J443"/>
    <mergeCell ref="K443:L443"/>
    <mergeCell ref="M443:O443"/>
    <mergeCell ref="P443:Q443"/>
    <mergeCell ref="F440:G440"/>
    <mergeCell ref="K440:M440"/>
    <mergeCell ref="I441:J441"/>
    <mergeCell ref="M441:O441"/>
    <mergeCell ref="F442:G442"/>
    <mergeCell ref="K442:M442"/>
    <mergeCell ref="I425:J425"/>
    <mergeCell ref="L425:M425"/>
    <mergeCell ref="O425:P425"/>
    <mergeCell ref="I426:J426"/>
    <mergeCell ref="L426:M426"/>
    <mergeCell ref="O426:P426"/>
    <mergeCell ref="F423:G423"/>
    <mergeCell ref="I423:J423"/>
    <mergeCell ref="L423:M423"/>
    <mergeCell ref="O423:P423"/>
    <mergeCell ref="I424:J424"/>
    <mergeCell ref="L424:M424"/>
    <mergeCell ref="O424:P424"/>
    <mergeCell ref="O421:P421"/>
    <mergeCell ref="D422:F422"/>
    <mergeCell ref="G422:H422"/>
    <mergeCell ref="I422:J422"/>
    <mergeCell ref="L422:N422"/>
    <mergeCell ref="O422:P422"/>
    <mergeCell ref="F418:G418"/>
    <mergeCell ref="K418:M418"/>
    <mergeCell ref="D421:F421"/>
    <mergeCell ref="G421:H421"/>
    <mergeCell ref="I421:J421"/>
    <mergeCell ref="L421:N421"/>
    <mergeCell ref="F417:G417"/>
    <mergeCell ref="I417:J417"/>
    <mergeCell ref="K417:L417"/>
    <mergeCell ref="M417:O417"/>
    <mergeCell ref="P417:Q417"/>
    <mergeCell ref="F413:G413"/>
    <mergeCell ref="K413:M413"/>
    <mergeCell ref="I414:J414"/>
    <mergeCell ref="M414:O414"/>
    <mergeCell ref="F416:G416"/>
    <mergeCell ref="K416:M416"/>
    <mergeCell ref="F411:G411"/>
    <mergeCell ref="I411:J411"/>
    <mergeCell ref="K411:L411"/>
    <mergeCell ref="M411:O411"/>
    <mergeCell ref="P411:Q411"/>
    <mergeCell ref="F408:G408"/>
    <mergeCell ref="K408:M408"/>
    <mergeCell ref="I409:J409"/>
    <mergeCell ref="M409:O409"/>
    <mergeCell ref="F410:G410"/>
    <mergeCell ref="K410:M410"/>
    <mergeCell ref="I404:J404"/>
    <mergeCell ref="M404:O404"/>
    <mergeCell ref="F405:G405"/>
    <mergeCell ref="K405:M405"/>
    <mergeCell ref="I406:J406"/>
    <mergeCell ref="M406:O406"/>
    <mergeCell ref="I395:J395"/>
    <mergeCell ref="L395:M395"/>
    <mergeCell ref="O395:P395"/>
    <mergeCell ref="I399:J399"/>
    <mergeCell ref="L399:M399"/>
    <mergeCell ref="O399:P399"/>
    <mergeCell ref="I393:J393"/>
    <mergeCell ref="L393:M393"/>
    <mergeCell ref="O393:P393"/>
    <mergeCell ref="I394:J394"/>
    <mergeCell ref="L394:M394"/>
    <mergeCell ref="O394:P394"/>
    <mergeCell ref="F391:G391"/>
    <mergeCell ref="I391:J391"/>
    <mergeCell ref="L391:M391"/>
    <mergeCell ref="O391:P391"/>
    <mergeCell ref="I392:J392"/>
    <mergeCell ref="L392:M392"/>
    <mergeCell ref="O392:P392"/>
    <mergeCell ref="F312:G312"/>
    <mergeCell ref="K312:M312"/>
    <mergeCell ref="I313:J313"/>
    <mergeCell ref="M313:O313"/>
    <mergeCell ref="F314:G314"/>
    <mergeCell ref="K314:M314"/>
    <mergeCell ref="O389:P389"/>
    <mergeCell ref="D390:F390"/>
    <mergeCell ref="G390:H390"/>
    <mergeCell ref="I390:J390"/>
    <mergeCell ref="L390:N390"/>
    <mergeCell ref="O390:P390"/>
    <mergeCell ref="F322:G322"/>
    <mergeCell ref="K322:M322"/>
    <mergeCell ref="D389:F389"/>
    <mergeCell ref="G389:H389"/>
    <mergeCell ref="I389:J389"/>
    <mergeCell ref="L389:N389"/>
    <mergeCell ref="M342:O342"/>
    <mergeCell ref="F344:G344"/>
    <mergeCell ref="K344:M344"/>
    <mergeCell ref="I345:J345"/>
    <mergeCell ref="M345:O345"/>
    <mergeCell ref="F346:G346"/>
    <mergeCell ref="K346:M346"/>
    <mergeCell ref="F347:G347"/>
    <mergeCell ref="I347:J347"/>
    <mergeCell ref="K347:L347"/>
    <mergeCell ref="O330:P330"/>
    <mergeCell ref="I331:J331"/>
    <mergeCell ref="L331:M331"/>
    <mergeCell ref="O331:P331"/>
    <mergeCell ref="F309:G309"/>
    <mergeCell ref="K309:M309"/>
    <mergeCell ref="I310:J310"/>
    <mergeCell ref="M310:O310"/>
    <mergeCell ref="I299:J299"/>
    <mergeCell ref="L299:M299"/>
    <mergeCell ref="O299:P299"/>
    <mergeCell ref="I303:J303"/>
    <mergeCell ref="L303:M303"/>
    <mergeCell ref="O303:P303"/>
    <mergeCell ref="I297:J297"/>
    <mergeCell ref="L297:M297"/>
    <mergeCell ref="O297:P297"/>
    <mergeCell ref="I298:J298"/>
    <mergeCell ref="L298:M298"/>
    <mergeCell ref="O298:P298"/>
    <mergeCell ref="F321:G321"/>
    <mergeCell ref="I321:J321"/>
    <mergeCell ref="K321:L321"/>
    <mergeCell ref="M321:O321"/>
    <mergeCell ref="P321:Q321"/>
    <mergeCell ref="F317:G317"/>
    <mergeCell ref="K317:M317"/>
    <mergeCell ref="I318:J318"/>
    <mergeCell ref="M318:O318"/>
    <mergeCell ref="F320:G320"/>
    <mergeCell ref="K320:M320"/>
    <mergeCell ref="F315:G315"/>
    <mergeCell ref="I315:J315"/>
    <mergeCell ref="K315:L315"/>
    <mergeCell ref="M315:O315"/>
    <mergeCell ref="P315:Q315"/>
    <mergeCell ref="I296:J296"/>
    <mergeCell ref="L296:M296"/>
    <mergeCell ref="O296:P296"/>
    <mergeCell ref="D294:F294"/>
    <mergeCell ref="G294:H294"/>
    <mergeCell ref="I294:J294"/>
    <mergeCell ref="L294:N294"/>
    <mergeCell ref="O294:P294"/>
    <mergeCell ref="P289:Q289"/>
    <mergeCell ref="F290:G290"/>
    <mergeCell ref="K290:M290"/>
    <mergeCell ref="D293:F293"/>
    <mergeCell ref="G293:H293"/>
    <mergeCell ref="I293:J293"/>
    <mergeCell ref="L293:N293"/>
    <mergeCell ref="O293:P293"/>
    <mergeCell ref="I308:J308"/>
    <mergeCell ref="M308:O308"/>
    <mergeCell ref="I289:J289"/>
    <mergeCell ref="K289:L289"/>
    <mergeCell ref="M289:O289"/>
    <mergeCell ref="M283:O283"/>
    <mergeCell ref="P283:Q283"/>
    <mergeCell ref="F285:G285"/>
    <mergeCell ref="K285:M285"/>
    <mergeCell ref="I286:J286"/>
    <mergeCell ref="M286:O286"/>
    <mergeCell ref="O266:P266"/>
    <mergeCell ref="I267:J267"/>
    <mergeCell ref="L267:M267"/>
    <mergeCell ref="O267:P267"/>
    <mergeCell ref="I271:J271"/>
    <mergeCell ref="L271:M271"/>
    <mergeCell ref="O271:P271"/>
    <mergeCell ref="F295:G295"/>
    <mergeCell ref="I295:J295"/>
    <mergeCell ref="L295:M295"/>
    <mergeCell ref="O295:P295"/>
    <mergeCell ref="O264:P264"/>
    <mergeCell ref="I265:J265"/>
    <mergeCell ref="L265:M265"/>
    <mergeCell ref="O265:P265"/>
    <mergeCell ref="O261:P261"/>
    <mergeCell ref="D262:F262"/>
    <mergeCell ref="G262:H262"/>
    <mergeCell ref="I262:J262"/>
    <mergeCell ref="L262:N262"/>
    <mergeCell ref="O262:P262"/>
    <mergeCell ref="F578:G578"/>
    <mergeCell ref="K578:M578"/>
    <mergeCell ref="D261:F261"/>
    <mergeCell ref="G261:H261"/>
    <mergeCell ref="I261:J261"/>
    <mergeCell ref="L261:N261"/>
    <mergeCell ref="F263:G263"/>
    <mergeCell ref="I263:J263"/>
    <mergeCell ref="L263:M263"/>
    <mergeCell ref="I266:J266"/>
    <mergeCell ref="L266:M266"/>
    <mergeCell ref="I276:J276"/>
    <mergeCell ref="M276:O276"/>
    <mergeCell ref="F277:G277"/>
    <mergeCell ref="K277:M277"/>
    <mergeCell ref="I278:J278"/>
    <mergeCell ref="F577:G577"/>
    <mergeCell ref="I577:J577"/>
    <mergeCell ref="K577:L577"/>
    <mergeCell ref="F288:G288"/>
    <mergeCell ref="K288:M288"/>
    <mergeCell ref="F289:G289"/>
    <mergeCell ref="M577:O577"/>
    <mergeCell ref="P577:Q577"/>
    <mergeCell ref="F573:G573"/>
    <mergeCell ref="K573:M573"/>
    <mergeCell ref="I574:J574"/>
    <mergeCell ref="M574:O574"/>
    <mergeCell ref="F576:G576"/>
    <mergeCell ref="K576:M576"/>
    <mergeCell ref="F571:G571"/>
    <mergeCell ref="I571:J571"/>
    <mergeCell ref="K571:L571"/>
    <mergeCell ref="M571:O571"/>
    <mergeCell ref="P571:Q571"/>
    <mergeCell ref="F568:G568"/>
    <mergeCell ref="K568:M568"/>
    <mergeCell ref="I569:J569"/>
    <mergeCell ref="M569:O569"/>
    <mergeCell ref="F570:G570"/>
    <mergeCell ref="K570:M570"/>
    <mergeCell ref="I564:J564"/>
    <mergeCell ref="M564:O564"/>
    <mergeCell ref="F565:G565"/>
    <mergeCell ref="K565:M565"/>
    <mergeCell ref="I566:J566"/>
    <mergeCell ref="M566:O566"/>
    <mergeCell ref="I555:J555"/>
    <mergeCell ref="L555:M555"/>
    <mergeCell ref="O555:P555"/>
    <mergeCell ref="I559:J559"/>
    <mergeCell ref="L559:M559"/>
    <mergeCell ref="O559:P559"/>
    <mergeCell ref="I553:J553"/>
    <mergeCell ref="L553:M553"/>
    <mergeCell ref="O553:P553"/>
    <mergeCell ref="I554:J554"/>
    <mergeCell ref="L554:M554"/>
    <mergeCell ref="O554:P554"/>
    <mergeCell ref="F551:G551"/>
    <mergeCell ref="I551:J551"/>
    <mergeCell ref="L551:M551"/>
    <mergeCell ref="O551:P551"/>
    <mergeCell ref="I552:J552"/>
    <mergeCell ref="L552:M552"/>
    <mergeCell ref="O552:P552"/>
    <mergeCell ref="O549:P549"/>
    <mergeCell ref="D550:F550"/>
    <mergeCell ref="G550:H550"/>
    <mergeCell ref="I550:J550"/>
    <mergeCell ref="L550:N550"/>
    <mergeCell ref="O550:P550"/>
    <mergeCell ref="F546:G546"/>
    <mergeCell ref="K546:M546"/>
    <mergeCell ref="D549:F549"/>
    <mergeCell ref="G549:H549"/>
    <mergeCell ref="I549:J549"/>
    <mergeCell ref="L549:N549"/>
    <mergeCell ref="F545:G545"/>
    <mergeCell ref="I545:J545"/>
    <mergeCell ref="K545:L545"/>
    <mergeCell ref="M545:O545"/>
    <mergeCell ref="P545:Q545"/>
    <mergeCell ref="F541:G541"/>
    <mergeCell ref="K541:M541"/>
    <mergeCell ref="I542:J542"/>
    <mergeCell ref="M542:O542"/>
    <mergeCell ref="F544:G544"/>
    <mergeCell ref="K544:M544"/>
    <mergeCell ref="F539:G539"/>
    <mergeCell ref="I539:J539"/>
    <mergeCell ref="K539:L539"/>
    <mergeCell ref="M539:O539"/>
    <mergeCell ref="P539:Q539"/>
    <mergeCell ref="F536:G536"/>
    <mergeCell ref="K536:M536"/>
    <mergeCell ref="I537:J537"/>
    <mergeCell ref="M537:O537"/>
    <mergeCell ref="F538:G538"/>
    <mergeCell ref="K538:M538"/>
    <mergeCell ref="I532:J532"/>
    <mergeCell ref="M532:O532"/>
    <mergeCell ref="F533:G533"/>
    <mergeCell ref="K533:M533"/>
    <mergeCell ref="I534:J534"/>
    <mergeCell ref="M534:O534"/>
    <mergeCell ref="I523:J523"/>
    <mergeCell ref="L523:M523"/>
    <mergeCell ref="O523:P523"/>
    <mergeCell ref="I527:J527"/>
    <mergeCell ref="L527:M527"/>
    <mergeCell ref="O527:P527"/>
    <mergeCell ref="I521:J521"/>
    <mergeCell ref="L521:M521"/>
    <mergeCell ref="O521:P521"/>
    <mergeCell ref="I522:J522"/>
    <mergeCell ref="L522:M522"/>
    <mergeCell ref="O522:P522"/>
    <mergeCell ref="F519:G519"/>
    <mergeCell ref="I519:J519"/>
    <mergeCell ref="L519:M519"/>
    <mergeCell ref="O519:P519"/>
    <mergeCell ref="I520:J520"/>
    <mergeCell ref="L520:M520"/>
    <mergeCell ref="O520:P520"/>
    <mergeCell ref="O517:P517"/>
    <mergeCell ref="D518:F518"/>
    <mergeCell ref="G518:H518"/>
    <mergeCell ref="I518:J518"/>
    <mergeCell ref="L518:N518"/>
    <mergeCell ref="O518:P518"/>
    <mergeCell ref="F514:G514"/>
    <mergeCell ref="K514:M514"/>
    <mergeCell ref="D517:F517"/>
    <mergeCell ref="G517:H517"/>
    <mergeCell ref="I517:J517"/>
    <mergeCell ref="L517:N517"/>
    <mergeCell ref="F513:G513"/>
    <mergeCell ref="I513:J513"/>
    <mergeCell ref="K513:L513"/>
    <mergeCell ref="M513:O513"/>
    <mergeCell ref="P513:Q513"/>
    <mergeCell ref="F509:G509"/>
    <mergeCell ref="K509:M509"/>
    <mergeCell ref="I510:J510"/>
    <mergeCell ref="M510:O510"/>
    <mergeCell ref="F512:G512"/>
    <mergeCell ref="K512:M512"/>
    <mergeCell ref="F507:G507"/>
    <mergeCell ref="I507:J507"/>
    <mergeCell ref="K507:L507"/>
    <mergeCell ref="M507:O507"/>
    <mergeCell ref="P507:Q507"/>
    <mergeCell ref="F504:G504"/>
    <mergeCell ref="K504:M504"/>
    <mergeCell ref="I505:J505"/>
    <mergeCell ref="M505:O505"/>
    <mergeCell ref="F506:G506"/>
    <mergeCell ref="K506:M506"/>
    <mergeCell ref="I500:J500"/>
    <mergeCell ref="M500:O500"/>
    <mergeCell ref="F501:G501"/>
    <mergeCell ref="K501:M501"/>
    <mergeCell ref="I502:J502"/>
    <mergeCell ref="M502:O502"/>
    <mergeCell ref="I491:J491"/>
    <mergeCell ref="L491:M491"/>
    <mergeCell ref="O491:P491"/>
    <mergeCell ref="I495:J495"/>
    <mergeCell ref="L495:M495"/>
    <mergeCell ref="O495:P495"/>
    <mergeCell ref="I489:J489"/>
    <mergeCell ref="L489:M489"/>
    <mergeCell ref="O489:P489"/>
    <mergeCell ref="I490:J490"/>
    <mergeCell ref="L490:M490"/>
    <mergeCell ref="O490:P490"/>
    <mergeCell ref="F487:G487"/>
    <mergeCell ref="I487:J487"/>
    <mergeCell ref="L487:M487"/>
    <mergeCell ref="O487:P487"/>
    <mergeCell ref="I488:J488"/>
    <mergeCell ref="L488:M488"/>
    <mergeCell ref="O488:P488"/>
    <mergeCell ref="O485:P485"/>
    <mergeCell ref="D486:F486"/>
    <mergeCell ref="G486:H486"/>
    <mergeCell ref="I486:J486"/>
    <mergeCell ref="L486:N486"/>
    <mergeCell ref="O486:P486"/>
    <mergeCell ref="F482:G482"/>
    <mergeCell ref="K482:M482"/>
    <mergeCell ref="D485:F485"/>
    <mergeCell ref="G485:H485"/>
    <mergeCell ref="I485:J485"/>
    <mergeCell ref="L485:N485"/>
    <mergeCell ref="F481:G481"/>
    <mergeCell ref="I481:J481"/>
    <mergeCell ref="K481:L481"/>
    <mergeCell ref="M481:O481"/>
    <mergeCell ref="P481:Q481"/>
    <mergeCell ref="F477:G477"/>
    <mergeCell ref="K477:M477"/>
    <mergeCell ref="I478:J478"/>
    <mergeCell ref="M478:O478"/>
    <mergeCell ref="F480:G480"/>
    <mergeCell ref="K480:M480"/>
    <mergeCell ref="F475:G475"/>
    <mergeCell ref="I475:J475"/>
    <mergeCell ref="K475:L475"/>
    <mergeCell ref="M475:O475"/>
    <mergeCell ref="P475:Q475"/>
    <mergeCell ref="F472:G472"/>
    <mergeCell ref="K472:M472"/>
    <mergeCell ref="I473:J473"/>
    <mergeCell ref="M473:O473"/>
    <mergeCell ref="F474:G474"/>
    <mergeCell ref="K474:M474"/>
    <mergeCell ref="I468:J468"/>
    <mergeCell ref="M468:O468"/>
    <mergeCell ref="F469:G469"/>
    <mergeCell ref="K469:M469"/>
    <mergeCell ref="I470:J470"/>
    <mergeCell ref="M470:O470"/>
    <mergeCell ref="I459:J459"/>
    <mergeCell ref="L459:M459"/>
    <mergeCell ref="O459:P459"/>
    <mergeCell ref="I463:J463"/>
    <mergeCell ref="L463:M463"/>
    <mergeCell ref="O463:P463"/>
    <mergeCell ref="I457:J457"/>
    <mergeCell ref="L457:M457"/>
    <mergeCell ref="O457:P457"/>
    <mergeCell ref="I458:J458"/>
    <mergeCell ref="L458:M458"/>
    <mergeCell ref="O458:P458"/>
    <mergeCell ref="F455:G455"/>
    <mergeCell ref="I455:J455"/>
    <mergeCell ref="L455:M455"/>
    <mergeCell ref="O455:P455"/>
    <mergeCell ref="I456:J456"/>
    <mergeCell ref="L456:M456"/>
    <mergeCell ref="O456:P456"/>
    <mergeCell ref="O453:P453"/>
    <mergeCell ref="D454:F454"/>
    <mergeCell ref="G454:H454"/>
    <mergeCell ref="I454:J454"/>
    <mergeCell ref="L454:N454"/>
    <mergeCell ref="O454:P454"/>
    <mergeCell ref="F258:G258"/>
    <mergeCell ref="K258:M258"/>
    <mergeCell ref="D453:F453"/>
    <mergeCell ref="G453:H453"/>
    <mergeCell ref="I453:J453"/>
    <mergeCell ref="L453:N453"/>
    <mergeCell ref="M278:O278"/>
    <mergeCell ref="F280:G280"/>
    <mergeCell ref="K280:M280"/>
    <mergeCell ref="I281:J281"/>
    <mergeCell ref="M281:O281"/>
    <mergeCell ref="F282:G282"/>
    <mergeCell ref="K282:M282"/>
    <mergeCell ref="F283:G283"/>
    <mergeCell ref="I283:J283"/>
    <mergeCell ref="K283:L283"/>
    <mergeCell ref="O263:P263"/>
    <mergeCell ref="I264:J264"/>
    <mergeCell ref="L264:M264"/>
    <mergeCell ref="F257:G257"/>
    <mergeCell ref="I257:J257"/>
    <mergeCell ref="K257:L257"/>
    <mergeCell ref="M257:O257"/>
    <mergeCell ref="P257:Q257"/>
    <mergeCell ref="F253:G253"/>
    <mergeCell ref="K253:M253"/>
    <mergeCell ref="I254:J254"/>
    <mergeCell ref="M254:O254"/>
    <mergeCell ref="F256:G256"/>
    <mergeCell ref="K256:M256"/>
    <mergeCell ref="F251:G251"/>
    <mergeCell ref="I251:J251"/>
    <mergeCell ref="K251:L251"/>
    <mergeCell ref="M251:O251"/>
    <mergeCell ref="P251:Q251"/>
    <mergeCell ref="F248:G248"/>
    <mergeCell ref="K248:M248"/>
    <mergeCell ref="I249:J249"/>
    <mergeCell ref="M249:O249"/>
    <mergeCell ref="F250:G250"/>
    <mergeCell ref="K250:M250"/>
    <mergeCell ref="I244:J244"/>
    <mergeCell ref="M244:O244"/>
    <mergeCell ref="F245:G245"/>
    <mergeCell ref="K245:M245"/>
    <mergeCell ref="I246:J246"/>
    <mergeCell ref="M246:O246"/>
    <mergeCell ref="I235:J235"/>
    <mergeCell ref="L235:M235"/>
    <mergeCell ref="O235:P235"/>
    <mergeCell ref="I239:J239"/>
    <mergeCell ref="L239:M239"/>
    <mergeCell ref="O239:P239"/>
    <mergeCell ref="I233:J233"/>
    <mergeCell ref="L233:M233"/>
    <mergeCell ref="O233:P233"/>
    <mergeCell ref="I234:J234"/>
    <mergeCell ref="L234:M234"/>
    <mergeCell ref="O234:P234"/>
    <mergeCell ref="F231:G231"/>
    <mergeCell ref="I231:J231"/>
    <mergeCell ref="L231:M231"/>
    <mergeCell ref="O231:P231"/>
    <mergeCell ref="I232:J232"/>
    <mergeCell ref="L232:M232"/>
    <mergeCell ref="O232:P232"/>
    <mergeCell ref="O229:P229"/>
    <mergeCell ref="D230:F230"/>
    <mergeCell ref="G230:H230"/>
    <mergeCell ref="I230:J230"/>
    <mergeCell ref="L230:N230"/>
    <mergeCell ref="O230:P230"/>
    <mergeCell ref="F226:G226"/>
    <mergeCell ref="K226:M226"/>
    <mergeCell ref="D229:F229"/>
    <mergeCell ref="G229:H229"/>
    <mergeCell ref="I229:J229"/>
    <mergeCell ref="L229:N229"/>
    <mergeCell ref="F225:G225"/>
    <mergeCell ref="I225:J225"/>
    <mergeCell ref="K225:L225"/>
    <mergeCell ref="M225:O225"/>
    <mergeCell ref="P225:Q225"/>
    <mergeCell ref="F221:G221"/>
    <mergeCell ref="K221:M221"/>
    <mergeCell ref="I222:J222"/>
    <mergeCell ref="M222:O222"/>
    <mergeCell ref="F224:G224"/>
    <mergeCell ref="K224:M224"/>
    <mergeCell ref="F219:G219"/>
    <mergeCell ref="I219:J219"/>
    <mergeCell ref="K219:L219"/>
    <mergeCell ref="M219:O219"/>
    <mergeCell ref="P219:Q219"/>
    <mergeCell ref="F216:G216"/>
    <mergeCell ref="K216:M216"/>
    <mergeCell ref="I217:J217"/>
    <mergeCell ref="M217:O217"/>
    <mergeCell ref="F218:G218"/>
    <mergeCell ref="K218:M218"/>
    <mergeCell ref="I212:J212"/>
    <mergeCell ref="M212:O212"/>
    <mergeCell ref="F213:G213"/>
    <mergeCell ref="K213:M213"/>
    <mergeCell ref="I214:J214"/>
    <mergeCell ref="M214:O214"/>
    <mergeCell ref="I203:J203"/>
    <mergeCell ref="L203:M203"/>
    <mergeCell ref="O203:P203"/>
    <mergeCell ref="I207:J207"/>
    <mergeCell ref="L207:M207"/>
    <mergeCell ref="O207:P207"/>
    <mergeCell ref="I201:J201"/>
    <mergeCell ref="L201:M201"/>
    <mergeCell ref="O201:P201"/>
    <mergeCell ref="I202:J202"/>
    <mergeCell ref="L202:M202"/>
    <mergeCell ref="O202:P202"/>
    <mergeCell ref="F199:G199"/>
    <mergeCell ref="I199:J199"/>
    <mergeCell ref="L199:M199"/>
    <mergeCell ref="O199:P199"/>
    <mergeCell ref="I200:J200"/>
    <mergeCell ref="L200:M200"/>
    <mergeCell ref="O200:P200"/>
    <mergeCell ref="O197:P197"/>
    <mergeCell ref="D198:F198"/>
    <mergeCell ref="G198:H198"/>
    <mergeCell ref="I198:J198"/>
    <mergeCell ref="L198:N198"/>
    <mergeCell ref="O198:P198"/>
    <mergeCell ref="F194:G194"/>
    <mergeCell ref="K194:M194"/>
    <mergeCell ref="D197:F197"/>
    <mergeCell ref="G197:H197"/>
    <mergeCell ref="I197:J197"/>
    <mergeCell ref="L197:N197"/>
    <mergeCell ref="F193:G193"/>
    <mergeCell ref="I193:J193"/>
    <mergeCell ref="K193:L193"/>
    <mergeCell ref="M193:O193"/>
    <mergeCell ref="P193:Q193"/>
    <mergeCell ref="F189:G189"/>
    <mergeCell ref="K189:M189"/>
    <mergeCell ref="I190:J190"/>
    <mergeCell ref="M190:O190"/>
    <mergeCell ref="F192:G192"/>
    <mergeCell ref="K192:M192"/>
    <mergeCell ref="F187:G187"/>
    <mergeCell ref="I187:J187"/>
    <mergeCell ref="K187:L187"/>
    <mergeCell ref="M187:O187"/>
    <mergeCell ref="P187:Q187"/>
    <mergeCell ref="F184:G184"/>
    <mergeCell ref="K184:M184"/>
    <mergeCell ref="I185:J185"/>
    <mergeCell ref="M185:O185"/>
    <mergeCell ref="F186:G186"/>
    <mergeCell ref="K186:M186"/>
    <mergeCell ref="I180:J180"/>
    <mergeCell ref="M180:O180"/>
    <mergeCell ref="F181:G181"/>
    <mergeCell ref="K181:M181"/>
    <mergeCell ref="I182:J182"/>
    <mergeCell ref="M182:O182"/>
    <mergeCell ref="I171:J171"/>
    <mergeCell ref="L171:M171"/>
    <mergeCell ref="O171:P171"/>
    <mergeCell ref="I175:J175"/>
    <mergeCell ref="L175:M175"/>
    <mergeCell ref="O175:P175"/>
    <mergeCell ref="I169:J169"/>
    <mergeCell ref="L169:M169"/>
    <mergeCell ref="O169:P169"/>
    <mergeCell ref="I170:J170"/>
    <mergeCell ref="L170:M170"/>
    <mergeCell ref="O170:P170"/>
    <mergeCell ref="F167:G167"/>
    <mergeCell ref="I167:J167"/>
    <mergeCell ref="L167:M167"/>
    <mergeCell ref="O167:P167"/>
    <mergeCell ref="I168:J168"/>
    <mergeCell ref="L168:M168"/>
    <mergeCell ref="O168:P168"/>
    <mergeCell ref="O165:P165"/>
    <mergeCell ref="D166:F166"/>
    <mergeCell ref="G166:H166"/>
    <mergeCell ref="I166:J166"/>
    <mergeCell ref="L166:N166"/>
    <mergeCell ref="O166:P166"/>
    <mergeCell ref="F162:G162"/>
    <mergeCell ref="K162:M162"/>
    <mergeCell ref="D165:F165"/>
    <mergeCell ref="G165:H165"/>
    <mergeCell ref="I165:J165"/>
    <mergeCell ref="L165:N165"/>
    <mergeCell ref="F161:G161"/>
    <mergeCell ref="I161:J161"/>
    <mergeCell ref="K161:L161"/>
    <mergeCell ref="M161:O161"/>
    <mergeCell ref="P161:Q161"/>
    <mergeCell ref="F157:G157"/>
    <mergeCell ref="K157:M157"/>
    <mergeCell ref="I158:J158"/>
    <mergeCell ref="M158:O158"/>
    <mergeCell ref="F160:G160"/>
    <mergeCell ref="K160:M160"/>
    <mergeCell ref="F155:G155"/>
    <mergeCell ref="I155:J155"/>
    <mergeCell ref="K155:L155"/>
    <mergeCell ref="M155:O155"/>
    <mergeCell ref="P155:Q155"/>
    <mergeCell ref="F152:G152"/>
    <mergeCell ref="K152:M152"/>
    <mergeCell ref="I153:J153"/>
    <mergeCell ref="M153:O153"/>
    <mergeCell ref="F154:G154"/>
    <mergeCell ref="K154:M154"/>
    <mergeCell ref="I148:J148"/>
    <mergeCell ref="M148:O148"/>
    <mergeCell ref="F149:G149"/>
    <mergeCell ref="K149:M149"/>
    <mergeCell ref="I150:J150"/>
    <mergeCell ref="M150:O150"/>
    <mergeCell ref="I139:J139"/>
    <mergeCell ref="L139:M139"/>
    <mergeCell ref="O139:P139"/>
    <mergeCell ref="I143:J143"/>
    <mergeCell ref="L143:M143"/>
    <mergeCell ref="O143:P143"/>
    <mergeCell ref="I137:J137"/>
    <mergeCell ref="L137:M137"/>
    <mergeCell ref="O137:P137"/>
    <mergeCell ref="I138:J138"/>
    <mergeCell ref="L138:M138"/>
    <mergeCell ref="O138:P138"/>
    <mergeCell ref="F135:G135"/>
    <mergeCell ref="I135:J135"/>
    <mergeCell ref="L135:M135"/>
    <mergeCell ref="O135:P135"/>
    <mergeCell ref="I136:J136"/>
    <mergeCell ref="L136:M136"/>
    <mergeCell ref="O136:P136"/>
    <mergeCell ref="O133:P133"/>
    <mergeCell ref="D134:F134"/>
    <mergeCell ref="G134:H134"/>
    <mergeCell ref="I134:J134"/>
    <mergeCell ref="L134:N134"/>
    <mergeCell ref="O134:P134"/>
    <mergeCell ref="F130:G130"/>
    <mergeCell ref="K130:M130"/>
    <mergeCell ref="D133:F133"/>
    <mergeCell ref="G133:H133"/>
    <mergeCell ref="I133:J133"/>
    <mergeCell ref="L133:N133"/>
    <mergeCell ref="F129:G129"/>
    <mergeCell ref="I129:J129"/>
    <mergeCell ref="K129:L129"/>
    <mergeCell ref="M129:O129"/>
    <mergeCell ref="P129:Q129"/>
    <mergeCell ref="F125:G125"/>
    <mergeCell ref="K125:M125"/>
    <mergeCell ref="I126:J126"/>
    <mergeCell ref="M126:O126"/>
    <mergeCell ref="F128:G128"/>
    <mergeCell ref="K128:M128"/>
    <mergeCell ref="F123:G123"/>
    <mergeCell ref="I123:J123"/>
    <mergeCell ref="K123:L123"/>
    <mergeCell ref="M123:O123"/>
    <mergeCell ref="P123:Q123"/>
    <mergeCell ref="F120:G120"/>
    <mergeCell ref="K120:M120"/>
    <mergeCell ref="I121:J121"/>
    <mergeCell ref="M121:O121"/>
    <mergeCell ref="F122:G122"/>
    <mergeCell ref="K122:M122"/>
    <mergeCell ref="I116:J116"/>
    <mergeCell ref="M116:O116"/>
    <mergeCell ref="F117:G117"/>
    <mergeCell ref="K117:M117"/>
    <mergeCell ref="I118:J118"/>
    <mergeCell ref="M118:O118"/>
    <mergeCell ref="I107:J107"/>
    <mergeCell ref="L107:M107"/>
    <mergeCell ref="O107:P107"/>
    <mergeCell ref="I111:J111"/>
    <mergeCell ref="L111:M111"/>
    <mergeCell ref="O111:P111"/>
    <mergeCell ref="I105:J105"/>
    <mergeCell ref="L105:M105"/>
    <mergeCell ref="O105:P105"/>
    <mergeCell ref="I106:J106"/>
    <mergeCell ref="L106:M106"/>
    <mergeCell ref="O106:P106"/>
    <mergeCell ref="F103:G103"/>
    <mergeCell ref="I103:J103"/>
    <mergeCell ref="L103:M103"/>
    <mergeCell ref="O103:P103"/>
    <mergeCell ref="I104:J104"/>
    <mergeCell ref="L104:M104"/>
    <mergeCell ref="O104:P104"/>
    <mergeCell ref="O101:P101"/>
    <mergeCell ref="D102:F102"/>
    <mergeCell ref="G102:H102"/>
    <mergeCell ref="I102:J102"/>
    <mergeCell ref="L102:N102"/>
    <mergeCell ref="O102:P102"/>
    <mergeCell ref="F98:G98"/>
    <mergeCell ref="K98:M98"/>
    <mergeCell ref="D101:F101"/>
    <mergeCell ref="G101:H101"/>
    <mergeCell ref="I101:J101"/>
    <mergeCell ref="L101:N101"/>
    <mergeCell ref="F97:G97"/>
    <mergeCell ref="I97:J97"/>
    <mergeCell ref="K97:L97"/>
    <mergeCell ref="M97:O97"/>
    <mergeCell ref="P97:Q97"/>
    <mergeCell ref="F93:G93"/>
    <mergeCell ref="K93:M93"/>
    <mergeCell ref="I94:J94"/>
    <mergeCell ref="M94:O94"/>
    <mergeCell ref="F96:G96"/>
    <mergeCell ref="K96:M96"/>
    <mergeCell ref="F91:G91"/>
    <mergeCell ref="I91:J91"/>
    <mergeCell ref="K91:L91"/>
    <mergeCell ref="M91:O91"/>
    <mergeCell ref="P91:Q91"/>
    <mergeCell ref="F88:G88"/>
    <mergeCell ref="K88:M88"/>
    <mergeCell ref="I89:J89"/>
    <mergeCell ref="M89:O89"/>
    <mergeCell ref="F90:G90"/>
    <mergeCell ref="K90:M90"/>
    <mergeCell ref="I84:J84"/>
    <mergeCell ref="M84:O84"/>
    <mergeCell ref="F85:G85"/>
    <mergeCell ref="K85:M85"/>
    <mergeCell ref="I86:J86"/>
    <mergeCell ref="M86:O86"/>
    <mergeCell ref="I75:J75"/>
    <mergeCell ref="L75:M75"/>
    <mergeCell ref="O75:P75"/>
    <mergeCell ref="I79:J79"/>
    <mergeCell ref="L79:M79"/>
    <mergeCell ref="O79:P79"/>
    <mergeCell ref="I73:J73"/>
    <mergeCell ref="L73:M73"/>
    <mergeCell ref="O73:P73"/>
    <mergeCell ref="I74:J74"/>
    <mergeCell ref="L74:M74"/>
    <mergeCell ref="O74:P74"/>
    <mergeCell ref="F71:G71"/>
    <mergeCell ref="I71:J71"/>
    <mergeCell ref="L71:M71"/>
    <mergeCell ref="O71:P71"/>
    <mergeCell ref="I72:J72"/>
    <mergeCell ref="L72:M72"/>
    <mergeCell ref="O72:P72"/>
    <mergeCell ref="D70:F70"/>
    <mergeCell ref="G70:H70"/>
    <mergeCell ref="I70:J70"/>
    <mergeCell ref="L70:N70"/>
    <mergeCell ref="O70:P70"/>
    <mergeCell ref="P65:Q65"/>
    <mergeCell ref="F66:G66"/>
    <mergeCell ref="K66:M66"/>
    <mergeCell ref="D69:F69"/>
    <mergeCell ref="G69:H69"/>
    <mergeCell ref="I69:J69"/>
    <mergeCell ref="L69:N69"/>
    <mergeCell ref="O69:P69"/>
    <mergeCell ref="F64:G64"/>
    <mergeCell ref="K64:M64"/>
    <mergeCell ref="F65:G65"/>
    <mergeCell ref="I65:J65"/>
    <mergeCell ref="K65:L65"/>
    <mergeCell ref="M65:O65"/>
    <mergeCell ref="P59:Q59"/>
    <mergeCell ref="F61:G61"/>
    <mergeCell ref="K61:M61"/>
    <mergeCell ref="I62:J62"/>
    <mergeCell ref="M62:O62"/>
    <mergeCell ref="I57:J57"/>
    <mergeCell ref="M57:O57"/>
    <mergeCell ref="F58:G58"/>
    <mergeCell ref="K58:M58"/>
    <mergeCell ref="F59:G59"/>
    <mergeCell ref="I59:J59"/>
    <mergeCell ref="K59:L59"/>
    <mergeCell ref="M59:O59"/>
    <mergeCell ref="F53:G53"/>
    <mergeCell ref="K53:M53"/>
    <mergeCell ref="I54:J54"/>
    <mergeCell ref="M54:O54"/>
    <mergeCell ref="F56:G56"/>
    <mergeCell ref="K56:M56"/>
    <mergeCell ref="I47:J47"/>
    <mergeCell ref="L47:M47"/>
    <mergeCell ref="O47:P47"/>
    <mergeCell ref="I52:J52"/>
    <mergeCell ref="M52:O52"/>
    <mergeCell ref="I42:J42"/>
    <mergeCell ref="L42:M42"/>
    <mergeCell ref="O42:P42"/>
    <mergeCell ref="I43:J43"/>
    <mergeCell ref="L43:M43"/>
    <mergeCell ref="O43:P43"/>
    <mergeCell ref="L40:M40"/>
    <mergeCell ref="O40:P40"/>
    <mergeCell ref="I41:J41"/>
    <mergeCell ref="L41:M41"/>
    <mergeCell ref="O41:P41"/>
    <mergeCell ref="L38:N38"/>
    <mergeCell ref="O38:P38"/>
    <mergeCell ref="F39:G39"/>
    <mergeCell ref="I39:J39"/>
    <mergeCell ref="L39:M39"/>
    <mergeCell ref="O39:P39"/>
    <mergeCell ref="F7:G7"/>
    <mergeCell ref="I7:J7"/>
    <mergeCell ref="L7:M7"/>
    <mergeCell ref="O7:P7"/>
    <mergeCell ref="B3:Q3"/>
    <mergeCell ref="D5:F5"/>
    <mergeCell ref="G5:H5"/>
    <mergeCell ref="I5:J5"/>
    <mergeCell ref="L5:N5"/>
    <mergeCell ref="O5:P5"/>
    <mergeCell ref="D6:F6"/>
    <mergeCell ref="G6:H6"/>
    <mergeCell ref="I6:J6"/>
    <mergeCell ref="L6:N6"/>
    <mergeCell ref="O6:P6"/>
    <mergeCell ref="I8:J8"/>
    <mergeCell ref="L8:M8"/>
    <mergeCell ref="O8:P8"/>
    <mergeCell ref="I9:J9"/>
    <mergeCell ref="L9:M9"/>
    <mergeCell ref="O9:P9"/>
    <mergeCell ref="F21:G21"/>
    <mergeCell ref="K21:M21"/>
    <mergeCell ref="I10:J10"/>
    <mergeCell ref="L10:M10"/>
    <mergeCell ref="O10:P10"/>
    <mergeCell ref="I11:J11"/>
    <mergeCell ref="L11:M11"/>
    <mergeCell ref="O11:P11"/>
    <mergeCell ref="I15:J15"/>
    <mergeCell ref="L15:M15"/>
    <mergeCell ref="O15:P15"/>
    <mergeCell ref="I20:J20"/>
    <mergeCell ref="M20:O20"/>
    <mergeCell ref="I22:J22"/>
    <mergeCell ref="M22:O22"/>
    <mergeCell ref="F24:G24"/>
    <mergeCell ref="K24:M24"/>
    <mergeCell ref="I25:J25"/>
    <mergeCell ref="M25:O25"/>
    <mergeCell ref="F32:G32"/>
    <mergeCell ref="K32:M32"/>
    <mergeCell ref="F26:G26"/>
    <mergeCell ref="K26:M26"/>
    <mergeCell ref="F27:G27"/>
    <mergeCell ref="I27:J27"/>
    <mergeCell ref="K27:L27"/>
    <mergeCell ref="M27:O27"/>
    <mergeCell ref="P27:Q27"/>
    <mergeCell ref="F29:G29"/>
    <mergeCell ref="K29:M29"/>
    <mergeCell ref="I30:J30"/>
    <mergeCell ref="M30:O30"/>
    <mergeCell ref="C582:P589"/>
    <mergeCell ref="F33:G33"/>
    <mergeCell ref="I33:J33"/>
    <mergeCell ref="K33:L33"/>
    <mergeCell ref="M33:O33"/>
    <mergeCell ref="P33:Q33"/>
    <mergeCell ref="F34:G34"/>
    <mergeCell ref="K34:M34"/>
    <mergeCell ref="D37:F37"/>
    <mergeCell ref="G37:H37"/>
    <mergeCell ref="I37:J37"/>
    <mergeCell ref="L37:N37"/>
    <mergeCell ref="O37:P37"/>
    <mergeCell ref="D38:F38"/>
    <mergeCell ref="G38:H38"/>
    <mergeCell ref="I38:J38"/>
    <mergeCell ref="I40:J40"/>
  </mergeCells>
  <conditionalFormatting sqref="F27:G27">
    <cfRule type="expression" dxfId="107" priority="176">
      <formula>(E27/E22)&lt;0</formula>
    </cfRule>
  </conditionalFormatting>
  <conditionalFormatting sqref="F33:G33">
    <cfRule type="expression" dxfId="106" priority="175">
      <formula>(E33/E22)&lt;0</formula>
    </cfRule>
  </conditionalFormatting>
  <conditionalFormatting sqref="K27:L27">
    <cfRule type="expression" dxfId="105" priority="177">
      <formula>(I27/I22)&lt;0</formula>
    </cfRule>
  </conditionalFormatting>
  <conditionalFormatting sqref="K33:L33">
    <cfRule type="expression" dxfId="104" priority="173">
      <formula>(I33/I22)&lt;0</formula>
    </cfRule>
  </conditionalFormatting>
  <conditionalFormatting sqref="P27:Q27">
    <cfRule type="expression" dxfId="103" priority="174">
      <formula>(M27/M22)&lt;0</formula>
    </cfRule>
  </conditionalFormatting>
  <conditionalFormatting sqref="P33:Q33">
    <cfRule type="expression" dxfId="102" priority="171">
      <formula>(M33/M22)&lt;0</formula>
    </cfRule>
  </conditionalFormatting>
  <conditionalFormatting sqref="F59:G59">
    <cfRule type="expression" dxfId="101" priority="169">
      <formula>(E59/E54)&lt;0</formula>
    </cfRule>
  </conditionalFormatting>
  <conditionalFormatting sqref="F65:G65">
    <cfRule type="expression" dxfId="100" priority="168">
      <formula>(E65/E54)&lt;0</formula>
    </cfRule>
  </conditionalFormatting>
  <conditionalFormatting sqref="K91:L91">
    <cfRule type="expression" dxfId="99" priority="164">
      <formula>(I91/I86)&lt;0</formula>
    </cfRule>
  </conditionalFormatting>
  <conditionalFormatting sqref="K97:L97">
    <cfRule type="expression" dxfId="98" priority="160">
      <formula>(I97/I86)&lt;0</formula>
    </cfRule>
  </conditionalFormatting>
  <conditionalFormatting sqref="K123:L123">
    <cfRule type="expression" dxfId="97" priority="158">
      <formula>(I123/I118)&lt;0</formula>
    </cfRule>
  </conditionalFormatting>
  <conditionalFormatting sqref="K129:L129">
    <cfRule type="expression" dxfId="96" priority="154">
      <formula>(I129/I118)&lt;0</formula>
    </cfRule>
  </conditionalFormatting>
  <conditionalFormatting sqref="K155:L155">
    <cfRule type="expression" dxfId="95" priority="152">
      <formula>(I155/I150)&lt;0</formula>
    </cfRule>
  </conditionalFormatting>
  <conditionalFormatting sqref="K161:L161">
    <cfRule type="expression" dxfId="94" priority="148">
      <formula>(I161/I150)&lt;0</formula>
    </cfRule>
  </conditionalFormatting>
  <conditionalFormatting sqref="K187:L187">
    <cfRule type="expression" dxfId="93" priority="146">
      <formula>(I187/I182)&lt;0</formula>
    </cfRule>
  </conditionalFormatting>
  <conditionalFormatting sqref="K193:L193">
    <cfRule type="expression" dxfId="92" priority="142">
      <formula>(I193/I182)&lt;0</formula>
    </cfRule>
  </conditionalFormatting>
  <conditionalFormatting sqref="K219:L219">
    <cfRule type="expression" dxfId="91" priority="140">
      <formula>(I219/I214)&lt;0</formula>
    </cfRule>
  </conditionalFormatting>
  <conditionalFormatting sqref="K225:L225">
    <cfRule type="expression" dxfId="90" priority="136">
      <formula>(I225/I214)&lt;0</formula>
    </cfRule>
  </conditionalFormatting>
  <conditionalFormatting sqref="K251:L251">
    <cfRule type="expression" dxfId="89" priority="134">
      <formula>(I251/I246)&lt;0</formula>
    </cfRule>
  </conditionalFormatting>
  <conditionalFormatting sqref="K257:L257">
    <cfRule type="expression" dxfId="88" priority="130">
      <formula>(I257/I246)&lt;0</formula>
    </cfRule>
  </conditionalFormatting>
  <conditionalFormatting sqref="K475:L475">
    <cfRule type="expression" dxfId="87" priority="128">
      <formula>(I475/I470)&lt;0</formula>
    </cfRule>
  </conditionalFormatting>
  <conditionalFormatting sqref="K481:L481">
    <cfRule type="expression" dxfId="86" priority="124">
      <formula>(I481/I470)&lt;0</formula>
    </cfRule>
  </conditionalFormatting>
  <conditionalFormatting sqref="K507:L507">
    <cfRule type="expression" dxfId="85" priority="122">
      <formula>(I507/I502)&lt;0</formula>
    </cfRule>
  </conditionalFormatting>
  <conditionalFormatting sqref="K513:L513">
    <cfRule type="expression" dxfId="84" priority="118">
      <formula>(I513/I502)&lt;0</formula>
    </cfRule>
  </conditionalFormatting>
  <conditionalFormatting sqref="K539:L539">
    <cfRule type="expression" dxfId="83" priority="116">
      <formula>(I539/I534)&lt;0</formula>
    </cfRule>
  </conditionalFormatting>
  <conditionalFormatting sqref="K545:L545">
    <cfRule type="expression" dxfId="82" priority="112">
      <formula>(I545/I534)&lt;0</formula>
    </cfRule>
  </conditionalFormatting>
  <conditionalFormatting sqref="K571:L571">
    <cfRule type="expression" dxfId="81" priority="110">
      <formula>(I571/I566)&lt;0</formula>
    </cfRule>
  </conditionalFormatting>
  <conditionalFormatting sqref="K577:L577">
    <cfRule type="expression" dxfId="80" priority="106">
      <formula>(I577/I566)&lt;0</formula>
    </cfRule>
  </conditionalFormatting>
  <conditionalFormatting sqref="K283:L283">
    <cfRule type="expression" dxfId="79" priority="104">
      <formula>(I283/I278)&lt;0</formula>
    </cfRule>
  </conditionalFormatting>
  <conditionalFormatting sqref="K289:L289">
    <cfRule type="expression" dxfId="78" priority="100">
      <formula>(I289/I278)&lt;0</formula>
    </cfRule>
  </conditionalFormatting>
  <conditionalFormatting sqref="K315:L315">
    <cfRule type="expression" dxfId="77" priority="98">
      <formula>(I315/I310)&lt;0</formula>
    </cfRule>
  </conditionalFormatting>
  <conditionalFormatting sqref="K321:L321">
    <cfRule type="expression" dxfId="76" priority="94">
      <formula>(I321/I310)&lt;0</formula>
    </cfRule>
  </conditionalFormatting>
  <conditionalFormatting sqref="K411:L411">
    <cfRule type="expression" dxfId="75" priority="92">
      <formula>(I411/I406)&lt;0</formula>
    </cfRule>
  </conditionalFormatting>
  <conditionalFormatting sqref="K417:L417">
    <cfRule type="expression" dxfId="74" priority="88">
      <formula>(I417/I406)&lt;0</formula>
    </cfRule>
  </conditionalFormatting>
  <conditionalFormatting sqref="K443:L443">
    <cfRule type="expression" dxfId="73" priority="86">
      <formula>(I443/I438)&lt;0</formula>
    </cfRule>
  </conditionalFormatting>
  <conditionalFormatting sqref="K449:L449">
    <cfRule type="expression" dxfId="72" priority="82">
      <formula>(I449/I438)&lt;0</formula>
    </cfRule>
  </conditionalFormatting>
  <conditionalFormatting sqref="K347:L347">
    <cfRule type="expression" dxfId="71" priority="80">
      <formula>(I347/I342)&lt;0</formula>
    </cfRule>
  </conditionalFormatting>
  <conditionalFormatting sqref="K353:L353">
    <cfRule type="expression" dxfId="70" priority="76">
      <formula>(I353/I342)&lt;0</formula>
    </cfRule>
  </conditionalFormatting>
  <conditionalFormatting sqref="K379:L379">
    <cfRule type="expression" dxfId="69" priority="74">
      <formula>(I379/I374)&lt;0</formula>
    </cfRule>
  </conditionalFormatting>
  <conditionalFormatting sqref="K385:L385">
    <cfRule type="expression" dxfId="68" priority="70">
      <formula>(I385/I374)&lt;0</formula>
    </cfRule>
  </conditionalFormatting>
  <conditionalFormatting sqref="F91:G91">
    <cfRule type="expression" dxfId="67" priority="68">
      <formula>(E91/E86)&lt;0</formula>
    </cfRule>
  </conditionalFormatting>
  <conditionalFormatting sqref="F97:G97">
    <cfRule type="expression" dxfId="66" priority="67">
      <formula>(E97/E86)&lt;0</formula>
    </cfRule>
  </conditionalFormatting>
  <conditionalFormatting sqref="F123:G123">
    <cfRule type="expression" dxfId="65" priority="66">
      <formula>(E123/E118)&lt;0</formula>
    </cfRule>
  </conditionalFormatting>
  <conditionalFormatting sqref="F129:G129">
    <cfRule type="expression" dxfId="64" priority="65">
      <formula>(E129/E118)&lt;0</formula>
    </cfRule>
  </conditionalFormatting>
  <conditionalFormatting sqref="F155:G155">
    <cfRule type="expression" dxfId="63" priority="64">
      <formula>(E155/E150)&lt;0</formula>
    </cfRule>
  </conditionalFormatting>
  <conditionalFormatting sqref="F161:G161">
    <cfRule type="expression" dxfId="62" priority="63">
      <formula>(E161/E150)&lt;0</formula>
    </cfRule>
  </conditionalFormatting>
  <conditionalFormatting sqref="F187:G187">
    <cfRule type="expression" dxfId="61" priority="62">
      <formula>(E187/E182)&lt;0</formula>
    </cfRule>
  </conditionalFormatting>
  <conditionalFormatting sqref="F193:G193">
    <cfRule type="expression" dxfId="60" priority="61">
      <formula>(E193/E182)&lt;0</formula>
    </cfRule>
  </conditionalFormatting>
  <conditionalFormatting sqref="F219:G219">
    <cfRule type="expression" dxfId="59" priority="60">
      <formula>(E219/E214)&lt;0</formula>
    </cfRule>
  </conditionalFormatting>
  <conditionalFormatting sqref="F225:G225">
    <cfRule type="expression" dxfId="58" priority="59">
      <formula>(E225/E214)&lt;0</formula>
    </cfRule>
  </conditionalFormatting>
  <conditionalFormatting sqref="F251:G251">
    <cfRule type="expression" dxfId="57" priority="58">
      <formula>(E251/E246)&lt;0</formula>
    </cfRule>
  </conditionalFormatting>
  <conditionalFormatting sqref="F257:G257">
    <cfRule type="expression" dxfId="56" priority="57">
      <formula>(E257/E246)&lt;0</formula>
    </cfRule>
  </conditionalFormatting>
  <conditionalFormatting sqref="F283:G283">
    <cfRule type="expression" dxfId="55" priority="56">
      <formula>(E283/E278)&lt;0</formula>
    </cfRule>
  </conditionalFormatting>
  <conditionalFormatting sqref="F289:G289">
    <cfRule type="expression" dxfId="54" priority="55">
      <formula>(E289/E278)&lt;0</formula>
    </cfRule>
  </conditionalFormatting>
  <conditionalFormatting sqref="F315:G315">
    <cfRule type="expression" dxfId="53" priority="54">
      <formula>(E315/E310)&lt;0</formula>
    </cfRule>
  </conditionalFormatting>
  <conditionalFormatting sqref="F321:G321">
    <cfRule type="expression" dxfId="52" priority="53">
      <formula>(E321/E310)&lt;0</formula>
    </cfRule>
  </conditionalFormatting>
  <conditionalFormatting sqref="F347:G347">
    <cfRule type="expression" dxfId="51" priority="52">
      <formula>(E347/E342)&lt;0</formula>
    </cfRule>
  </conditionalFormatting>
  <conditionalFormatting sqref="F353:G353">
    <cfRule type="expression" dxfId="50" priority="51">
      <formula>(E353/E342)&lt;0</formula>
    </cfRule>
  </conditionalFormatting>
  <conditionalFormatting sqref="F379:G379">
    <cfRule type="expression" dxfId="49" priority="50">
      <formula>(E379/E374)&lt;0</formula>
    </cfRule>
  </conditionalFormatting>
  <conditionalFormatting sqref="F385:G385">
    <cfRule type="expression" dxfId="48" priority="49">
      <formula>(E385/E374)&lt;0</formula>
    </cfRule>
  </conditionalFormatting>
  <conditionalFormatting sqref="F411:G411">
    <cfRule type="expression" dxfId="47" priority="48">
      <formula>(E411/E406)&lt;0</formula>
    </cfRule>
  </conditionalFormatting>
  <conditionalFormatting sqref="F417:G417">
    <cfRule type="expression" dxfId="46" priority="47">
      <formula>(E417/E406)&lt;0</formula>
    </cfRule>
  </conditionalFormatting>
  <conditionalFormatting sqref="F443:G443">
    <cfRule type="expression" dxfId="45" priority="46">
      <formula>(E443/E438)&lt;0</formula>
    </cfRule>
  </conditionalFormatting>
  <conditionalFormatting sqref="F449:G449">
    <cfRule type="expression" dxfId="44" priority="45">
      <formula>(E449/E438)&lt;0</formula>
    </cfRule>
  </conditionalFormatting>
  <conditionalFormatting sqref="F475:G475">
    <cfRule type="expression" dxfId="43" priority="44">
      <formula>(E475/E470)&lt;0</formula>
    </cfRule>
  </conditionalFormatting>
  <conditionalFormatting sqref="F481:G481">
    <cfRule type="expression" dxfId="42" priority="43">
      <formula>(E481/E470)&lt;0</formula>
    </cfRule>
  </conditionalFormatting>
  <conditionalFormatting sqref="F507:G507">
    <cfRule type="expression" dxfId="41" priority="42">
      <formula>(E507/E502)&lt;0</formula>
    </cfRule>
  </conditionalFormatting>
  <conditionalFormatting sqref="F513:G513">
    <cfRule type="expression" dxfId="40" priority="41">
      <formula>(E513/E502)&lt;0</formula>
    </cfRule>
  </conditionalFormatting>
  <conditionalFormatting sqref="F539:G539">
    <cfRule type="expression" dxfId="39" priority="40">
      <formula>(E539/E534)&lt;0</formula>
    </cfRule>
  </conditionalFormatting>
  <conditionalFormatting sqref="F545:G545">
    <cfRule type="expression" dxfId="38" priority="39">
      <formula>(E545/E534)&lt;0</formula>
    </cfRule>
  </conditionalFormatting>
  <conditionalFormatting sqref="F571:G571">
    <cfRule type="expression" dxfId="37" priority="38">
      <formula>(E571/E566)&lt;0</formula>
    </cfRule>
  </conditionalFormatting>
  <conditionalFormatting sqref="F577:G577">
    <cfRule type="expression" dxfId="36" priority="37">
      <formula>(E577/E566)&lt;0</formula>
    </cfRule>
  </conditionalFormatting>
  <conditionalFormatting sqref="P59:Q59">
    <cfRule type="expression" dxfId="35" priority="36">
      <formula>(M59/M54)&lt;0</formula>
    </cfRule>
  </conditionalFormatting>
  <conditionalFormatting sqref="P65:Q65">
    <cfRule type="expression" dxfId="34" priority="35">
      <formula>(M65/M54)&lt;0</formula>
    </cfRule>
  </conditionalFormatting>
  <conditionalFormatting sqref="P91:Q91">
    <cfRule type="expression" dxfId="33" priority="34">
      <formula>(M91/M86)&lt;0</formula>
    </cfRule>
  </conditionalFormatting>
  <conditionalFormatting sqref="P97:Q97">
    <cfRule type="expression" dxfId="32" priority="33">
      <formula>(M97/M86)&lt;0</formula>
    </cfRule>
  </conditionalFormatting>
  <conditionalFormatting sqref="P123:Q123">
    <cfRule type="expression" dxfId="31" priority="32">
      <formula>(M123/M118)&lt;0</formula>
    </cfRule>
  </conditionalFormatting>
  <conditionalFormatting sqref="P129:Q129">
    <cfRule type="expression" dxfId="30" priority="31">
      <formula>(M129/M118)&lt;0</formula>
    </cfRule>
  </conditionalFormatting>
  <conditionalFormatting sqref="P155:Q155">
    <cfRule type="expression" dxfId="29" priority="30">
      <formula>(M155/M150)&lt;0</formula>
    </cfRule>
  </conditionalFormatting>
  <conditionalFormatting sqref="P161:Q161">
    <cfRule type="expression" dxfId="28" priority="29">
      <formula>(M161/M150)&lt;0</formula>
    </cfRule>
  </conditionalFormatting>
  <conditionalFormatting sqref="P187:Q187">
    <cfRule type="expression" dxfId="27" priority="28">
      <formula>(M187/M182)&lt;0</formula>
    </cfRule>
  </conditionalFormatting>
  <conditionalFormatting sqref="P193:Q193">
    <cfRule type="expression" dxfId="26" priority="27">
      <formula>(M193/M182)&lt;0</formula>
    </cfRule>
  </conditionalFormatting>
  <conditionalFormatting sqref="P219:Q219">
    <cfRule type="expression" dxfId="25" priority="26">
      <formula>(M219/M214)&lt;0</formula>
    </cfRule>
  </conditionalFormatting>
  <conditionalFormatting sqref="P225:Q225">
    <cfRule type="expression" dxfId="24" priority="25">
      <formula>(M225/M214)&lt;0</formula>
    </cfRule>
  </conditionalFormatting>
  <conditionalFormatting sqref="P251:Q251">
    <cfRule type="expression" dxfId="23" priority="24">
      <formula>(M251/M246)&lt;0</formula>
    </cfRule>
  </conditionalFormatting>
  <conditionalFormatting sqref="P257:Q257">
    <cfRule type="expression" dxfId="22" priority="23">
      <formula>(M257/M246)&lt;0</formula>
    </cfRule>
  </conditionalFormatting>
  <conditionalFormatting sqref="P283:Q283">
    <cfRule type="expression" dxfId="21" priority="22">
      <formula>(M283/M278)&lt;0</formula>
    </cfRule>
  </conditionalFormatting>
  <conditionalFormatting sqref="P289:Q289">
    <cfRule type="expression" dxfId="20" priority="21">
      <formula>(M289/M278)&lt;0</formula>
    </cfRule>
  </conditionalFormatting>
  <conditionalFormatting sqref="P315:Q315">
    <cfRule type="expression" dxfId="19" priority="20">
      <formula>(M315/M310)&lt;0</formula>
    </cfRule>
  </conditionalFormatting>
  <conditionalFormatting sqref="P321:Q321">
    <cfRule type="expression" dxfId="18" priority="19">
      <formula>(M321/M310)&lt;0</formula>
    </cfRule>
  </conditionalFormatting>
  <conditionalFormatting sqref="P347:Q347">
    <cfRule type="expression" dxfId="17" priority="18">
      <formula>(M347/M342)&lt;0</formula>
    </cfRule>
  </conditionalFormatting>
  <conditionalFormatting sqref="P353:Q353">
    <cfRule type="expression" dxfId="16" priority="17">
      <formula>(M353/M342)&lt;0</formula>
    </cfRule>
  </conditionalFormatting>
  <conditionalFormatting sqref="P379:Q379">
    <cfRule type="expression" dxfId="15" priority="16">
      <formula>(M379/M374)&lt;0</formula>
    </cfRule>
  </conditionalFormatting>
  <conditionalFormatting sqref="P385:Q385">
    <cfRule type="expression" dxfId="14" priority="15">
      <formula>(M385/M374)&lt;0</formula>
    </cfRule>
  </conditionalFormatting>
  <conditionalFormatting sqref="P411:Q411">
    <cfRule type="expression" dxfId="13" priority="14">
      <formula>(M411/M406)&lt;0</formula>
    </cfRule>
  </conditionalFormatting>
  <conditionalFormatting sqref="P417:Q417">
    <cfRule type="expression" dxfId="12" priority="13">
      <formula>(M417/M406)&lt;0</formula>
    </cfRule>
  </conditionalFormatting>
  <conditionalFormatting sqref="P443:Q443">
    <cfRule type="expression" dxfId="11" priority="12">
      <formula>(M443/M438)&lt;0</formula>
    </cfRule>
  </conditionalFormatting>
  <conditionalFormatting sqref="P449:Q449">
    <cfRule type="expression" dxfId="10" priority="11">
      <formula>(M449/M438)&lt;0</formula>
    </cfRule>
  </conditionalFormatting>
  <conditionalFormatting sqref="P475:Q475">
    <cfRule type="expression" dxfId="9" priority="10">
      <formula>(M475/M470)&lt;0</formula>
    </cfRule>
  </conditionalFormatting>
  <conditionalFormatting sqref="P481:Q481">
    <cfRule type="expression" dxfId="8" priority="9">
      <formula>(M481/M470)&lt;0</formula>
    </cfRule>
  </conditionalFormatting>
  <conditionalFormatting sqref="P507:Q507">
    <cfRule type="expression" dxfId="7" priority="8">
      <formula>(M507/M502)&lt;0</formula>
    </cfRule>
  </conditionalFormatting>
  <conditionalFormatting sqref="P513:Q513">
    <cfRule type="expression" dxfId="6" priority="7">
      <formula>(M513/M502)&lt;0</formula>
    </cfRule>
  </conditionalFormatting>
  <conditionalFormatting sqref="P539:Q539">
    <cfRule type="expression" dxfId="5" priority="6">
      <formula>(M539/M534)&lt;0</formula>
    </cfRule>
  </conditionalFormatting>
  <conditionalFormatting sqref="P545:Q545">
    <cfRule type="expression" dxfId="4" priority="5">
      <formula>(M545/M534)&lt;0</formula>
    </cfRule>
  </conditionalFormatting>
  <conditionalFormatting sqref="P571:Q571">
    <cfRule type="expression" dxfId="3" priority="4">
      <formula>(M571/M566)&lt;0</formula>
    </cfRule>
  </conditionalFormatting>
  <conditionalFormatting sqref="P577:Q577">
    <cfRule type="expression" dxfId="2" priority="3">
      <formula>(M577/M566)&lt;0</formula>
    </cfRule>
  </conditionalFormatting>
  <conditionalFormatting sqref="K59:L59">
    <cfRule type="expression" dxfId="1" priority="2">
      <formula>(I59/I54)&lt;0</formula>
    </cfRule>
  </conditionalFormatting>
  <conditionalFormatting sqref="K65:L65">
    <cfRule type="expression" dxfId="0" priority="1">
      <formula>(I65/I54)&lt;0</formula>
    </cfRule>
  </conditionalFormatting>
  <dataValidations count="7">
    <dataValidation type="date" operator="greaterThan" allowBlank="1" showInputMessage="1" showErrorMessage="1" errorTitle="Invalid Date..." error="Please enter a valid date." sqref="I5:J6 I37:J38 I69:J70 I101:J102 I133:J134 I165:J166 I197:J198 I229:J230 I453:J454 I485:J486 I517:J518 I549:J550 I261:J262 I293:J294 I389:J390 I421:J422 I325:J326 I357:J358" xr:uid="{AB2B85FD-8173-4139-B525-F4608366EDF7}">
      <formula1>1</formula1>
    </dataValidation>
    <dataValidation allowBlank="1" showErrorMessage="1" errorTitle="Too Many Characters..." error="You have entered too many characters in this text field.  The maximum number of characters allowed is 186.  Please re-enter." sqref="C582" xr:uid="{45197914-3494-419D-AFD8-DC84E027F2AB}"/>
    <dataValidation type="custom" allowBlank="1" showErrorMessage="1" errorTitle="Non-Numeric Entry" error="You have entered a non-numeric or non-whole-number value in the current cell.  This is not allowed.  Please enter a number or leave the cell blank to continue." sqref="I8:J11 I15:J15 L8:M11 L15:M15 O8:P11 O15:P15 I40:J43 I47:J47 L40:M43 L47:M47 O40:P43 O47:P47 I72:J75 I79:J79 L72:M75 L79:M79 O72:P75 O79:P79 I104:J107 I111:J111 L104:M107 L111:M111 O104:P107 O111:P111 I136:J139 I143:J143 L136:M139 L143:M143 O136:P139 O143:P143 I168:J171 I175:J175 L168:M171 L175:M175 O168:P171 O175:P175 I200:J203 I207:J207 L200:M203 L207:M207 O200:P203 O207:P207 I232:J235 I239:J239 L232:M235 L239:M239 O232:P235 O239:P239 I456:J459 I463:J463 L456:M459 L463:M463 O456:P459 O463:P463 I488:J491 I495:J495 L488:M491 L495:M495 O488:P491 O495:P495 I520:J523 I527:J527 L520:M523 L527:M527 O520:P523 O527:P527 I552:J555 I559:J559 L552:M555 L559:M559 O552:P555 O559:P559 I264:J267 I271:J271 L264:M267 L271:M271 O264:P267 O271:P271 I296:J299 I303:J303 L296:M299 L303:M303 O296:P299 O303:P303 I392:J395 I399:J399 L392:M395 L399:M399 O392:P395 O399:P399 I424:J427 I431:J431 L424:M427 L431:M431 O424:P427 O431:P431 I328:J331 I335:J335 L328:M331 L335:M335 O328:P331 O335:P335 I360:J363 I367:J367 L360:M363 L367:M367 O360:P363 O367:P367" xr:uid="{96D5B7C1-486E-4F3F-8936-C823AC1FDD8D}">
      <formula1>IF(AND(ISNUMBER(I8),MOD(I8,1)=0),TRUE,FALSE)</formula1>
    </dataValidation>
    <dataValidation type="textLength" allowBlank="1" showErrorMessage="1" errorTitle="Too Many Characters" error="You have entered too many characters in this text field.  The maximum number of characters allowed is 186.  Please re-enter." sqref="B582:B589" xr:uid="{BC13228F-443F-422A-83CE-6FC3408DAC1A}">
      <formula1>0</formula1>
      <formula2>186</formula2>
    </dataValidation>
    <dataValidation type="list" allowBlank="1" showErrorMessage="1" errorTitle="Please Select a Year..." error="You may only select a year from the dropdown or clear the cell.  Please perform one of those actions to continue." sqref="O7:P7 O39:P39 O71:P71 O103:P103 O135:P135 O167:P167 O199:P199 O231:P231 O455:P455 O487:P487 O519:P519 O551:P551 O263:P263 O295:P295 O391:P391 O423:P423 O327:P327 O359:P359" xr:uid="{47AE48A4-922D-44F8-A6FC-348541CA5D8A}">
      <formula1>LKP_YEAR_3</formula1>
    </dataValidation>
    <dataValidation type="list" allowBlank="1" showErrorMessage="1" errorTitle="Please Select a Year..." error="You may only select a year from the dropdown or clear the cell.  Please perform one of those actions to continue." sqref="L7:M7 L39:M39 L71:M71 L103:M103 L135:M135 L167:M167 L199:M199 L231:M231 L455:M455 L487:M487 L519:M519 L551:M551 L263:M263 L295:M295 L391:M391 L423:M423 L327:M327 L359:M359" xr:uid="{220264EA-74EF-4545-BC56-D5446E4FF462}">
      <formula1>LKP_YEAR_2</formula1>
    </dataValidation>
    <dataValidation type="list" allowBlank="1" showErrorMessage="1" errorTitle="Please Select a Year..." error="You may only select a year from the dropdown or clear the cell.  Please perform one of those actions to continue." sqref="I7:J7 I39:J39 I71:J71 I103:J103 I135:J135 I167:J167 I199:J199 I231:J231 I455:J455 I487:J487 I519:J519 I551:J551 I263:J263 I295:J295 I391:J391 I423:J423 I327:J327 I359:J359" xr:uid="{AF6DBC08-CA24-4671-8AC6-00C2B874BC2C}">
      <formula1>LKP_YEAR_1</formula1>
    </dataValidation>
  </dataValidations>
  <pageMargins left="0.25" right="0.25" top="0.45" bottom="0.45" header="0.25" footer="0.25"/>
  <pageSetup scale="63" fitToHeight="0"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PL">
    <pageSetUpPr fitToPage="1"/>
  </sheetPr>
  <dimension ref="A1:AA485"/>
  <sheetViews>
    <sheetView showGridLines="0" zoomScaleNormal="100" workbookViewId="0">
      <pane ySplit="1" topLeftCell="A2" activePane="bottomLeft" state="frozen"/>
      <selection activeCell="D5" sqref="D5:F5"/>
      <selection pane="bottomLeft" activeCell="H3" sqref="H3:V3"/>
    </sheetView>
  </sheetViews>
  <sheetFormatPr baseColWidth="10" defaultColWidth="9.1640625" defaultRowHeight="15" x14ac:dyDescent="0.2"/>
  <cols>
    <col min="1" max="1" width="3" bestFit="1" customWidth="1"/>
    <col min="2" max="2" width="4.5" customWidth="1"/>
    <col min="3" max="3" width="4.6640625" customWidth="1"/>
    <col min="4" max="4" width="32.33203125" customWidth="1"/>
    <col min="5" max="6" width="24.5" hidden="1" customWidth="1"/>
    <col min="7" max="7" width="2.5" customWidth="1"/>
    <col min="8" max="8" width="18.6640625" customWidth="1"/>
    <col min="9" max="10" width="2.5" customWidth="1"/>
    <col min="11" max="11" width="18.6640625" customWidth="1"/>
    <col min="12" max="13" width="2.5" hidden="1" customWidth="1"/>
    <col min="14" max="14" width="18.6640625" hidden="1" customWidth="1"/>
    <col min="15" max="16" width="2.5" hidden="1" customWidth="1"/>
    <col min="17" max="17" width="18.6640625" hidden="1" customWidth="1"/>
    <col min="18" max="19" width="2.5" hidden="1" customWidth="1"/>
    <col min="20" max="20" width="18.6640625" hidden="1" customWidth="1"/>
    <col min="21" max="22" width="2.5" customWidth="1"/>
    <col min="23" max="23" width="18.6640625" customWidth="1"/>
    <col min="24" max="24" width="2.5" customWidth="1"/>
    <col min="25" max="25" width="4.83203125" customWidth="1"/>
    <col min="26" max="32" width="3.6640625" customWidth="1"/>
  </cols>
  <sheetData>
    <row r="1" spans="1:25" s="1" customFormat="1" ht="40.5" customHeight="1" thickBot="1" x14ac:dyDescent="0.45">
      <c r="B1" s="127" t="s">
        <v>241</v>
      </c>
      <c r="C1" s="119"/>
      <c r="D1" s="119"/>
      <c r="E1" s="119"/>
      <c r="F1" s="119"/>
      <c r="G1" s="120"/>
      <c r="H1" s="120"/>
      <c r="I1" s="120"/>
      <c r="J1" s="120"/>
      <c r="K1" s="128"/>
      <c r="L1" s="128"/>
      <c r="M1" s="128"/>
      <c r="N1" s="128"/>
      <c r="O1" s="120"/>
      <c r="P1" s="120"/>
      <c r="Q1" s="128"/>
      <c r="R1" s="128"/>
      <c r="S1" s="128"/>
      <c r="T1" s="128"/>
      <c r="U1" s="128"/>
      <c r="V1" s="128"/>
      <c r="W1" s="128"/>
      <c r="X1" s="128"/>
      <c r="Y1" s="128"/>
    </row>
    <row r="2" spans="1:25" ht="76.5" customHeight="1" thickTop="1" thickBot="1" x14ac:dyDescent="0.25">
      <c r="B2" s="121"/>
      <c r="C2" s="264" t="s">
        <v>582</v>
      </c>
      <c r="D2" s="264"/>
      <c r="E2" s="264"/>
      <c r="F2" s="264"/>
      <c r="G2" s="264"/>
      <c r="H2" s="264"/>
      <c r="I2" s="264"/>
      <c r="J2" s="264"/>
      <c r="K2" s="264"/>
      <c r="L2" s="121"/>
      <c r="M2" s="121"/>
      <c r="N2" s="121"/>
      <c r="O2" s="121"/>
      <c r="P2" s="121"/>
      <c r="Q2" s="121"/>
      <c r="R2" s="121"/>
      <c r="S2" s="121"/>
      <c r="T2" s="121"/>
      <c r="U2" s="121"/>
      <c r="V2" s="121"/>
      <c r="W2" s="121"/>
      <c r="X2" s="121"/>
      <c r="Y2" s="121"/>
    </row>
    <row r="3" spans="1:25" ht="21" customHeight="1" thickBot="1" x14ac:dyDescent="0.25">
      <c r="B3" s="115"/>
      <c r="C3" s="115"/>
      <c r="D3" s="116" t="s">
        <v>240</v>
      </c>
      <c r="E3" s="39"/>
      <c r="F3" s="39"/>
      <c r="G3" s="39"/>
      <c r="H3" s="299"/>
      <c r="I3" s="300"/>
      <c r="J3" s="300"/>
      <c r="K3" s="300"/>
      <c r="L3" s="300"/>
      <c r="M3" s="300"/>
      <c r="N3" s="300"/>
      <c r="O3" s="300"/>
      <c r="P3" s="300"/>
      <c r="Q3" s="300"/>
      <c r="R3" s="300"/>
      <c r="S3" s="300"/>
      <c r="T3" s="300"/>
      <c r="U3" s="300"/>
      <c r="V3" s="301"/>
      <c r="W3" s="117"/>
      <c r="X3" s="6"/>
      <c r="Y3" s="5"/>
    </row>
    <row r="4" spans="1:25" ht="9" customHeight="1" x14ac:dyDescent="0.2">
      <c r="C4" s="3"/>
      <c r="D4" s="3"/>
      <c r="E4" s="3"/>
      <c r="F4" s="3"/>
      <c r="G4" s="3"/>
      <c r="H4" s="3"/>
      <c r="I4" s="3"/>
      <c r="J4" s="3"/>
      <c r="K4" s="3"/>
      <c r="L4" s="3"/>
      <c r="M4" s="3"/>
      <c r="N4" s="3"/>
      <c r="O4" s="3"/>
      <c r="P4" s="3"/>
      <c r="Q4" s="3"/>
      <c r="R4" s="3"/>
      <c r="S4" s="3"/>
      <c r="T4" s="3"/>
      <c r="U4" s="3"/>
      <c r="V4" s="3"/>
      <c r="W4" s="3"/>
      <c r="X4" s="3"/>
    </row>
    <row r="5" spans="1:25" ht="28.25" customHeight="1" x14ac:dyDescent="0.2">
      <c r="B5" s="97" t="s">
        <v>206</v>
      </c>
      <c r="C5" s="98"/>
      <c r="D5" s="6"/>
      <c r="E5" s="6"/>
      <c r="F5" s="6"/>
      <c r="G5" s="6"/>
      <c r="H5" s="6"/>
      <c r="I5" s="6"/>
      <c r="J5" s="6"/>
      <c r="K5" s="6"/>
      <c r="L5" s="6"/>
      <c r="M5" s="6"/>
      <c r="N5" s="6"/>
      <c r="O5" s="6"/>
      <c r="P5" s="6"/>
      <c r="Q5" s="6"/>
      <c r="R5" s="6"/>
      <c r="S5" s="6"/>
      <c r="T5" s="6"/>
      <c r="U5" s="6"/>
      <c r="V5" s="6"/>
      <c r="W5" s="6"/>
      <c r="X5" s="6"/>
      <c r="Y5" s="5"/>
    </row>
    <row r="6" spans="1:25" ht="21.5" customHeight="1" thickBot="1" x14ac:dyDescent="0.25">
      <c r="C6" s="35" t="s">
        <v>207</v>
      </c>
    </row>
    <row r="7" spans="1:25" ht="21" customHeight="1" thickBot="1" x14ac:dyDescent="0.25">
      <c r="A7" s="2"/>
      <c r="B7" s="7" t="s">
        <v>2</v>
      </c>
      <c r="C7" s="86" t="s">
        <v>190</v>
      </c>
      <c r="D7" s="32"/>
      <c r="E7" s="32"/>
      <c r="F7" s="32"/>
      <c r="G7" s="295" t="str">
        <f>IF(OR(SAM!D18=0,SAM!D18=""),"",SAM!D18)</f>
        <v/>
      </c>
      <c r="H7" s="295"/>
      <c r="I7" s="295"/>
      <c r="J7" s="295"/>
      <c r="K7" s="295"/>
      <c r="L7" s="295"/>
      <c r="M7" s="9"/>
      <c r="N7" s="9"/>
      <c r="O7" s="9"/>
      <c r="P7" s="9"/>
      <c r="Q7" s="9"/>
      <c r="R7" s="9"/>
      <c r="S7" s="9"/>
      <c r="T7" s="9"/>
      <c r="U7" s="9"/>
      <c r="V7" s="9"/>
      <c r="W7" s="9"/>
      <c r="X7" s="9"/>
      <c r="Y7" s="11"/>
    </row>
    <row r="8" spans="1:25" ht="6.75" hidden="1" customHeight="1" x14ac:dyDescent="0.2">
      <c r="B8" s="22"/>
      <c r="C8" s="21"/>
      <c r="D8" s="21"/>
      <c r="E8" s="21"/>
      <c r="F8" s="21"/>
      <c r="G8" s="21"/>
      <c r="H8" s="21"/>
      <c r="I8" s="21"/>
      <c r="J8" s="21"/>
      <c r="K8" s="21"/>
      <c r="L8" s="21"/>
      <c r="M8" s="21"/>
      <c r="N8" s="21"/>
      <c r="O8" s="21"/>
      <c r="P8" s="21"/>
      <c r="Q8" s="21"/>
      <c r="R8" s="21"/>
      <c r="S8" s="21"/>
      <c r="T8" s="21"/>
      <c r="U8" s="21"/>
      <c r="V8" s="21"/>
      <c r="W8" s="21"/>
      <c r="X8" s="21"/>
      <c r="Y8" s="23"/>
    </row>
    <row r="9" spans="1:25" ht="21" hidden="1" customHeight="1" x14ac:dyDescent="0.2">
      <c r="B9" s="14"/>
      <c r="D9" s="93" t="s">
        <v>230</v>
      </c>
      <c r="G9" s="104" t="s">
        <v>65</v>
      </c>
      <c r="H9" s="106"/>
      <c r="I9" s="104" t="s">
        <v>65</v>
      </c>
      <c r="J9" s="104" t="s">
        <v>65</v>
      </c>
      <c r="K9" s="106"/>
      <c r="L9" s="104" t="s">
        <v>65</v>
      </c>
      <c r="M9" s="104" t="s">
        <v>65</v>
      </c>
      <c r="N9" s="106"/>
      <c r="O9" s="104" t="s">
        <v>65</v>
      </c>
      <c r="P9" s="104" t="s">
        <v>65</v>
      </c>
      <c r="Q9" s="106"/>
      <c r="R9" s="104" t="s">
        <v>65</v>
      </c>
      <c r="S9" s="104" t="s">
        <v>65</v>
      </c>
      <c r="T9" s="106"/>
      <c r="U9" s="104" t="s">
        <v>65</v>
      </c>
      <c r="V9" s="104" t="s">
        <v>65</v>
      </c>
      <c r="W9" s="106"/>
      <c r="X9" s="104" t="s">
        <v>65</v>
      </c>
      <c r="Y9" s="15"/>
    </row>
    <row r="10" spans="1:25" ht="6.75" hidden="1" customHeight="1" x14ac:dyDescent="0.2">
      <c r="B10" s="14"/>
      <c r="H10" s="96"/>
      <c r="K10" s="96"/>
      <c r="N10" s="96"/>
      <c r="Q10" s="96"/>
      <c r="T10" s="96"/>
      <c r="W10" s="96"/>
      <c r="Y10" s="15"/>
    </row>
    <row r="11" spans="1:25" ht="21" hidden="1" customHeight="1" x14ac:dyDescent="0.2">
      <c r="B11" s="14"/>
      <c r="D11" s="93" t="s">
        <v>198</v>
      </c>
      <c r="E11" s="96" t="s">
        <v>199</v>
      </c>
      <c r="F11" s="96" t="s">
        <v>199</v>
      </c>
      <c r="G11" s="94"/>
      <c r="H11" s="91"/>
      <c r="J11" s="94"/>
      <c r="K11" s="91"/>
      <c r="M11" s="94"/>
      <c r="N11" s="91"/>
      <c r="P11" s="94"/>
      <c r="Q11" s="91"/>
      <c r="S11" s="94"/>
      <c r="T11" s="91"/>
      <c r="V11" s="94"/>
      <c r="W11" s="91"/>
      <c r="Y11" s="15"/>
    </row>
    <row r="12" spans="1:25" ht="21" hidden="1" customHeight="1" x14ac:dyDescent="0.2">
      <c r="B12" s="14"/>
      <c r="D12" s="93" t="s">
        <v>208</v>
      </c>
      <c r="E12" s="96" t="s">
        <v>199</v>
      </c>
      <c r="F12" s="96" t="s">
        <v>199</v>
      </c>
      <c r="G12" s="94"/>
      <c r="H12" s="92"/>
      <c r="J12" s="94"/>
      <c r="K12" s="92"/>
      <c r="M12" s="94"/>
      <c r="N12" s="92"/>
      <c r="P12" s="94"/>
      <c r="Q12" s="92"/>
      <c r="S12" s="94"/>
      <c r="T12" s="92"/>
      <c r="V12" s="94"/>
      <c r="W12" s="92"/>
      <c r="Y12" s="15"/>
    </row>
    <row r="13" spans="1:25" ht="6.75" hidden="1" customHeight="1" x14ac:dyDescent="0.2">
      <c r="B13" s="14"/>
      <c r="E13" s="96" t="s">
        <v>199</v>
      </c>
      <c r="F13" s="96" t="s">
        <v>199</v>
      </c>
      <c r="Y13" s="15"/>
    </row>
    <row r="14" spans="1:25" ht="21" hidden="1" customHeight="1" x14ac:dyDescent="0.2">
      <c r="B14" s="89" t="s">
        <v>191</v>
      </c>
      <c r="C14" s="87"/>
      <c r="D14" s="17"/>
      <c r="E14" s="96" t="s">
        <v>199</v>
      </c>
      <c r="F14" s="96" t="s">
        <v>199</v>
      </c>
      <c r="G14" s="17"/>
      <c r="H14" s="203"/>
      <c r="I14" s="2"/>
      <c r="J14" s="17"/>
      <c r="K14" s="203"/>
      <c r="L14" s="2"/>
      <c r="M14" s="17"/>
      <c r="N14" s="203"/>
      <c r="O14" s="2"/>
      <c r="P14" s="17"/>
      <c r="Q14" s="203"/>
      <c r="R14" s="2"/>
      <c r="S14" s="17"/>
      <c r="T14" s="203"/>
      <c r="U14" s="2"/>
      <c r="V14" s="17"/>
      <c r="W14" s="203"/>
      <c r="X14" s="2"/>
      <c r="Y14" s="15"/>
    </row>
    <row r="15" spans="1:25" ht="21" hidden="1" customHeight="1" x14ac:dyDescent="0.2">
      <c r="B15" s="89" t="s">
        <v>192</v>
      </c>
      <c r="C15" s="87"/>
      <c r="D15" s="17"/>
      <c r="E15" s="96" t="s">
        <v>199</v>
      </c>
      <c r="F15" s="96" t="s">
        <v>199</v>
      </c>
      <c r="G15" s="24" t="s">
        <v>9</v>
      </c>
      <c r="H15" s="209"/>
      <c r="I15" s="25" t="s">
        <v>10</v>
      </c>
      <c r="J15" s="24" t="s">
        <v>9</v>
      </c>
      <c r="K15" s="209"/>
      <c r="L15" s="25" t="s">
        <v>10</v>
      </c>
      <c r="M15" s="24" t="s">
        <v>9</v>
      </c>
      <c r="N15" s="209"/>
      <c r="O15" s="25" t="s">
        <v>10</v>
      </c>
      <c r="P15" s="24" t="s">
        <v>9</v>
      </c>
      <c r="Q15" s="209"/>
      <c r="R15" s="25" t="s">
        <v>10</v>
      </c>
      <c r="S15" s="24" t="s">
        <v>9</v>
      </c>
      <c r="T15" s="209"/>
      <c r="U15" s="25" t="s">
        <v>10</v>
      </c>
      <c r="V15" s="24" t="s">
        <v>9</v>
      </c>
      <c r="W15" s="209"/>
      <c r="X15" s="25" t="s">
        <v>10</v>
      </c>
      <c r="Y15" s="15"/>
    </row>
    <row r="16" spans="1:25" ht="21" hidden="1" customHeight="1" x14ac:dyDescent="0.2">
      <c r="B16" s="89" t="s">
        <v>193</v>
      </c>
      <c r="C16" s="87"/>
      <c r="D16" s="17"/>
      <c r="E16" s="96">
        <f>IF(MONTH(W11)=MONTH(W12),((YEAR(W12)-YEAR(W11))*12)-12+(12-MONTH(W11))+MONTH(W12)-1+(EOMONTH(W11,0)-W11+1)/DAY(EOMONTH(W11,0))+(1-(EOMONTH(W12,0)-W12)/DAY(EOMONTH(W12,0))),((YEAR(W12)-YEAR(W11))*12)-12+(12-MONTH(W11))+MONTH(W12)-1+(EOMONTH(W11,0)-W11+1)/DAY(EOMONTH(W11,0))+(1-(EOMONTH(W12,0)-W12)/DAY(EOMONTH(W12,0))))</f>
        <v>3.2258064516129004E-2</v>
      </c>
      <c r="F16" s="96">
        <f>ROUND(IF(AND(W11&lt;&gt;"",W12&lt;&gt;""),IF(E16&lt;=1,1,E16),0),2)</f>
        <v>0</v>
      </c>
      <c r="G16" s="17"/>
      <c r="H16" s="204"/>
      <c r="I16" s="2"/>
      <c r="J16" s="17"/>
      <c r="K16" s="204"/>
      <c r="L16" s="2"/>
      <c r="M16" s="17"/>
      <c r="N16" s="204"/>
      <c r="O16" s="2"/>
      <c r="P16" s="17"/>
      <c r="Q16" s="204"/>
      <c r="R16" s="2"/>
      <c r="S16" s="17"/>
      <c r="T16" s="204"/>
      <c r="U16" s="2"/>
      <c r="V16" s="17"/>
      <c r="W16" s="204"/>
      <c r="X16" s="2"/>
      <c r="Y16" s="15"/>
    </row>
    <row r="17" spans="1:25" ht="21" hidden="1" customHeight="1" x14ac:dyDescent="0.2">
      <c r="B17" s="89" t="s">
        <v>194</v>
      </c>
      <c r="C17" s="87"/>
      <c r="D17" s="17"/>
      <c r="E17" s="96">
        <f>IF(MONTH(T11)=MONTH(T12),((YEAR(T12)-YEAR(T11))*12)-12+(12-MONTH(T11))+MONTH(T12)-1+(EOMONTH(T11,0)-T11+1)/DAY(EOMONTH(T11,0))+(1-(EOMONTH(T12,0)-T12)/DAY(EOMONTH(T12,0))),((YEAR(T12)-YEAR(T11))*12)-12+(12-MONTH(T11))+MONTH(T12)-1+(EOMONTH(T11,0)-T11+1)/DAY(EOMONTH(T11,0))+(1-(EOMONTH(T12,0)-T12)/DAY(EOMONTH(T12,0))))</f>
        <v>3.2258064516129004E-2</v>
      </c>
      <c r="F17" s="96">
        <f>ROUND(IF(AND(T11&lt;&gt;"",T12&lt;&gt;""),IF(E17&lt;=1,1,E17),0),2)</f>
        <v>0</v>
      </c>
      <c r="G17" s="17"/>
      <c r="H17" s="204"/>
      <c r="I17" s="2"/>
      <c r="J17" s="17"/>
      <c r="K17" s="204"/>
      <c r="L17" s="2"/>
      <c r="M17" s="17"/>
      <c r="N17" s="204"/>
      <c r="O17" s="2"/>
      <c r="P17" s="17"/>
      <c r="Q17" s="204"/>
      <c r="R17" s="2"/>
      <c r="S17" s="17"/>
      <c r="T17" s="204"/>
      <c r="U17" s="2"/>
      <c r="V17" s="17"/>
      <c r="W17" s="204"/>
      <c r="X17" s="2"/>
      <c r="Y17" s="15"/>
    </row>
    <row r="18" spans="1:25" ht="21" hidden="1" customHeight="1" x14ac:dyDescent="0.2">
      <c r="B18" s="89" t="s">
        <v>197</v>
      </c>
      <c r="C18" s="87"/>
      <c r="D18" s="17"/>
      <c r="E18" s="105">
        <f>IF(MONTH(Q11)=MONTH(Q12),((YEAR(Q12)-YEAR(Q11))*12)-12+(12-MONTH(Q11))+MONTH(Q12)-1+(EOMONTH(Q11,0)-Q11+1)/DAY(EOMONTH(Q11,0))+(1-(EOMONTH(Q12,0)-Q12)/DAY(EOMONTH(Q12,0))),((YEAR(Q12)-YEAR(Q11))*12)-12+(12-MONTH(Q11))+MONTH(Q12)-1+(EOMONTH(Q11,0)-Q11+1)/DAY(EOMONTH(Q11,0))+(1-(EOMONTH(Q12,0)-Q12)/DAY(EOMONTH(Q12,0))))</f>
        <v>3.2258064516129004E-2</v>
      </c>
      <c r="F18" s="105">
        <f>ROUND(IF(AND(Q11&lt;&gt;"",Q12&lt;&gt;""),IF(E18&lt;=1,1,E18),0),2)</f>
        <v>0</v>
      </c>
      <c r="G18" s="17"/>
      <c r="H18" s="204"/>
      <c r="I18" s="2"/>
      <c r="J18" s="17"/>
      <c r="K18" s="204"/>
      <c r="L18" s="2"/>
      <c r="M18" s="17"/>
      <c r="N18" s="204"/>
      <c r="O18" s="2"/>
      <c r="P18" s="17"/>
      <c r="Q18" s="204"/>
      <c r="R18" s="2"/>
      <c r="S18" s="17"/>
      <c r="T18" s="204"/>
      <c r="U18" s="2"/>
      <c r="V18" s="17"/>
      <c r="W18" s="204"/>
      <c r="X18" s="2"/>
      <c r="Y18" s="15"/>
    </row>
    <row r="19" spans="1:25" ht="21" hidden="1" customHeight="1" x14ac:dyDescent="0.2">
      <c r="B19" s="89" t="s">
        <v>195</v>
      </c>
      <c r="C19" s="87"/>
      <c r="D19" s="17"/>
      <c r="E19" s="96">
        <f>IF(MONTH(N11)=MONTH(N12),((YEAR(N12)-YEAR(N11))*12)-12+(12-MONTH(N11))+MONTH(N12)-1+(EOMONTH(N11,0)-N11+1)/DAY(EOMONTH(N11,0))+(1-(EOMONTH(N12,0)-N12)/DAY(EOMONTH(N12,0))),((YEAR(N12)-YEAR(N11))*12)-12+(12-MONTH(N11))+MONTH(N12)-1+(EOMONTH(N11,0)-N11+1)/DAY(EOMONTH(N11,0))+(1-(EOMONTH(N12,0)-N12)/DAY(EOMONTH(N12,0))))</f>
        <v>3.2258064516129004E-2</v>
      </c>
      <c r="F19" s="96">
        <f>ROUND(IF(AND(N11&lt;&gt;"",N12&lt;&gt;""),IF(E19&lt;=1,1,E19),0),2)</f>
        <v>0</v>
      </c>
      <c r="G19" s="17"/>
      <c r="H19" s="204"/>
      <c r="I19" s="2"/>
      <c r="J19" s="17"/>
      <c r="K19" s="204"/>
      <c r="L19" s="2"/>
      <c r="M19" s="17"/>
      <c r="N19" s="204"/>
      <c r="O19" s="2"/>
      <c r="P19" s="17"/>
      <c r="Q19" s="204"/>
      <c r="R19" s="2"/>
      <c r="S19" s="17"/>
      <c r="T19" s="204"/>
      <c r="U19" s="2"/>
      <c r="V19" s="17"/>
      <c r="W19" s="204"/>
      <c r="X19" s="2"/>
      <c r="Y19" s="15"/>
    </row>
    <row r="20" spans="1:25" ht="21" hidden="1" customHeight="1" x14ac:dyDescent="0.2">
      <c r="B20" s="89" t="s">
        <v>196</v>
      </c>
      <c r="C20" s="87"/>
      <c r="D20" s="107"/>
      <c r="E20" s="96">
        <f>IF(MONTH(K11)=MONTH(K12),((YEAR(K12)-YEAR(K11))*12)-12+(12-MONTH(K11))+MONTH(K12)-1+(EOMONTH(K11,0)-K11+1)/DAY(EOMONTH(K11,0))+(1-(EOMONTH(K12,0)-K12)/DAY(EOMONTH(K12,0))),((YEAR(K12)-YEAR(K11))*12)-12+(12-MONTH(K11))+MONTH(K12)-1+(EOMONTH(K11,0)-K11+1)/DAY(EOMONTH(K11,0))+(1-(EOMONTH(K12,0)-K12)/DAY(EOMONTH(K12,0))))</f>
        <v>3.2258064516129004E-2</v>
      </c>
      <c r="F20" s="96">
        <f>ROUND(IF(AND(K11&lt;&gt;"",K12&lt;&gt;""),IF(E20&lt;=1,1,E20),0),2)</f>
        <v>0</v>
      </c>
      <c r="G20" s="103" t="s">
        <v>65</v>
      </c>
      <c r="H20" s="206"/>
      <c r="I20" s="2"/>
      <c r="J20" s="2"/>
      <c r="K20" s="206"/>
      <c r="L20" s="2"/>
      <c r="M20" s="2"/>
      <c r="N20" s="206"/>
      <c r="O20" s="2"/>
      <c r="P20" s="2"/>
      <c r="Q20" s="206"/>
      <c r="R20" s="2"/>
      <c r="S20" s="2"/>
      <c r="T20" s="206"/>
      <c r="U20" s="2"/>
      <c r="V20" s="2"/>
      <c r="W20" s="206"/>
      <c r="X20" s="2"/>
      <c r="Y20" s="15"/>
    </row>
    <row r="21" spans="1:25" ht="21" hidden="1" customHeight="1" x14ac:dyDescent="0.2">
      <c r="B21" s="89"/>
      <c r="C21" s="87"/>
      <c r="D21" s="17"/>
      <c r="E21" s="96" t="s">
        <v>199</v>
      </c>
      <c r="F21" s="96" t="s">
        <v>199</v>
      </c>
      <c r="G21" s="24"/>
      <c r="H21" s="27"/>
      <c r="I21" s="2"/>
      <c r="J21" s="24"/>
      <c r="K21" s="27"/>
      <c r="L21" s="2"/>
      <c r="M21" s="24"/>
      <c r="N21" s="27"/>
      <c r="O21" s="2"/>
      <c r="P21" s="24"/>
      <c r="Q21" s="27"/>
      <c r="R21" s="2"/>
      <c r="S21" s="24"/>
      <c r="T21" s="27"/>
      <c r="U21" s="2"/>
      <c r="V21" s="24"/>
      <c r="W21" s="27"/>
      <c r="X21" s="2"/>
      <c r="Y21" s="15"/>
    </row>
    <row r="22" spans="1:25" ht="21" hidden="1" customHeight="1" x14ac:dyDescent="0.2">
      <c r="B22" s="90"/>
      <c r="C22" s="88"/>
      <c r="D22" s="99" t="s">
        <v>209</v>
      </c>
      <c r="E22" s="96" t="s">
        <v>199</v>
      </c>
      <c r="F22" s="96" t="s">
        <v>199</v>
      </c>
      <c r="G22" s="80"/>
      <c r="H22" s="210">
        <f>IFERROR(SUM(H16:H20)-H15+H14,0)</f>
        <v>0</v>
      </c>
      <c r="I22" s="2"/>
      <c r="J22" s="80"/>
      <c r="K22" s="210">
        <f>IFERROR(SUM(K16:K20)-K15+K14,0)</f>
        <v>0</v>
      </c>
      <c r="L22" s="2"/>
      <c r="M22" s="80"/>
      <c r="N22" s="210">
        <f>IFERROR(SUM(N16:N20)-N15+N14,0)</f>
        <v>0</v>
      </c>
      <c r="O22" s="2"/>
      <c r="P22" s="80"/>
      <c r="Q22" s="210">
        <f>IFERROR(SUM(Q16:Q20)-Q15+Q14,0)</f>
        <v>0</v>
      </c>
      <c r="R22" s="2"/>
      <c r="S22" s="80"/>
      <c r="T22" s="210">
        <f>IFERROR(SUM(T16:T20)-T15+T14,0)</f>
        <v>0</v>
      </c>
      <c r="U22" s="2"/>
      <c r="V22" s="80"/>
      <c r="W22" s="210">
        <f>IFERROR(SUM(W16:W20)-W15+W14,0)</f>
        <v>0</v>
      </c>
      <c r="X22" s="2"/>
      <c r="Y22" s="15"/>
    </row>
    <row r="23" spans="1:25" ht="21" hidden="1" customHeight="1" x14ac:dyDescent="0.2">
      <c r="B23" s="90"/>
      <c r="C23" s="88"/>
      <c r="D23" s="93" t="s">
        <v>210</v>
      </c>
      <c r="E23" s="96">
        <f>IF(MONTH(H11)=MONTH(H12),((YEAR(H12)-YEAR(H11))*12)-12+(12-MONTH(H11))+MONTH(H12)-1+(EOMONTH(H11,0)-H11+1)/DAY(EOMONTH(H11,0))+(1-(EOMONTH(H12,0)-H12)/DAY(EOMONTH(H12,0))),((YEAR(H12)-YEAR(H11))*12)-12+(12-MONTH(H11))+MONTH(H12)-1+(EOMONTH(H11,0)-H11+1)/DAY(EOMONTH(H11,0))+(1-(EOMONTH(H12,0)-H12)/DAY(EOMONTH(H12,0))))</f>
        <v>3.2258064516129004E-2</v>
      </c>
      <c r="F23" s="96">
        <f>ROUND(IF(AND(H11&lt;&gt;"",H12&lt;&gt;""),IF(E23&lt;=1,1,E23),0),2)</f>
        <v>0</v>
      </c>
      <c r="G23" s="17"/>
      <c r="H23" s="210">
        <f>IFERROR(H22/F23,0)</f>
        <v>0</v>
      </c>
      <c r="I23" s="2"/>
      <c r="J23" s="17"/>
      <c r="K23" s="210">
        <f>IFERROR(K22/F20,0)</f>
        <v>0</v>
      </c>
      <c r="L23" s="2"/>
      <c r="M23" s="17"/>
      <c r="N23" s="210">
        <f>IFERROR(N22/F19,0)</f>
        <v>0</v>
      </c>
      <c r="O23" s="2"/>
      <c r="P23" s="17"/>
      <c r="Q23" s="210">
        <f>IFERROR(Q22/F18,0)</f>
        <v>0</v>
      </c>
      <c r="R23" s="2"/>
      <c r="S23" s="17"/>
      <c r="T23" s="210">
        <f>IFERROR(T22/F17,0)</f>
        <v>0</v>
      </c>
      <c r="U23" s="2"/>
      <c r="V23" s="17"/>
      <c r="W23" s="210">
        <f>IFERROR(W22/F16,0)</f>
        <v>0</v>
      </c>
      <c r="X23" s="2"/>
      <c r="Y23" s="15"/>
    </row>
    <row r="24" spans="1:25" ht="8.25" hidden="1" customHeight="1" thickBot="1" x14ac:dyDescent="0.25">
      <c r="B24" s="18"/>
      <c r="C24" s="19"/>
      <c r="D24" s="19"/>
      <c r="E24" s="19"/>
      <c r="F24" s="19"/>
      <c r="G24" s="19"/>
      <c r="H24" s="19"/>
      <c r="I24" s="19"/>
      <c r="J24" s="19"/>
      <c r="K24" s="19"/>
      <c r="L24" s="19"/>
      <c r="M24" s="19"/>
      <c r="N24" s="19"/>
      <c r="O24" s="19"/>
      <c r="P24" s="19"/>
      <c r="Q24" s="19"/>
      <c r="R24" s="19"/>
      <c r="S24" s="19"/>
      <c r="T24" s="19"/>
      <c r="U24" s="19"/>
      <c r="V24" s="19"/>
      <c r="W24" s="19"/>
      <c r="X24" s="19"/>
      <c r="Y24" s="20"/>
    </row>
    <row r="25" spans="1:25" ht="14" customHeight="1" thickBot="1" x14ac:dyDescent="0.25">
      <c r="I25" s="21"/>
      <c r="J25" s="21"/>
      <c r="K25" s="21"/>
      <c r="L25" s="21"/>
      <c r="M25" s="21"/>
      <c r="N25" s="21"/>
      <c r="O25" s="21"/>
      <c r="P25" s="21"/>
      <c r="Q25" s="21"/>
      <c r="R25" s="21"/>
      <c r="S25" s="21"/>
      <c r="T25" s="21"/>
      <c r="U25" s="21"/>
      <c r="V25" s="21"/>
      <c r="W25" s="21"/>
      <c r="X25" s="21"/>
    </row>
    <row r="26" spans="1:25" ht="21" customHeight="1" thickBot="1" x14ac:dyDescent="0.25">
      <c r="A26" s="2"/>
      <c r="B26" s="7" t="s">
        <v>2</v>
      </c>
      <c r="C26" s="86" t="s">
        <v>190</v>
      </c>
      <c r="D26" s="32"/>
      <c r="E26" s="32"/>
      <c r="F26" s="32"/>
      <c r="G26" s="295" t="str">
        <f>IF(OR(SAM!D33=0,SAM!D33=""),"",SAM!D33)</f>
        <v/>
      </c>
      <c r="H26" s="295"/>
      <c r="I26" s="295"/>
      <c r="J26" s="295"/>
      <c r="K26" s="295"/>
      <c r="L26" s="295"/>
      <c r="M26" s="9"/>
      <c r="N26" s="9"/>
      <c r="O26" s="9"/>
      <c r="P26" s="9"/>
      <c r="Q26" s="9"/>
      <c r="R26" s="9"/>
      <c r="S26" s="9"/>
      <c r="T26" s="9"/>
      <c r="U26" s="9"/>
      <c r="V26" s="9"/>
      <c r="W26" s="9"/>
      <c r="X26" s="9"/>
      <c r="Y26" s="11"/>
    </row>
    <row r="27" spans="1:25" ht="6.75" hidden="1" customHeight="1" x14ac:dyDescent="0.2">
      <c r="B27" s="22"/>
      <c r="C27" s="21"/>
      <c r="D27" s="21"/>
      <c r="E27" s="21"/>
      <c r="F27" s="21"/>
      <c r="G27" s="21"/>
      <c r="H27" s="21"/>
      <c r="I27" s="21"/>
      <c r="J27" s="21"/>
      <c r="K27" s="21"/>
      <c r="L27" s="21"/>
      <c r="M27" s="21"/>
      <c r="N27" s="21"/>
      <c r="O27" s="21"/>
      <c r="P27" s="21"/>
      <c r="Q27" s="21"/>
      <c r="R27" s="21"/>
      <c r="S27" s="21"/>
      <c r="T27" s="21"/>
      <c r="U27" s="21"/>
      <c r="V27" s="21"/>
      <c r="W27" s="21"/>
      <c r="X27" s="21"/>
      <c r="Y27" s="23"/>
    </row>
    <row r="28" spans="1:25" ht="21" hidden="1" customHeight="1" x14ac:dyDescent="0.2">
      <c r="B28" s="14"/>
      <c r="D28" s="93" t="s">
        <v>230</v>
      </c>
      <c r="G28" s="104" t="s">
        <v>65</v>
      </c>
      <c r="H28" s="106"/>
      <c r="I28" s="104" t="s">
        <v>65</v>
      </c>
      <c r="J28" s="104" t="s">
        <v>65</v>
      </c>
      <c r="K28" s="106"/>
      <c r="L28" s="104" t="s">
        <v>65</v>
      </c>
      <c r="M28" s="104" t="s">
        <v>65</v>
      </c>
      <c r="N28" s="106"/>
      <c r="O28" s="104" t="s">
        <v>65</v>
      </c>
      <c r="P28" s="104" t="s">
        <v>65</v>
      </c>
      <c r="Q28" s="106"/>
      <c r="R28" s="104" t="s">
        <v>65</v>
      </c>
      <c r="S28" s="104" t="s">
        <v>65</v>
      </c>
      <c r="T28" s="106"/>
      <c r="U28" s="104" t="s">
        <v>65</v>
      </c>
      <c r="V28" s="104" t="s">
        <v>65</v>
      </c>
      <c r="W28" s="106"/>
      <c r="X28" s="104" t="s">
        <v>65</v>
      </c>
      <c r="Y28" s="15"/>
    </row>
    <row r="29" spans="1:25" ht="6.75" hidden="1" customHeight="1" x14ac:dyDescent="0.2">
      <c r="B29" s="14"/>
      <c r="H29" s="96"/>
      <c r="K29" s="96"/>
      <c r="N29" s="96"/>
      <c r="Q29" s="96"/>
      <c r="T29" s="96"/>
      <c r="W29" s="96"/>
      <c r="Y29" s="15"/>
    </row>
    <row r="30" spans="1:25" ht="21" hidden="1" customHeight="1" x14ac:dyDescent="0.2">
      <c r="B30" s="14"/>
      <c r="D30" s="93" t="s">
        <v>198</v>
      </c>
      <c r="E30" s="96" t="s">
        <v>199</v>
      </c>
      <c r="F30" s="96" t="s">
        <v>199</v>
      </c>
      <c r="G30" s="94"/>
      <c r="H30" s="91"/>
      <c r="J30" s="94"/>
      <c r="K30" s="91"/>
      <c r="M30" s="94"/>
      <c r="N30" s="91"/>
      <c r="P30" s="94"/>
      <c r="Q30" s="91"/>
      <c r="S30" s="94"/>
      <c r="T30" s="91"/>
      <c r="V30" s="94"/>
      <c r="W30" s="91"/>
      <c r="Y30" s="15"/>
    </row>
    <row r="31" spans="1:25" ht="21" hidden="1" customHeight="1" x14ac:dyDescent="0.2">
      <c r="B31" s="14"/>
      <c r="D31" s="93" t="s">
        <v>208</v>
      </c>
      <c r="E31" s="96" t="s">
        <v>199</v>
      </c>
      <c r="F31" s="96" t="s">
        <v>199</v>
      </c>
      <c r="G31" s="94"/>
      <c r="H31" s="92"/>
      <c r="J31" s="94"/>
      <c r="K31" s="92"/>
      <c r="M31" s="94"/>
      <c r="N31" s="92"/>
      <c r="P31" s="94"/>
      <c r="Q31" s="92"/>
      <c r="S31" s="94"/>
      <c r="T31" s="92"/>
      <c r="V31" s="94"/>
      <c r="W31" s="92"/>
      <c r="Y31" s="15"/>
    </row>
    <row r="32" spans="1:25" ht="6.75" hidden="1" customHeight="1" x14ac:dyDescent="0.2">
      <c r="B32" s="14"/>
      <c r="E32" s="96" t="s">
        <v>199</v>
      </c>
      <c r="F32" s="96" t="s">
        <v>199</v>
      </c>
      <c r="Y32" s="15"/>
    </row>
    <row r="33" spans="1:25" ht="21" hidden="1" customHeight="1" x14ac:dyDescent="0.2">
      <c r="B33" s="89" t="s">
        <v>191</v>
      </c>
      <c r="C33" s="87"/>
      <c r="D33" s="17"/>
      <c r="E33" s="96" t="s">
        <v>199</v>
      </c>
      <c r="F33" s="96" t="s">
        <v>199</v>
      </c>
      <c r="G33" s="17"/>
      <c r="H33" s="203"/>
      <c r="I33" s="2"/>
      <c r="J33" s="17"/>
      <c r="K33" s="203"/>
      <c r="L33" s="2"/>
      <c r="M33" s="17"/>
      <c r="N33" s="203"/>
      <c r="O33" s="2"/>
      <c r="P33" s="17"/>
      <c r="Q33" s="203"/>
      <c r="R33" s="2"/>
      <c r="S33" s="17"/>
      <c r="T33" s="203"/>
      <c r="U33" s="2"/>
      <c r="V33" s="17"/>
      <c r="W33" s="203"/>
      <c r="X33" s="2"/>
      <c r="Y33" s="15"/>
    </row>
    <row r="34" spans="1:25" ht="21" hidden="1" customHeight="1" x14ac:dyDescent="0.2">
      <c r="B34" s="89" t="s">
        <v>192</v>
      </c>
      <c r="C34" s="87"/>
      <c r="D34" s="17"/>
      <c r="E34" s="96" t="s">
        <v>199</v>
      </c>
      <c r="F34" s="96" t="s">
        <v>199</v>
      </c>
      <c r="G34" s="24" t="s">
        <v>9</v>
      </c>
      <c r="H34" s="209"/>
      <c r="I34" s="25" t="s">
        <v>10</v>
      </c>
      <c r="J34" s="24" t="s">
        <v>9</v>
      </c>
      <c r="K34" s="209"/>
      <c r="L34" s="25" t="s">
        <v>10</v>
      </c>
      <c r="M34" s="24" t="s">
        <v>9</v>
      </c>
      <c r="N34" s="209"/>
      <c r="O34" s="25" t="s">
        <v>10</v>
      </c>
      <c r="P34" s="24" t="s">
        <v>9</v>
      </c>
      <c r="Q34" s="209"/>
      <c r="R34" s="25" t="s">
        <v>10</v>
      </c>
      <c r="S34" s="24" t="s">
        <v>9</v>
      </c>
      <c r="T34" s="209"/>
      <c r="U34" s="25" t="s">
        <v>10</v>
      </c>
      <c r="V34" s="24" t="s">
        <v>9</v>
      </c>
      <c r="W34" s="209"/>
      <c r="X34" s="25" t="s">
        <v>10</v>
      </c>
      <c r="Y34" s="15"/>
    </row>
    <row r="35" spans="1:25" ht="21" hidden="1" customHeight="1" x14ac:dyDescent="0.2">
      <c r="B35" s="89" t="s">
        <v>193</v>
      </c>
      <c r="C35" s="87"/>
      <c r="D35" s="17"/>
      <c r="E35" s="96">
        <f>IF(MONTH(W30)=MONTH(W31),((YEAR(W31)-YEAR(W30))*12)-12+(12-MONTH(W30))+MONTH(W31)-1+(EOMONTH(W30,0)-W30+1)/DAY(EOMONTH(W30,0))+(1-(EOMONTH(W31,0)-W31)/DAY(EOMONTH(W31,0))),((YEAR(W31)-YEAR(W30))*12)-12+(12-MONTH(W30))+MONTH(W31)-1+(EOMONTH(W30,0)-W30+1)/DAY(EOMONTH(W30,0))+(1-(EOMONTH(W31,0)-W31)/DAY(EOMONTH(W31,0))))</f>
        <v>3.2258064516129004E-2</v>
      </c>
      <c r="F35" s="96">
        <f>ROUND(IF(AND(W30&lt;&gt;"",W31&lt;&gt;""),IF(E35&lt;=1,1,E35),0),2)</f>
        <v>0</v>
      </c>
      <c r="G35" s="17"/>
      <c r="H35" s="204"/>
      <c r="I35" s="2"/>
      <c r="J35" s="17"/>
      <c r="K35" s="204"/>
      <c r="L35" s="2"/>
      <c r="M35" s="17"/>
      <c r="N35" s="204"/>
      <c r="O35" s="2"/>
      <c r="P35" s="17"/>
      <c r="Q35" s="204"/>
      <c r="R35" s="2"/>
      <c r="S35" s="17"/>
      <c r="T35" s="204"/>
      <c r="U35" s="2"/>
      <c r="V35" s="17"/>
      <c r="W35" s="204"/>
      <c r="X35" s="2"/>
      <c r="Y35" s="15"/>
    </row>
    <row r="36" spans="1:25" ht="21" hidden="1" customHeight="1" x14ac:dyDescent="0.2">
      <c r="B36" s="89" t="s">
        <v>194</v>
      </c>
      <c r="C36" s="87"/>
      <c r="D36" s="17"/>
      <c r="E36" s="96">
        <f>IF(MONTH(T30)=MONTH(T31),((YEAR(T31)-YEAR(T30))*12)-12+(12-MONTH(T30))+MONTH(T31)-1+(EOMONTH(T30,0)-T30+1)/DAY(EOMONTH(T30,0))+(1-(EOMONTH(T31,0)-T31)/DAY(EOMONTH(T31,0))),((YEAR(T31)-YEAR(T30))*12)-12+(12-MONTH(T30))+MONTH(T31)-1+(EOMONTH(T30,0)-T30+1)/DAY(EOMONTH(T30,0))+(1-(EOMONTH(T31,0)-T31)/DAY(EOMONTH(T31,0))))</f>
        <v>3.2258064516129004E-2</v>
      </c>
      <c r="F36" s="96">
        <f>ROUND(IF(AND(T30&lt;&gt;"",T31&lt;&gt;""),IF(E36&lt;=1,1,E36),0),2)</f>
        <v>0</v>
      </c>
      <c r="G36" s="17"/>
      <c r="H36" s="204"/>
      <c r="I36" s="2"/>
      <c r="J36" s="17"/>
      <c r="K36" s="204"/>
      <c r="L36" s="2"/>
      <c r="M36" s="17"/>
      <c r="N36" s="204"/>
      <c r="O36" s="2"/>
      <c r="P36" s="17"/>
      <c r="Q36" s="204"/>
      <c r="R36" s="2"/>
      <c r="S36" s="17"/>
      <c r="T36" s="204"/>
      <c r="U36" s="2"/>
      <c r="V36" s="17"/>
      <c r="W36" s="204"/>
      <c r="X36" s="2"/>
      <c r="Y36" s="15"/>
    </row>
    <row r="37" spans="1:25" ht="21" hidden="1" customHeight="1" x14ac:dyDescent="0.2">
      <c r="B37" s="89" t="s">
        <v>197</v>
      </c>
      <c r="C37" s="87"/>
      <c r="D37" s="17"/>
      <c r="E37" s="105">
        <f>IF(MONTH(Q30)=MONTH(Q31),((YEAR(Q31)-YEAR(Q30))*12)-12+(12-MONTH(Q30))+MONTH(Q31)-1+(EOMONTH(Q30,0)-Q30+1)/DAY(EOMONTH(Q30,0))+(1-(EOMONTH(Q31,0)-Q31)/DAY(EOMONTH(Q31,0))),((YEAR(Q31)-YEAR(Q30))*12)-12+(12-MONTH(Q30))+MONTH(Q31)-1+(EOMONTH(Q30,0)-Q30+1)/DAY(EOMONTH(Q30,0))+(1-(EOMONTH(Q31,0)-Q31)/DAY(EOMONTH(Q31,0))))</f>
        <v>3.2258064516129004E-2</v>
      </c>
      <c r="F37" s="105">
        <f>ROUND(IF(AND(Q30&lt;&gt;"",Q31&lt;&gt;""),IF(E37&lt;=1,1,E37),0),2)</f>
        <v>0</v>
      </c>
      <c r="G37" s="17"/>
      <c r="H37" s="204"/>
      <c r="I37" s="2"/>
      <c r="J37" s="17"/>
      <c r="K37" s="204"/>
      <c r="L37" s="2"/>
      <c r="M37" s="17"/>
      <c r="N37" s="204"/>
      <c r="O37" s="2"/>
      <c r="P37" s="17"/>
      <c r="Q37" s="204"/>
      <c r="R37" s="2"/>
      <c r="S37" s="17"/>
      <c r="T37" s="204"/>
      <c r="U37" s="2"/>
      <c r="V37" s="17"/>
      <c r="W37" s="204"/>
      <c r="X37" s="2"/>
      <c r="Y37" s="15"/>
    </row>
    <row r="38" spans="1:25" ht="21" hidden="1" customHeight="1" x14ac:dyDescent="0.2">
      <c r="B38" s="89" t="s">
        <v>195</v>
      </c>
      <c r="C38" s="87"/>
      <c r="D38" s="17"/>
      <c r="E38" s="96">
        <f>IF(MONTH(N30)=MONTH(N31),((YEAR(N31)-YEAR(N30))*12)-12+(12-MONTH(N30))+MONTH(N31)-1+(EOMONTH(N30,0)-N30+1)/DAY(EOMONTH(N30,0))+(1-(EOMONTH(N31,0)-N31)/DAY(EOMONTH(N31,0))),((YEAR(N31)-YEAR(N30))*12)-12+(12-MONTH(N30))+MONTH(N31)-1+(EOMONTH(N30,0)-N30+1)/DAY(EOMONTH(N30,0))+(1-(EOMONTH(N31,0)-N31)/DAY(EOMONTH(N31,0))))</f>
        <v>3.2258064516129004E-2</v>
      </c>
      <c r="F38" s="96">
        <f>ROUND(IF(AND(N30&lt;&gt;"",N31&lt;&gt;""),IF(E38&lt;=1,1,E38),0),2)</f>
        <v>0</v>
      </c>
      <c r="G38" s="17"/>
      <c r="H38" s="204"/>
      <c r="I38" s="2"/>
      <c r="J38" s="17"/>
      <c r="K38" s="204"/>
      <c r="L38" s="2"/>
      <c r="M38" s="17"/>
      <c r="N38" s="204"/>
      <c r="O38" s="2"/>
      <c r="P38" s="17"/>
      <c r="Q38" s="204"/>
      <c r="R38" s="2"/>
      <c r="S38" s="17"/>
      <c r="T38" s="204"/>
      <c r="U38" s="2"/>
      <c r="V38" s="17"/>
      <c r="W38" s="204"/>
      <c r="X38" s="2"/>
      <c r="Y38" s="15"/>
    </row>
    <row r="39" spans="1:25" ht="21" hidden="1" customHeight="1" x14ac:dyDescent="0.2">
      <c r="B39" s="89" t="s">
        <v>196</v>
      </c>
      <c r="C39" s="87"/>
      <c r="D39" s="107"/>
      <c r="E39" s="96">
        <f>IF(MONTH(K30)=MONTH(K31),((YEAR(K31)-YEAR(K30))*12)-12+(12-MONTH(K30))+MONTH(K31)-1+(EOMONTH(K30,0)-K30+1)/DAY(EOMONTH(K30,0))+(1-(EOMONTH(K31,0)-K31)/DAY(EOMONTH(K31,0))),((YEAR(K31)-YEAR(K30))*12)-12+(12-MONTH(K30))+MONTH(K31)-1+(EOMONTH(K30,0)-K30+1)/DAY(EOMONTH(K30,0))+(1-(EOMONTH(K31,0)-K31)/DAY(EOMONTH(K31,0))))</f>
        <v>3.2258064516129004E-2</v>
      </c>
      <c r="F39" s="96">
        <f>ROUND(IF(AND(K30&lt;&gt;"",K31&lt;&gt;""),IF(E39&lt;=1,1,E39),0),2)</f>
        <v>0</v>
      </c>
      <c r="G39" s="103" t="s">
        <v>65</v>
      </c>
      <c r="H39" s="206"/>
      <c r="I39" s="2"/>
      <c r="J39" s="2"/>
      <c r="K39" s="206"/>
      <c r="L39" s="2"/>
      <c r="M39" s="2"/>
      <c r="N39" s="206"/>
      <c r="O39" s="2"/>
      <c r="P39" s="2"/>
      <c r="Q39" s="206"/>
      <c r="R39" s="2"/>
      <c r="S39" s="2"/>
      <c r="T39" s="206"/>
      <c r="U39" s="2"/>
      <c r="V39" s="2"/>
      <c r="W39" s="206"/>
      <c r="X39" s="2"/>
      <c r="Y39" s="15"/>
    </row>
    <row r="40" spans="1:25" ht="21" hidden="1" customHeight="1" x14ac:dyDescent="0.2">
      <c r="B40" s="89"/>
      <c r="C40" s="87"/>
      <c r="D40" s="17"/>
      <c r="E40" s="96" t="s">
        <v>199</v>
      </c>
      <c r="F40" s="96" t="s">
        <v>199</v>
      </c>
      <c r="G40" s="24"/>
      <c r="H40" s="27"/>
      <c r="I40" s="2"/>
      <c r="J40" s="24"/>
      <c r="K40" s="27"/>
      <c r="L40" s="2"/>
      <c r="M40" s="24"/>
      <c r="N40" s="27"/>
      <c r="O40" s="2"/>
      <c r="P40" s="24"/>
      <c r="Q40" s="27"/>
      <c r="R40" s="2"/>
      <c r="S40" s="24"/>
      <c r="T40" s="27"/>
      <c r="U40" s="2"/>
      <c r="V40" s="24"/>
      <c r="W40" s="27"/>
      <c r="X40" s="2"/>
      <c r="Y40" s="15"/>
    </row>
    <row r="41" spans="1:25" ht="21" hidden="1" customHeight="1" x14ac:dyDescent="0.2">
      <c r="B41" s="90"/>
      <c r="C41" s="88"/>
      <c r="D41" s="99" t="s">
        <v>209</v>
      </c>
      <c r="E41" s="96" t="s">
        <v>199</v>
      </c>
      <c r="F41" s="96" t="s">
        <v>199</v>
      </c>
      <c r="G41" s="80"/>
      <c r="H41" s="210">
        <f>IFERROR(SUM(H35:H39)-H34+H33,0)</f>
        <v>0</v>
      </c>
      <c r="I41" s="2"/>
      <c r="J41" s="80"/>
      <c r="K41" s="210">
        <f>IFERROR(SUM(K35:K39)-K34+K33,0)</f>
        <v>0</v>
      </c>
      <c r="L41" s="2"/>
      <c r="M41" s="80"/>
      <c r="N41" s="210">
        <f>IFERROR(SUM(N35:N39)-N34+N33,0)</f>
        <v>0</v>
      </c>
      <c r="O41" s="2"/>
      <c r="P41" s="80"/>
      <c r="Q41" s="210">
        <f>IFERROR(SUM(Q35:Q39)-Q34+Q33,0)</f>
        <v>0</v>
      </c>
      <c r="R41" s="2"/>
      <c r="S41" s="80"/>
      <c r="T41" s="210">
        <f>IFERROR(SUM(T35:T39)-T34+T33,0)</f>
        <v>0</v>
      </c>
      <c r="U41" s="2"/>
      <c r="V41" s="80"/>
      <c r="W41" s="210">
        <f>IFERROR(SUM(W35:W39)-W34+W33,0)</f>
        <v>0</v>
      </c>
      <c r="X41" s="2"/>
      <c r="Y41" s="15"/>
    </row>
    <row r="42" spans="1:25" ht="21" hidden="1" customHeight="1" x14ac:dyDescent="0.2">
      <c r="B42" s="90"/>
      <c r="C42" s="88"/>
      <c r="D42" s="93" t="s">
        <v>210</v>
      </c>
      <c r="E42" s="96">
        <f>IF(MONTH(H30)=MONTH(H31),((YEAR(H31)-YEAR(H30))*12)-12+(12-MONTH(H30))+MONTH(H31)-1+(EOMONTH(H30,0)-H30+1)/DAY(EOMONTH(H30,0))+(1-(EOMONTH(H31,0)-H31)/DAY(EOMONTH(H31,0))),((YEAR(H31)-YEAR(H30))*12)-12+(12-MONTH(H30))+MONTH(H31)-1+(EOMONTH(H30,0)-H30+1)/DAY(EOMONTH(H30,0))+(1-(EOMONTH(H31,0)-H31)/DAY(EOMONTH(H31,0))))</f>
        <v>3.2258064516129004E-2</v>
      </c>
      <c r="F42" s="96">
        <f>ROUND(IF(AND(H30&lt;&gt;"",H31&lt;&gt;""),IF(E42&lt;=1,1,E42),0),2)</f>
        <v>0</v>
      </c>
      <c r="G42" s="17"/>
      <c r="H42" s="210">
        <f>IFERROR(H41/F42,0)</f>
        <v>0</v>
      </c>
      <c r="I42" s="2"/>
      <c r="J42" s="17"/>
      <c r="K42" s="210">
        <f>IFERROR(K41/F39,0)</f>
        <v>0</v>
      </c>
      <c r="L42" s="2"/>
      <c r="M42" s="17"/>
      <c r="N42" s="210">
        <f>IFERROR(N41/F38,0)</f>
        <v>0</v>
      </c>
      <c r="O42" s="2"/>
      <c r="P42" s="17"/>
      <c r="Q42" s="210">
        <f>IFERROR(Q41/F37,0)</f>
        <v>0</v>
      </c>
      <c r="R42" s="2"/>
      <c r="S42" s="17"/>
      <c r="T42" s="210">
        <f>IFERROR(T41/F36,0)</f>
        <v>0</v>
      </c>
      <c r="U42" s="2"/>
      <c r="V42" s="17"/>
      <c r="W42" s="210">
        <f>IFERROR(W41/F35,0)</f>
        <v>0</v>
      </c>
      <c r="X42" s="2"/>
      <c r="Y42" s="15"/>
    </row>
    <row r="43" spans="1:25" ht="8.25" hidden="1" customHeight="1" thickBot="1" x14ac:dyDescent="0.25">
      <c r="B43" s="18"/>
      <c r="C43" s="19"/>
      <c r="D43" s="19"/>
      <c r="E43" s="19"/>
      <c r="F43" s="19"/>
      <c r="G43" s="19"/>
      <c r="H43" s="19"/>
      <c r="I43" s="19"/>
      <c r="J43" s="19"/>
      <c r="K43" s="19"/>
      <c r="L43" s="19"/>
      <c r="M43" s="19"/>
      <c r="N43" s="19"/>
      <c r="O43" s="19"/>
      <c r="P43" s="19"/>
      <c r="Q43" s="19"/>
      <c r="R43" s="19"/>
      <c r="S43" s="19"/>
      <c r="T43" s="19"/>
      <c r="U43" s="19"/>
      <c r="V43" s="19"/>
      <c r="W43" s="19"/>
      <c r="X43" s="19"/>
      <c r="Y43" s="20"/>
    </row>
    <row r="44" spans="1:25" ht="14" customHeight="1" thickBot="1" x14ac:dyDescent="0.25">
      <c r="I44" s="21"/>
      <c r="J44" s="21"/>
      <c r="K44" s="21"/>
      <c r="L44" s="21"/>
      <c r="M44" s="21"/>
      <c r="N44" s="21"/>
      <c r="O44" s="21"/>
      <c r="P44" s="21"/>
      <c r="Q44" s="21"/>
      <c r="R44" s="21"/>
      <c r="S44" s="21"/>
      <c r="T44" s="21"/>
      <c r="U44" s="21"/>
      <c r="V44" s="21"/>
      <c r="W44" s="21"/>
      <c r="X44" s="21"/>
    </row>
    <row r="45" spans="1:25" ht="21" customHeight="1" thickBot="1" x14ac:dyDescent="0.25">
      <c r="A45" s="2"/>
      <c r="B45" s="7" t="s">
        <v>2</v>
      </c>
      <c r="C45" s="86" t="s">
        <v>190</v>
      </c>
      <c r="D45" s="32"/>
      <c r="E45" s="32"/>
      <c r="F45" s="32"/>
      <c r="G45" s="295" t="str">
        <f>IF(OR(SAM!D48=0,SAM!D48=""),"",SAM!D48)</f>
        <v/>
      </c>
      <c r="H45" s="295"/>
      <c r="I45" s="295"/>
      <c r="J45" s="295"/>
      <c r="K45" s="295"/>
      <c r="L45" s="295"/>
      <c r="M45" s="9"/>
      <c r="N45" s="9"/>
      <c r="O45" s="9"/>
      <c r="P45" s="9"/>
      <c r="Q45" s="9"/>
      <c r="R45" s="9"/>
      <c r="S45" s="9"/>
      <c r="T45" s="9"/>
      <c r="U45" s="9"/>
      <c r="V45" s="9"/>
      <c r="W45" s="9"/>
      <c r="X45" s="9"/>
      <c r="Y45" s="11"/>
    </row>
    <row r="46" spans="1:25" ht="6.75" hidden="1" customHeight="1" x14ac:dyDescent="0.2">
      <c r="B46" s="22"/>
      <c r="C46" s="21"/>
      <c r="D46" s="21"/>
      <c r="E46" s="21"/>
      <c r="F46" s="21"/>
      <c r="G46" s="21"/>
      <c r="H46" s="21"/>
      <c r="I46" s="21"/>
      <c r="J46" s="21"/>
      <c r="K46" s="21"/>
      <c r="L46" s="21"/>
      <c r="M46" s="21"/>
      <c r="N46" s="21"/>
      <c r="O46" s="21"/>
      <c r="P46" s="21"/>
      <c r="Q46" s="21"/>
      <c r="R46" s="21"/>
      <c r="S46" s="21"/>
      <c r="T46" s="21"/>
      <c r="U46" s="21"/>
      <c r="V46" s="21"/>
      <c r="W46" s="21"/>
      <c r="X46" s="21"/>
      <c r="Y46" s="23"/>
    </row>
    <row r="47" spans="1:25" ht="21" hidden="1" customHeight="1" x14ac:dyDescent="0.2">
      <c r="B47" s="14"/>
      <c r="D47" s="93" t="s">
        <v>230</v>
      </c>
      <c r="G47" s="104" t="s">
        <v>65</v>
      </c>
      <c r="H47" s="106"/>
      <c r="I47" s="104" t="s">
        <v>65</v>
      </c>
      <c r="J47" s="104" t="s">
        <v>65</v>
      </c>
      <c r="K47" s="106"/>
      <c r="L47" s="104" t="s">
        <v>65</v>
      </c>
      <c r="M47" s="104" t="s">
        <v>65</v>
      </c>
      <c r="N47" s="106"/>
      <c r="O47" s="104" t="s">
        <v>65</v>
      </c>
      <c r="P47" s="104" t="s">
        <v>65</v>
      </c>
      <c r="Q47" s="106"/>
      <c r="R47" s="104" t="s">
        <v>65</v>
      </c>
      <c r="S47" s="104" t="s">
        <v>65</v>
      </c>
      <c r="T47" s="106"/>
      <c r="U47" s="104" t="s">
        <v>65</v>
      </c>
      <c r="V47" s="104" t="s">
        <v>65</v>
      </c>
      <c r="W47" s="106"/>
      <c r="X47" s="104" t="s">
        <v>65</v>
      </c>
      <c r="Y47" s="15"/>
    </row>
    <row r="48" spans="1:25" ht="6.75" hidden="1" customHeight="1" x14ac:dyDescent="0.2">
      <c r="B48" s="14"/>
      <c r="H48" s="96"/>
      <c r="K48" s="96"/>
      <c r="N48" s="96"/>
      <c r="Q48" s="96"/>
      <c r="T48" s="96"/>
      <c r="W48" s="96"/>
      <c r="Y48" s="15"/>
    </row>
    <row r="49" spans="2:25" ht="21" hidden="1" customHeight="1" x14ac:dyDescent="0.2">
      <c r="B49" s="14"/>
      <c r="D49" s="93" t="s">
        <v>198</v>
      </c>
      <c r="E49" s="96" t="s">
        <v>199</v>
      </c>
      <c r="F49" s="96" t="s">
        <v>199</v>
      </c>
      <c r="G49" s="94"/>
      <c r="H49" s="91"/>
      <c r="J49" s="94"/>
      <c r="K49" s="91"/>
      <c r="M49" s="94"/>
      <c r="N49" s="91"/>
      <c r="P49" s="94"/>
      <c r="Q49" s="91"/>
      <c r="S49" s="94"/>
      <c r="T49" s="91"/>
      <c r="V49" s="94"/>
      <c r="W49" s="91"/>
      <c r="Y49" s="15"/>
    </row>
    <row r="50" spans="2:25" ht="21" hidden="1" customHeight="1" x14ac:dyDescent="0.2">
      <c r="B50" s="14"/>
      <c r="D50" s="93" t="s">
        <v>208</v>
      </c>
      <c r="E50" s="96" t="s">
        <v>199</v>
      </c>
      <c r="F50" s="96" t="s">
        <v>199</v>
      </c>
      <c r="G50" s="94"/>
      <c r="H50" s="92"/>
      <c r="J50" s="94"/>
      <c r="K50" s="92"/>
      <c r="M50" s="94"/>
      <c r="N50" s="92"/>
      <c r="P50" s="94"/>
      <c r="Q50" s="92"/>
      <c r="S50" s="94"/>
      <c r="T50" s="92"/>
      <c r="V50" s="94"/>
      <c r="W50" s="92"/>
      <c r="Y50" s="15"/>
    </row>
    <row r="51" spans="2:25" ht="6.75" hidden="1" customHeight="1" x14ac:dyDescent="0.2">
      <c r="B51" s="14"/>
      <c r="E51" s="96" t="s">
        <v>199</v>
      </c>
      <c r="F51" s="96" t="s">
        <v>199</v>
      </c>
      <c r="Y51" s="15"/>
    </row>
    <row r="52" spans="2:25" ht="21" hidden="1" customHeight="1" x14ac:dyDescent="0.2">
      <c r="B52" s="89" t="s">
        <v>191</v>
      </c>
      <c r="C52" s="87"/>
      <c r="D52" s="17"/>
      <c r="E52" s="96" t="s">
        <v>199</v>
      </c>
      <c r="F52" s="96" t="s">
        <v>199</v>
      </c>
      <c r="G52" s="17"/>
      <c r="H52" s="203"/>
      <c r="I52" s="2"/>
      <c r="J52" s="17"/>
      <c r="K52" s="203"/>
      <c r="L52" s="2"/>
      <c r="M52" s="17"/>
      <c r="N52" s="203"/>
      <c r="O52" s="2"/>
      <c r="P52" s="17"/>
      <c r="Q52" s="203"/>
      <c r="R52" s="2"/>
      <c r="S52" s="17"/>
      <c r="T52" s="203"/>
      <c r="U52" s="2"/>
      <c r="V52" s="17"/>
      <c r="W52" s="203"/>
      <c r="X52" s="2"/>
      <c r="Y52" s="15"/>
    </row>
    <row r="53" spans="2:25" ht="21" hidden="1" customHeight="1" x14ac:dyDescent="0.2">
      <c r="B53" s="89" t="s">
        <v>192</v>
      </c>
      <c r="C53" s="87"/>
      <c r="D53" s="17"/>
      <c r="E53" s="96" t="s">
        <v>199</v>
      </c>
      <c r="F53" s="96" t="s">
        <v>199</v>
      </c>
      <c r="G53" s="24" t="s">
        <v>9</v>
      </c>
      <c r="H53" s="209"/>
      <c r="I53" s="25" t="s">
        <v>10</v>
      </c>
      <c r="J53" s="24" t="s">
        <v>9</v>
      </c>
      <c r="K53" s="209"/>
      <c r="L53" s="25" t="s">
        <v>10</v>
      </c>
      <c r="M53" s="24" t="s">
        <v>9</v>
      </c>
      <c r="N53" s="209"/>
      <c r="O53" s="25" t="s">
        <v>10</v>
      </c>
      <c r="P53" s="24" t="s">
        <v>9</v>
      </c>
      <c r="Q53" s="209"/>
      <c r="R53" s="25" t="s">
        <v>10</v>
      </c>
      <c r="S53" s="24" t="s">
        <v>9</v>
      </c>
      <c r="T53" s="209"/>
      <c r="U53" s="25" t="s">
        <v>10</v>
      </c>
      <c r="V53" s="24" t="s">
        <v>9</v>
      </c>
      <c r="W53" s="209"/>
      <c r="X53" s="25" t="s">
        <v>10</v>
      </c>
      <c r="Y53" s="15"/>
    </row>
    <row r="54" spans="2:25" ht="21" hidden="1" customHeight="1" x14ac:dyDescent="0.2">
      <c r="B54" s="89" t="s">
        <v>193</v>
      </c>
      <c r="C54" s="87"/>
      <c r="D54" s="17"/>
      <c r="E54" s="96">
        <f>IF(MONTH(W49)=MONTH(W50),((YEAR(W50)-YEAR(W49))*12)-12+(12-MONTH(W49))+MONTH(W50)-1+(EOMONTH(W49,0)-W49+1)/DAY(EOMONTH(W49,0))+(1-(EOMONTH(W50,0)-W50)/DAY(EOMONTH(W50,0))),((YEAR(W50)-YEAR(W49))*12)-12+(12-MONTH(W49))+MONTH(W50)-1+(EOMONTH(W49,0)-W49+1)/DAY(EOMONTH(W49,0))+(1-(EOMONTH(W50,0)-W50)/DAY(EOMONTH(W50,0))))</f>
        <v>3.2258064516129004E-2</v>
      </c>
      <c r="F54" s="96">
        <f>ROUND(IF(AND(W49&lt;&gt;"",W50&lt;&gt;""),IF(E54&lt;=1,1,E54),0),2)</f>
        <v>0</v>
      </c>
      <c r="G54" s="17"/>
      <c r="H54" s="204"/>
      <c r="I54" s="2"/>
      <c r="J54" s="17"/>
      <c r="K54" s="204"/>
      <c r="L54" s="2"/>
      <c r="M54" s="17"/>
      <c r="N54" s="204"/>
      <c r="O54" s="2"/>
      <c r="P54" s="17"/>
      <c r="Q54" s="204"/>
      <c r="R54" s="2"/>
      <c r="S54" s="17"/>
      <c r="T54" s="204"/>
      <c r="U54" s="2"/>
      <c r="V54" s="17"/>
      <c r="W54" s="204"/>
      <c r="X54" s="2"/>
      <c r="Y54" s="15"/>
    </row>
    <row r="55" spans="2:25" ht="21" hidden="1" customHeight="1" x14ac:dyDescent="0.2">
      <c r="B55" s="89" t="s">
        <v>194</v>
      </c>
      <c r="C55" s="87"/>
      <c r="D55" s="17"/>
      <c r="E55" s="96">
        <f>IF(MONTH(T49)=MONTH(T50),((YEAR(T50)-YEAR(T49))*12)-12+(12-MONTH(T49))+MONTH(T50)-1+(EOMONTH(T49,0)-T49+1)/DAY(EOMONTH(T49,0))+(1-(EOMONTH(T50,0)-T50)/DAY(EOMONTH(T50,0))),((YEAR(T50)-YEAR(T49))*12)-12+(12-MONTH(T49))+MONTH(T50)-1+(EOMONTH(T49,0)-T49+1)/DAY(EOMONTH(T49,0))+(1-(EOMONTH(T50,0)-T50)/DAY(EOMONTH(T50,0))))</f>
        <v>3.2258064516129004E-2</v>
      </c>
      <c r="F55" s="96">
        <f>ROUND(IF(AND(T49&lt;&gt;"",T50&lt;&gt;""),IF(E55&lt;=1,1,E55),0),2)</f>
        <v>0</v>
      </c>
      <c r="G55" s="17"/>
      <c r="H55" s="204"/>
      <c r="I55" s="2"/>
      <c r="J55" s="17"/>
      <c r="K55" s="204"/>
      <c r="L55" s="2"/>
      <c r="M55" s="17"/>
      <c r="N55" s="204"/>
      <c r="O55" s="2"/>
      <c r="P55" s="17"/>
      <c r="Q55" s="204"/>
      <c r="R55" s="2"/>
      <c r="S55" s="17"/>
      <c r="T55" s="204"/>
      <c r="U55" s="2"/>
      <c r="V55" s="17"/>
      <c r="W55" s="204"/>
      <c r="X55" s="2"/>
      <c r="Y55" s="15"/>
    </row>
    <row r="56" spans="2:25" ht="21" hidden="1" customHeight="1" x14ac:dyDescent="0.2">
      <c r="B56" s="89" t="s">
        <v>197</v>
      </c>
      <c r="C56" s="87"/>
      <c r="D56" s="17"/>
      <c r="E56" s="105">
        <f>IF(MONTH(Q49)=MONTH(Q50),((YEAR(Q50)-YEAR(Q49))*12)-12+(12-MONTH(Q49))+MONTH(Q50)-1+(EOMONTH(Q49,0)-Q49+1)/DAY(EOMONTH(Q49,0))+(1-(EOMONTH(Q50,0)-Q50)/DAY(EOMONTH(Q50,0))),((YEAR(Q50)-YEAR(Q49))*12)-12+(12-MONTH(Q49))+MONTH(Q50)-1+(EOMONTH(Q49,0)-Q49+1)/DAY(EOMONTH(Q49,0))+(1-(EOMONTH(Q50,0)-Q50)/DAY(EOMONTH(Q50,0))))</f>
        <v>3.2258064516129004E-2</v>
      </c>
      <c r="F56" s="105">
        <f>ROUND(IF(AND(Q49&lt;&gt;"",Q50&lt;&gt;""),IF(E56&lt;=1,1,E56),0),2)</f>
        <v>0</v>
      </c>
      <c r="G56" s="17"/>
      <c r="H56" s="204"/>
      <c r="I56" s="2"/>
      <c r="J56" s="17"/>
      <c r="K56" s="204"/>
      <c r="L56" s="2"/>
      <c r="M56" s="17"/>
      <c r="N56" s="204"/>
      <c r="O56" s="2"/>
      <c r="P56" s="17"/>
      <c r="Q56" s="204"/>
      <c r="R56" s="2"/>
      <c r="S56" s="17"/>
      <c r="T56" s="204"/>
      <c r="U56" s="2"/>
      <c r="V56" s="17"/>
      <c r="W56" s="204"/>
      <c r="X56" s="2"/>
      <c r="Y56" s="15"/>
    </row>
    <row r="57" spans="2:25" ht="21" hidden="1" customHeight="1" x14ac:dyDescent="0.2">
      <c r="B57" s="89" t="s">
        <v>195</v>
      </c>
      <c r="C57" s="87"/>
      <c r="D57" s="17"/>
      <c r="E57" s="96">
        <f>IF(MONTH(N49)=MONTH(N50),((YEAR(N50)-YEAR(N49))*12)-12+(12-MONTH(N49))+MONTH(N50)-1+(EOMONTH(N49,0)-N49+1)/DAY(EOMONTH(N49,0))+(1-(EOMONTH(N50,0)-N50)/DAY(EOMONTH(N50,0))),((YEAR(N50)-YEAR(N49))*12)-12+(12-MONTH(N49))+MONTH(N50)-1+(EOMONTH(N49,0)-N49+1)/DAY(EOMONTH(N49,0))+(1-(EOMONTH(N50,0)-N50)/DAY(EOMONTH(N50,0))))</f>
        <v>3.2258064516129004E-2</v>
      </c>
      <c r="F57" s="96">
        <f>ROUND(IF(AND(N49&lt;&gt;"",N50&lt;&gt;""),IF(E57&lt;=1,1,E57),0),2)</f>
        <v>0</v>
      </c>
      <c r="G57" s="17"/>
      <c r="H57" s="204"/>
      <c r="I57" s="2"/>
      <c r="J57" s="17"/>
      <c r="K57" s="204"/>
      <c r="L57" s="2"/>
      <c r="M57" s="17"/>
      <c r="N57" s="204"/>
      <c r="O57" s="2"/>
      <c r="P57" s="17"/>
      <c r="Q57" s="204"/>
      <c r="R57" s="2"/>
      <c r="S57" s="17"/>
      <c r="T57" s="204"/>
      <c r="U57" s="2"/>
      <c r="V57" s="17"/>
      <c r="W57" s="204"/>
      <c r="X57" s="2"/>
      <c r="Y57" s="15"/>
    </row>
    <row r="58" spans="2:25" ht="21" hidden="1" customHeight="1" x14ac:dyDescent="0.2">
      <c r="B58" s="89" t="s">
        <v>196</v>
      </c>
      <c r="C58" s="87"/>
      <c r="D58" s="107"/>
      <c r="E58" s="96">
        <f>IF(MONTH(K49)=MONTH(K50),((YEAR(K50)-YEAR(K49))*12)-12+(12-MONTH(K49))+MONTH(K50)-1+(EOMONTH(K49,0)-K49+1)/DAY(EOMONTH(K49,0))+(1-(EOMONTH(K50,0)-K50)/DAY(EOMONTH(K50,0))),((YEAR(K50)-YEAR(K49))*12)-12+(12-MONTH(K49))+MONTH(K50)-1+(EOMONTH(K49,0)-K49+1)/DAY(EOMONTH(K49,0))+(1-(EOMONTH(K50,0)-K50)/DAY(EOMONTH(K50,0))))</f>
        <v>3.2258064516129004E-2</v>
      </c>
      <c r="F58" s="96">
        <f>ROUND(IF(AND(K49&lt;&gt;"",K50&lt;&gt;""),IF(E58&lt;=1,1,E58),0),2)</f>
        <v>0</v>
      </c>
      <c r="G58" s="103" t="s">
        <v>65</v>
      </c>
      <c r="H58" s="206"/>
      <c r="I58" s="2"/>
      <c r="J58" s="2"/>
      <c r="K58" s="206"/>
      <c r="L58" s="2"/>
      <c r="M58" s="2"/>
      <c r="N58" s="206"/>
      <c r="O58" s="2"/>
      <c r="P58" s="2"/>
      <c r="Q58" s="206"/>
      <c r="R58" s="2"/>
      <c r="S58" s="2"/>
      <c r="T58" s="206"/>
      <c r="U58" s="2"/>
      <c r="V58" s="2"/>
      <c r="W58" s="206"/>
      <c r="X58" s="2"/>
      <c r="Y58" s="15"/>
    </row>
    <row r="59" spans="2:25" ht="21" hidden="1" customHeight="1" x14ac:dyDescent="0.2">
      <c r="B59" s="89"/>
      <c r="C59" s="87"/>
      <c r="D59" s="17"/>
      <c r="E59" s="96" t="s">
        <v>199</v>
      </c>
      <c r="F59" s="96" t="s">
        <v>199</v>
      </c>
      <c r="G59" s="24"/>
      <c r="H59" s="27"/>
      <c r="I59" s="2"/>
      <c r="J59" s="24"/>
      <c r="K59" s="27"/>
      <c r="L59" s="2"/>
      <c r="M59" s="24"/>
      <c r="N59" s="27"/>
      <c r="O59" s="2"/>
      <c r="P59" s="24"/>
      <c r="Q59" s="27"/>
      <c r="R59" s="2"/>
      <c r="S59" s="24"/>
      <c r="T59" s="27"/>
      <c r="U59" s="2"/>
      <c r="V59" s="24"/>
      <c r="W59" s="27"/>
      <c r="X59" s="2"/>
      <c r="Y59" s="15"/>
    </row>
    <row r="60" spans="2:25" ht="21" hidden="1" customHeight="1" x14ac:dyDescent="0.2">
      <c r="B60" s="90"/>
      <c r="C60" s="88"/>
      <c r="D60" s="99" t="s">
        <v>209</v>
      </c>
      <c r="E60" s="96" t="s">
        <v>199</v>
      </c>
      <c r="F60" s="96" t="s">
        <v>199</v>
      </c>
      <c r="G60" s="80"/>
      <c r="H60" s="210">
        <f>IFERROR(SUM(H54:H58)-H53+H52,0)</f>
        <v>0</v>
      </c>
      <c r="I60" s="2"/>
      <c r="J60" s="80"/>
      <c r="K60" s="210">
        <f>IFERROR(SUM(K54:K58)-K53+K52,0)</f>
        <v>0</v>
      </c>
      <c r="L60" s="2"/>
      <c r="M60" s="80"/>
      <c r="N60" s="210">
        <f>IFERROR(SUM(N54:N58)-N53+N52,0)</f>
        <v>0</v>
      </c>
      <c r="O60" s="2"/>
      <c r="P60" s="80"/>
      <c r="Q60" s="210">
        <f>IFERROR(SUM(Q54:Q58)-Q53+Q52,0)</f>
        <v>0</v>
      </c>
      <c r="R60" s="2"/>
      <c r="S60" s="80"/>
      <c r="T60" s="210">
        <f>IFERROR(SUM(T54:T58)-T53+T52,0)</f>
        <v>0</v>
      </c>
      <c r="U60" s="2"/>
      <c r="V60" s="80"/>
      <c r="W60" s="210">
        <f>IFERROR(SUM(W54:W58)-W53+W52,0)</f>
        <v>0</v>
      </c>
      <c r="X60" s="2"/>
      <c r="Y60" s="15"/>
    </row>
    <row r="61" spans="2:25" ht="21" hidden="1" customHeight="1" x14ac:dyDescent="0.2">
      <c r="B61" s="90"/>
      <c r="C61" s="88"/>
      <c r="D61" s="93" t="s">
        <v>210</v>
      </c>
      <c r="E61" s="96">
        <f>IF(MONTH(H49)=MONTH(H50),((YEAR(H50)-YEAR(H49))*12)-12+(12-MONTH(H49))+MONTH(H50)-1+(EOMONTH(H49,0)-H49+1)/DAY(EOMONTH(H49,0))+(1-(EOMONTH(H50,0)-H50)/DAY(EOMONTH(H50,0))),((YEAR(H50)-YEAR(H49))*12)-12+(12-MONTH(H49))+MONTH(H50)-1+(EOMONTH(H49,0)-H49+1)/DAY(EOMONTH(H49,0))+(1-(EOMONTH(H50,0)-H50)/DAY(EOMONTH(H50,0))))</f>
        <v>3.2258064516129004E-2</v>
      </c>
      <c r="F61" s="96">
        <f>ROUND(IF(AND(H49&lt;&gt;"",H50&lt;&gt;""),IF(E61&lt;=1,1,E61),0),2)</f>
        <v>0</v>
      </c>
      <c r="G61" s="17"/>
      <c r="H61" s="210">
        <f>IFERROR(H60/F61,0)</f>
        <v>0</v>
      </c>
      <c r="I61" s="2"/>
      <c r="J61" s="17"/>
      <c r="K61" s="210">
        <f>IFERROR(K60/F58,0)</f>
        <v>0</v>
      </c>
      <c r="L61" s="2"/>
      <c r="M61" s="17"/>
      <c r="N61" s="210">
        <f>IFERROR(N60/F57,0)</f>
        <v>0</v>
      </c>
      <c r="O61" s="2"/>
      <c r="P61" s="17"/>
      <c r="Q61" s="210">
        <f>IFERROR(Q60/F56,0)</f>
        <v>0</v>
      </c>
      <c r="R61" s="2"/>
      <c r="S61" s="17"/>
      <c r="T61" s="210">
        <f>IFERROR(T60/F55,0)</f>
        <v>0</v>
      </c>
      <c r="U61" s="2"/>
      <c r="V61" s="17"/>
      <c r="W61" s="210">
        <f>IFERROR(W60/F54,0)</f>
        <v>0</v>
      </c>
      <c r="X61" s="2"/>
      <c r="Y61" s="15"/>
    </row>
    <row r="62" spans="2:25" ht="8.25" hidden="1" customHeight="1" thickBot="1" x14ac:dyDescent="0.25">
      <c r="B62" s="18"/>
      <c r="C62" s="19"/>
      <c r="D62" s="19"/>
      <c r="E62" s="19"/>
      <c r="F62" s="19"/>
      <c r="G62" s="19"/>
      <c r="H62" s="19"/>
      <c r="I62" s="19"/>
      <c r="J62" s="19"/>
      <c r="K62" s="19"/>
      <c r="L62" s="19"/>
      <c r="M62" s="19"/>
      <c r="N62" s="19"/>
      <c r="O62" s="19"/>
      <c r="P62" s="19"/>
      <c r="Q62" s="19"/>
      <c r="R62" s="19"/>
      <c r="S62" s="19"/>
      <c r="T62" s="19"/>
      <c r="U62" s="19"/>
      <c r="V62" s="19"/>
      <c r="W62" s="19"/>
      <c r="X62" s="19"/>
      <c r="Y62" s="20"/>
    </row>
    <row r="63" spans="2:25" ht="14" customHeight="1" x14ac:dyDescent="0.2">
      <c r="I63" s="21"/>
      <c r="J63" s="21"/>
      <c r="K63" s="21"/>
      <c r="L63" s="21"/>
      <c r="M63" s="21"/>
      <c r="N63" s="21"/>
      <c r="O63" s="21"/>
      <c r="P63" s="21"/>
      <c r="Q63" s="21"/>
      <c r="R63" s="21"/>
      <c r="S63" s="21"/>
      <c r="T63" s="21"/>
      <c r="U63" s="21"/>
      <c r="V63" s="21"/>
      <c r="W63" s="21"/>
      <c r="X63" s="21"/>
    </row>
    <row r="64" spans="2:25" ht="28.25" customHeight="1" x14ac:dyDescent="0.2">
      <c r="B64" s="97" t="s">
        <v>538</v>
      </c>
      <c r="C64" s="98"/>
      <c r="D64" s="6"/>
      <c r="E64" s="6"/>
      <c r="F64" s="6"/>
      <c r="G64" s="6"/>
      <c r="H64" s="6"/>
      <c r="I64" s="6"/>
      <c r="J64" s="6"/>
      <c r="K64" s="6"/>
      <c r="L64" s="6"/>
      <c r="M64" s="6"/>
      <c r="N64" s="6"/>
      <c r="O64" s="6"/>
      <c r="P64" s="6"/>
      <c r="Q64" s="6"/>
      <c r="R64" s="6"/>
      <c r="S64" s="6"/>
      <c r="T64" s="6"/>
      <c r="U64" s="6"/>
      <c r="V64" s="6"/>
      <c r="W64" s="6"/>
      <c r="X64" s="6"/>
      <c r="Y64" s="5"/>
    </row>
    <row r="65" spans="1:25" ht="21.5" customHeight="1" thickBot="1" x14ac:dyDescent="0.25">
      <c r="C65" s="35" t="s">
        <v>207</v>
      </c>
    </row>
    <row r="66" spans="1:25" ht="21" customHeight="1" thickBot="1" x14ac:dyDescent="0.25">
      <c r="A66" s="2"/>
      <c r="B66" s="7" t="s">
        <v>2</v>
      </c>
      <c r="C66" s="86" t="s">
        <v>537</v>
      </c>
      <c r="D66" s="32"/>
      <c r="E66" s="32"/>
      <c r="F66" s="32"/>
      <c r="G66" s="295" t="str">
        <f>IF(OR(SAM!D66=0,SAM!D66=""),"",SAM!D66)</f>
        <v/>
      </c>
      <c r="H66" s="295"/>
      <c r="I66" s="295"/>
      <c r="J66" s="295"/>
      <c r="K66" s="295"/>
      <c r="L66" s="295"/>
      <c r="M66" s="9"/>
      <c r="N66" s="9"/>
      <c r="O66" s="9"/>
      <c r="P66" s="9"/>
      <c r="Q66" s="9"/>
      <c r="R66" s="9"/>
      <c r="S66" s="9"/>
      <c r="T66" s="9"/>
      <c r="U66" s="9"/>
      <c r="V66" s="9"/>
      <c r="W66" s="9"/>
      <c r="X66" s="9"/>
      <c r="Y66" s="11"/>
    </row>
    <row r="67" spans="1:25" ht="6.75" hidden="1" customHeight="1" x14ac:dyDescent="0.2">
      <c r="B67" s="22"/>
      <c r="C67" s="21"/>
      <c r="D67" s="21"/>
      <c r="E67" s="21"/>
      <c r="F67" s="21"/>
      <c r="G67" s="21"/>
      <c r="H67" s="21"/>
      <c r="I67" s="21"/>
      <c r="J67" s="21"/>
      <c r="K67" s="21"/>
      <c r="L67" s="21"/>
      <c r="M67" s="21"/>
      <c r="N67" s="21"/>
      <c r="O67" s="21"/>
      <c r="P67" s="21"/>
      <c r="Q67" s="21"/>
      <c r="R67" s="21"/>
      <c r="S67" s="21"/>
      <c r="T67" s="21"/>
      <c r="U67" s="21"/>
      <c r="V67" s="21"/>
      <c r="W67" s="21"/>
      <c r="X67" s="21"/>
      <c r="Y67" s="23"/>
    </row>
    <row r="68" spans="1:25" ht="21" hidden="1" customHeight="1" x14ac:dyDescent="0.2">
      <c r="B68" s="14"/>
      <c r="D68" s="93" t="s">
        <v>230</v>
      </c>
      <c r="G68" s="104" t="s">
        <v>65</v>
      </c>
      <c r="H68" s="106"/>
      <c r="I68" s="104" t="s">
        <v>65</v>
      </c>
      <c r="J68" s="104" t="s">
        <v>65</v>
      </c>
      <c r="K68" s="106"/>
      <c r="L68" s="104" t="s">
        <v>65</v>
      </c>
      <c r="M68" s="104" t="s">
        <v>65</v>
      </c>
      <c r="N68" s="106"/>
      <c r="O68" s="104" t="s">
        <v>65</v>
      </c>
      <c r="P68" s="104" t="s">
        <v>65</v>
      </c>
      <c r="Q68" s="106"/>
      <c r="R68" s="104" t="s">
        <v>65</v>
      </c>
      <c r="S68" s="104" t="s">
        <v>65</v>
      </c>
      <c r="T68" s="106"/>
      <c r="U68" s="104" t="s">
        <v>65</v>
      </c>
      <c r="V68" s="104" t="s">
        <v>65</v>
      </c>
      <c r="W68" s="106"/>
      <c r="X68" s="104" t="s">
        <v>65</v>
      </c>
      <c r="Y68" s="15"/>
    </row>
    <row r="69" spans="1:25" ht="6.75" hidden="1" customHeight="1" x14ac:dyDescent="0.2">
      <c r="B69" s="14"/>
      <c r="H69" s="96"/>
      <c r="K69" s="96"/>
      <c r="N69" s="96"/>
      <c r="Q69" s="96"/>
      <c r="T69" s="96"/>
      <c r="W69" s="96"/>
      <c r="Y69" s="15"/>
    </row>
    <row r="70" spans="1:25" ht="21" hidden="1" customHeight="1" x14ac:dyDescent="0.2">
      <c r="B70" s="14"/>
      <c r="D70" s="93" t="s">
        <v>198</v>
      </c>
      <c r="E70" s="96" t="s">
        <v>199</v>
      </c>
      <c r="F70" s="96" t="s">
        <v>199</v>
      </c>
      <c r="G70" s="94"/>
      <c r="H70" s="91"/>
      <c r="J70" s="94"/>
      <c r="K70" s="91"/>
      <c r="M70" s="94"/>
      <c r="N70" s="91"/>
      <c r="P70" s="94"/>
      <c r="Q70" s="91"/>
      <c r="S70" s="94"/>
      <c r="T70" s="91"/>
      <c r="V70" s="94"/>
      <c r="W70" s="91"/>
      <c r="Y70" s="15"/>
    </row>
    <row r="71" spans="1:25" ht="21" hidden="1" customHeight="1" x14ac:dyDescent="0.2">
      <c r="B71" s="14"/>
      <c r="D71" s="93" t="s">
        <v>208</v>
      </c>
      <c r="E71" s="96" t="s">
        <v>199</v>
      </c>
      <c r="F71" s="96" t="s">
        <v>199</v>
      </c>
      <c r="G71" s="94"/>
      <c r="H71" s="92"/>
      <c r="J71" s="94"/>
      <c r="K71" s="92"/>
      <c r="M71" s="94"/>
      <c r="N71" s="92"/>
      <c r="P71" s="94"/>
      <c r="Q71" s="92"/>
      <c r="S71" s="94"/>
      <c r="T71" s="92"/>
      <c r="V71" s="94"/>
      <c r="W71" s="92"/>
      <c r="Y71" s="15"/>
    </row>
    <row r="72" spans="1:25" ht="6.75" hidden="1" customHeight="1" x14ac:dyDescent="0.2">
      <c r="B72" s="14"/>
      <c r="E72" s="96" t="s">
        <v>199</v>
      </c>
      <c r="F72" s="96" t="s">
        <v>199</v>
      </c>
      <c r="Y72" s="15"/>
    </row>
    <row r="73" spans="1:25" ht="21" hidden="1" customHeight="1" x14ac:dyDescent="0.2">
      <c r="B73" s="89" t="s">
        <v>191</v>
      </c>
      <c r="C73" s="87"/>
      <c r="D73" s="17"/>
      <c r="E73" s="96" t="s">
        <v>199</v>
      </c>
      <c r="F73" s="96" t="s">
        <v>199</v>
      </c>
      <c r="G73" s="17"/>
      <c r="H73" s="203"/>
      <c r="I73" s="2"/>
      <c r="J73" s="17"/>
      <c r="K73" s="203"/>
      <c r="L73" s="2"/>
      <c r="M73" s="17"/>
      <c r="N73" s="203"/>
      <c r="O73" s="2"/>
      <c r="P73" s="17"/>
      <c r="Q73" s="203"/>
      <c r="R73" s="2"/>
      <c r="S73" s="17"/>
      <c r="T73" s="203"/>
      <c r="U73" s="2"/>
      <c r="V73" s="17"/>
      <c r="W73" s="203"/>
      <c r="X73" s="2"/>
      <c r="Y73" s="15"/>
    </row>
    <row r="74" spans="1:25" ht="21" hidden="1" customHeight="1" x14ac:dyDescent="0.2">
      <c r="B74" s="89" t="s">
        <v>192</v>
      </c>
      <c r="C74" s="87"/>
      <c r="D74" s="17"/>
      <c r="E74" s="96" t="s">
        <v>199</v>
      </c>
      <c r="F74" s="96" t="s">
        <v>199</v>
      </c>
      <c r="G74" s="24" t="s">
        <v>9</v>
      </c>
      <c r="H74" s="209"/>
      <c r="I74" s="25" t="s">
        <v>10</v>
      </c>
      <c r="J74" s="24" t="s">
        <v>9</v>
      </c>
      <c r="K74" s="209"/>
      <c r="L74" s="25" t="s">
        <v>10</v>
      </c>
      <c r="M74" s="24" t="s">
        <v>9</v>
      </c>
      <c r="N74" s="209"/>
      <c r="O74" s="25" t="s">
        <v>10</v>
      </c>
      <c r="P74" s="24" t="s">
        <v>9</v>
      </c>
      <c r="Q74" s="209"/>
      <c r="R74" s="25" t="s">
        <v>10</v>
      </c>
      <c r="S74" s="24" t="s">
        <v>9</v>
      </c>
      <c r="T74" s="209"/>
      <c r="U74" s="25" t="s">
        <v>10</v>
      </c>
      <c r="V74" s="24" t="s">
        <v>9</v>
      </c>
      <c r="W74" s="209"/>
      <c r="X74" s="25" t="s">
        <v>10</v>
      </c>
      <c r="Y74" s="15"/>
    </row>
    <row r="75" spans="1:25" ht="21" hidden="1" customHeight="1" x14ac:dyDescent="0.2">
      <c r="B75" s="89" t="s">
        <v>193</v>
      </c>
      <c r="C75" s="87"/>
      <c r="D75" s="17"/>
      <c r="E75" s="96">
        <f>IF(MONTH(W70)=MONTH(W71),((YEAR(W71)-YEAR(W70))*12)-12+(12-MONTH(W70))+MONTH(W71)-1+(EOMONTH(W70,0)-W70+1)/DAY(EOMONTH(W70,0))+(1-(EOMONTH(W71,0)-W71)/DAY(EOMONTH(W71,0))),((YEAR(W71)-YEAR(W70))*12)-12+(12-MONTH(W70))+MONTH(W71)-1+(EOMONTH(W70,0)-W70+1)/DAY(EOMONTH(W70,0))+(1-(EOMONTH(W71,0)-W71)/DAY(EOMONTH(W71,0))))</f>
        <v>3.2258064516129004E-2</v>
      </c>
      <c r="F75" s="96">
        <f>ROUND(IF(AND(W70&lt;&gt;"",W71&lt;&gt;""),IF(E75&lt;=1,1,E75),0),2)</f>
        <v>0</v>
      </c>
      <c r="G75" s="17"/>
      <c r="H75" s="204"/>
      <c r="I75" s="2"/>
      <c r="J75" s="17"/>
      <c r="K75" s="204"/>
      <c r="L75" s="2"/>
      <c r="M75" s="17"/>
      <c r="N75" s="204"/>
      <c r="O75" s="2"/>
      <c r="P75" s="17"/>
      <c r="Q75" s="204"/>
      <c r="R75" s="2"/>
      <c r="S75" s="17"/>
      <c r="T75" s="204"/>
      <c r="U75" s="2"/>
      <c r="V75" s="17"/>
      <c r="W75" s="204"/>
      <c r="X75" s="2"/>
      <c r="Y75" s="15"/>
    </row>
    <row r="76" spans="1:25" ht="21" hidden="1" customHeight="1" x14ac:dyDescent="0.2">
      <c r="B76" s="89" t="s">
        <v>194</v>
      </c>
      <c r="C76" s="87"/>
      <c r="D76" s="17"/>
      <c r="E76" s="96">
        <f>IF(MONTH(T70)=MONTH(T71),((YEAR(T71)-YEAR(T70))*12)-12+(12-MONTH(T70))+MONTH(T71)-1+(EOMONTH(T70,0)-T70+1)/DAY(EOMONTH(T70,0))+(1-(EOMONTH(T71,0)-T71)/DAY(EOMONTH(T71,0))),((YEAR(T71)-YEAR(T70))*12)-12+(12-MONTH(T70))+MONTH(T71)-1+(EOMONTH(T70,0)-T70+1)/DAY(EOMONTH(T70,0))+(1-(EOMONTH(T71,0)-T71)/DAY(EOMONTH(T71,0))))</f>
        <v>3.2258064516129004E-2</v>
      </c>
      <c r="F76" s="96">
        <f>ROUND(IF(AND(T70&lt;&gt;"",T71&lt;&gt;""),IF(E76&lt;=1,1,E76),0),2)</f>
        <v>0</v>
      </c>
      <c r="G76" s="17"/>
      <c r="H76" s="204"/>
      <c r="I76" s="2"/>
      <c r="J76" s="17"/>
      <c r="K76" s="204"/>
      <c r="L76" s="2"/>
      <c r="M76" s="17"/>
      <c r="N76" s="204"/>
      <c r="O76" s="2"/>
      <c r="P76" s="17"/>
      <c r="Q76" s="204"/>
      <c r="R76" s="2"/>
      <c r="S76" s="17"/>
      <c r="T76" s="204"/>
      <c r="U76" s="2"/>
      <c r="V76" s="17"/>
      <c r="W76" s="204"/>
      <c r="X76" s="2"/>
      <c r="Y76" s="15"/>
    </row>
    <row r="77" spans="1:25" ht="21" hidden="1" customHeight="1" x14ac:dyDescent="0.2">
      <c r="B77" s="89" t="s">
        <v>197</v>
      </c>
      <c r="C77" s="87"/>
      <c r="D77" s="17"/>
      <c r="E77" s="105">
        <f>IF(MONTH(Q70)=MONTH(Q71),((YEAR(Q71)-YEAR(Q70))*12)-12+(12-MONTH(Q70))+MONTH(Q71)-1+(EOMONTH(Q70,0)-Q70+1)/DAY(EOMONTH(Q70,0))+(1-(EOMONTH(Q71,0)-Q71)/DAY(EOMONTH(Q71,0))),((YEAR(Q71)-YEAR(Q70))*12)-12+(12-MONTH(Q70))+MONTH(Q71)-1+(EOMONTH(Q70,0)-Q70+1)/DAY(EOMONTH(Q70,0))+(1-(EOMONTH(Q71,0)-Q71)/DAY(EOMONTH(Q71,0))))</f>
        <v>3.2258064516129004E-2</v>
      </c>
      <c r="F77" s="105">
        <f>ROUND(IF(AND(Q70&lt;&gt;"",Q71&lt;&gt;""),IF(E77&lt;=1,1,E77),0),2)</f>
        <v>0</v>
      </c>
      <c r="G77" s="17"/>
      <c r="H77" s="204"/>
      <c r="I77" s="2"/>
      <c r="J77" s="17"/>
      <c r="K77" s="204"/>
      <c r="L77" s="2"/>
      <c r="M77" s="17"/>
      <c r="N77" s="204"/>
      <c r="O77" s="2"/>
      <c r="P77" s="17"/>
      <c r="Q77" s="204"/>
      <c r="R77" s="2"/>
      <c r="S77" s="17"/>
      <c r="T77" s="204"/>
      <c r="U77" s="2"/>
      <c r="V77" s="17"/>
      <c r="W77" s="204"/>
      <c r="X77" s="2"/>
      <c r="Y77" s="15"/>
    </row>
    <row r="78" spans="1:25" ht="21" hidden="1" customHeight="1" x14ac:dyDescent="0.2">
      <c r="B78" s="89" t="s">
        <v>195</v>
      </c>
      <c r="C78" s="87"/>
      <c r="D78" s="17"/>
      <c r="E78" s="96">
        <f>IF(MONTH(N70)=MONTH(N71),((YEAR(N71)-YEAR(N70))*12)-12+(12-MONTH(N70))+MONTH(N71)-1+(EOMONTH(N70,0)-N70+1)/DAY(EOMONTH(N70,0))+(1-(EOMONTH(N71,0)-N71)/DAY(EOMONTH(N71,0))),((YEAR(N71)-YEAR(N70))*12)-12+(12-MONTH(N70))+MONTH(N71)-1+(EOMONTH(N70,0)-N70+1)/DAY(EOMONTH(N70,0))+(1-(EOMONTH(N71,0)-N71)/DAY(EOMONTH(N71,0))))</f>
        <v>3.2258064516129004E-2</v>
      </c>
      <c r="F78" s="96">
        <f>ROUND(IF(AND(N70&lt;&gt;"",N71&lt;&gt;""),IF(E78&lt;=1,1,E78),0),2)</f>
        <v>0</v>
      </c>
      <c r="G78" s="17"/>
      <c r="H78" s="204"/>
      <c r="I78" s="2"/>
      <c r="J78" s="17"/>
      <c r="K78" s="204"/>
      <c r="L78" s="2"/>
      <c r="M78" s="17"/>
      <c r="N78" s="204"/>
      <c r="O78" s="2"/>
      <c r="P78" s="17"/>
      <c r="Q78" s="204"/>
      <c r="R78" s="2"/>
      <c r="S78" s="17"/>
      <c r="T78" s="204"/>
      <c r="U78" s="2"/>
      <c r="V78" s="17"/>
      <c r="W78" s="204"/>
      <c r="X78" s="2"/>
      <c r="Y78" s="15"/>
    </row>
    <row r="79" spans="1:25" ht="21" hidden="1" customHeight="1" x14ac:dyDescent="0.2">
      <c r="B79" s="89" t="s">
        <v>196</v>
      </c>
      <c r="C79" s="87"/>
      <c r="D79" s="107"/>
      <c r="E79" s="96">
        <f>IF(MONTH(K70)=MONTH(K71),((YEAR(K71)-YEAR(K70))*12)-12+(12-MONTH(K70))+MONTH(K71)-1+(EOMONTH(K70,0)-K70+1)/DAY(EOMONTH(K70,0))+(1-(EOMONTH(K71,0)-K71)/DAY(EOMONTH(K71,0))),((YEAR(K71)-YEAR(K70))*12)-12+(12-MONTH(K70))+MONTH(K71)-1+(EOMONTH(K70,0)-K70+1)/DAY(EOMONTH(K70,0))+(1-(EOMONTH(K71,0)-K71)/DAY(EOMONTH(K71,0))))</f>
        <v>3.2258064516129004E-2</v>
      </c>
      <c r="F79" s="96">
        <f>ROUND(IF(AND(K70&lt;&gt;"",K71&lt;&gt;""),IF(E79&lt;=1,1,E79),0),2)</f>
        <v>0</v>
      </c>
      <c r="G79" s="103" t="s">
        <v>65</v>
      </c>
      <c r="H79" s="206"/>
      <c r="I79" s="2"/>
      <c r="J79" s="2"/>
      <c r="K79" s="206"/>
      <c r="L79" s="2"/>
      <c r="M79" s="2"/>
      <c r="N79" s="206"/>
      <c r="O79" s="2"/>
      <c r="P79" s="2"/>
      <c r="Q79" s="206"/>
      <c r="R79" s="2"/>
      <c r="S79" s="2"/>
      <c r="T79" s="206"/>
      <c r="U79" s="2"/>
      <c r="V79" s="2"/>
      <c r="W79" s="206"/>
      <c r="X79" s="2"/>
      <c r="Y79" s="15"/>
    </row>
    <row r="80" spans="1:25" ht="21" hidden="1" customHeight="1" x14ac:dyDescent="0.2">
      <c r="B80" s="89"/>
      <c r="C80" s="87"/>
      <c r="D80" s="17"/>
      <c r="E80" s="96" t="s">
        <v>199</v>
      </c>
      <c r="F80" s="96" t="s">
        <v>199</v>
      </c>
      <c r="G80" s="24"/>
      <c r="H80" s="27"/>
      <c r="I80" s="2"/>
      <c r="J80" s="24"/>
      <c r="K80" s="27"/>
      <c r="L80" s="2"/>
      <c r="M80" s="24"/>
      <c r="N80" s="27"/>
      <c r="O80" s="2"/>
      <c r="P80" s="24"/>
      <c r="Q80" s="27"/>
      <c r="R80" s="2"/>
      <c r="S80" s="24"/>
      <c r="T80" s="27"/>
      <c r="U80" s="2"/>
      <c r="V80" s="24"/>
      <c r="W80" s="27"/>
      <c r="X80" s="2"/>
      <c r="Y80" s="15"/>
    </row>
    <row r="81" spans="1:27" ht="21" hidden="1" customHeight="1" x14ac:dyDescent="0.2">
      <c r="B81" s="90"/>
      <c r="C81" s="88"/>
      <c r="D81" s="99" t="s">
        <v>209</v>
      </c>
      <c r="E81" s="96" t="s">
        <v>199</v>
      </c>
      <c r="F81" s="96" t="s">
        <v>199</v>
      </c>
      <c r="G81" s="80"/>
      <c r="H81" s="210">
        <f>IFERROR(SUM(H75:H79)-H74+H73,0)</f>
        <v>0</v>
      </c>
      <c r="I81" s="2"/>
      <c r="J81" s="80"/>
      <c r="K81" s="210">
        <f>IFERROR(SUM(K75:K79)-K74+K73,0)</f>
        <v>0</v>
      </c>
      <c r="L81" s="2"/>
      <c r="M81" s="80"/>
      <c r="N81" s="210">
        <f>IFERROR(SUM(N75:N79)-N74+N73,0)</f>
        <v>0</v>
      </c>
      <c r="O81" s="2"/>
      <c r="P81" s="80"/>
      <c r="Q81" s="210">
        <f>IFERROR(SUM(Q75:Q79)-Q74+Q73,0)</f>
        <v>0</v>
      </c>
      <c r="R81" s="2"/>
      <c r="S81" s="80"/>
      <c r="T81" s="210">
        <f>IFERROR(SUM(T75:T79)-T74+T73,0)</f>
        <v>0</v>
      </c>
      <c r="U81" s="2"/>
      <c r="V81" s="80"/>
      <c r="W81" s="210">
        <f>IFERROR(SUM(W75:W79)-W74+W73,0)</f>
        <v>0</v>
      </c>
      <c r="X81" s="2"/>
      <c r="Y81" s="15"/>
    </row>
    <row r="82" spans="1:27" ht="21" hidden="1" customHeight="1" x14ac:dyDescent="0.2">
      <c r="B82" s="90"/>
      <c r="C82" s="88"/>
      <c r="D82" s="93" t="s">
        <v>210</v>
      </c>
      <c r="E82" s="96">
        <f>IF(MONTH(H70)=MONTH(H71),((YEAR(H71)-YEAR(H70))*12)-12+(12-MONTH(H70))+MONTH(H71)-1+(EOMONTH(H70,0)-H70+1)/DAY(EOMONTH(H70,0))+(1-(EOMONTH(H71,0)-H71)/DAY(EOMONTH(H71,0))),((YEAR(H71)-YEAR(H70))*12)-12+(12-MONTH(H70))+MONTH(H71)-1+(EOMONTH(H70,0)-H70+1)/DAY(EOMONTH(H70,0))+(1-(EOMONTH(H71,0)-H71)/DAY(EOMONTH(H71,0))))</f>
        <v>3.2258064516129004E-2</v>
      </c>
      <c r="F82" s="96">
        <f>ROUND(IF(AND(H70&lt;&gt;"",H71&lt;&gt;""),IF(E82&lt;=1,1,E82),0),2)</f>
        <v>0</v>
      </c>
      <c r="G82" s="17"/>
      <c r="H82" s="210">
        <f>IFERROR(H81/F82,0)</f>
        <v>0</v>
      </c>
      <c r="I82" s="2"/>
      <c r="J82" s="17"/>
      <c r="K82" s="210">
        <f>IFERROR(K81/F79,0)</f>
        <v>0</v>
      </c>
      <c r="L82" s="2"/>
      <c r="M82" s="17"/>
      <c r="N82" s="210">
        <f>IFERROR(N81/F78,0)</f>
        <v>0</v>
      </c>
      <c r="O82" s="2"/>
      <c r="P82" s="17"/>
      <c r="Q82" s="210">
        <f>IFERROR(Q81/F77,0)</f>
        <v>0</v>
      </c>
      <c r="R82" s="2"/>
      <c r="S82" s="17"/>
      <c r="T82" s="210">
        <f>IFERROR(T81/F76,0)</f>
        <v>0</v>
      </c>
      <c r="U82" s="2"/>
      <c r="V82" s="17"/>
      <c r="W82" s="210">
        <f>IFERROR(W81/F75,0)</f>
        <v>0</v>
      </c>
      <c r="X82" s="2"/>
      <c r="Y82" s="15"/>
    </row>
    <row r="83" spans="1:27" ht="8.25" hidden="1" customHeight="1" thickBot="1" x14ac:dyDescent="0.25">
      <c r="B83" s="18"/>
      <c r="C83" s="19"/>
      <c r="D83" s="19"/>
      <c r="E83" s="19"/>
      <c r="F83" s="19"/>
      <c r="G83" s="19"/>
      <c r="H83" s="19"/>
      <c r="I83" s="19"/>
      <c r="J83" s="19"/>
      <c r="K83" s="19"/>
      <c r="L83" s="19"/>
      <c r="M83" s="19"/>
      <c r="N83" s="19"/>
      <c r="O83" s="19"/>
      <c r="P83" s="19"/>
      <c r="Q83" s="19"/>
      <c r="R83" s="19"/>
      <c r="S83" s="19"/>
      <c r="T83" s="19"/>
      <c r="U83" s="19"/>
      <c r="V83" s="19"/>
      <c r="W83" s="19"/>
      <c r="X83" s="19"/>
      <c r="Y83" s="20"/>
    </row>
    <row r="84" spans="1:27" x14ac:dyDescent="0.2">
      <c r="I84" s="21"/>
      <c r="J84" s="21"/>
      <c r="K84" s="21"/>
      <c r="L84" s="21"/>
      <c r="M84" s="21"/>
      <c r="N84" s="21"/>
      <c r="O84" s="21"/>
      <c r="P84" s="21"/>
      <c r="Q84" s="21"/>
      <c r="R84" s="21"/>
      <c r="S84" s="21"/>
      <c r="T84" s="21"/>
      <c r="U84" s="21"/>
      <c r="V84" s="21"/>
      <c r="W84" s="21"/>
      <c r="X84" s="21"/>
    </row>
    <row r="85" spans="1:27" s="2" customFormat="1" ht="31.25" customHeight="1" x14ac:dyDescent="0.2">
      <c r="B85" s="97" t="s">
        <v>15</v>
      </c>
      <c r="C85" s="98"/>
      <c r="D85" s="100"/>
      <c r="E85" s="100"/>
      <c r="F85" s="100"/>
      <c r="G85" s="100"/>
      <c r="H85" s="100"/>
      <c r="I85" s="100"/>
      <c r="J85" s="100"/>
      <c r="K85" s="100"/>
      <c r="L85" s="100"/>
      <c r="M85" s="100"/>
      <c r="N85" s="100"/>
      <c r="O85" s="100"/>
      <c r="P85" s="100"/>
      <c r="Q85" s="100"/>
      <c r="R85" s="100"/>
      <c r="S85" s="100"/>
      <c r="T85" s="100"/>
      <c r="U85" s="100"/>
      <c r="V85" s="100"/>
      <c r="W85" s="100"/>
      <c r="X85" s="100"/>
      <c r="Y85" s="100"/>
    </row>
    <row r="86" spans="1:27" s="2" customFormat="1" ht="22.5" customHeight="1" thickBot="1" x14ac:dyDescent="0.25">
      <c r="C86" s="35" t="s">
        <v>207</v>
      </c>
    </row>
    <row r="87" spans="1:27" ht="21" customHeight="1" thickBot="1" x14ac:dyDescent="0.25">
      <c r="A87" s="2"/>
      <c r="B87" s="7" t="s">
        <v>2</v>
      </c>
      <c r="C87" s="86" t="s">
        <v>201</v>
      </c>
      <c r="D87" s="32"/>
      <c r="E87" s="95"/>
      <c r="F87" s="95"/>
      <c r="G87" s="295" t="str">
        <f>IF(OR(SAM!E114=0,SAM!E114=""),"",SAM!E114)</f>
        <v/>
      </c>
      <c r="H87" s="295"/>
      <c r="I87" s="295"/>
      <c r="J87" s="295"/>
      <c r="K87" s="295"/>
      <c r="L87" s="295"/>
      <c r="M87" s="9"/>
      <c r="N87" s="9"/>
      <c r="O87" s="9"/>
      <c r="P87" s="9"/>
      <c r="Q87" s="9"/>
      <c r="R87" s="9"/>
      <c r="S87" s="9"/>
      <c r="T87" s="9"/>
      <c r="U87" s="9"/>
      <c r="V87" s="9"/>
      <c r="W87" s="9"/>
      <c r="X87" s="9"/>
      <c r="Y87" s="11"/>
    </row>
    <row r="88" spans="1:27" ht="6.75" hidden="1" customHeight="1" x14ac:dyDescent="0.2">
      <c r="B88" s="22"/>
      <c r="C88" s="21"/>
      <c r="D88" s="21"/>
      <c r="E88" s="21"/>
      <c r="F88" s="21"/>
      <c r="G88" s="21"/>
      <c r="H88" s="21"/>
      <c r="I88" s="21"/>
      <c r="J88" s="21"/>
      <c r="K88" s="21"/>
      <c r="L88" s="21"/>
      <c r="M88" s="21"/>
      <c r="N88" s="21"/>
      <c r="O88" s="21"/>
      <c r="P88" s="21"/>
      <c r="Q88" s="21"/>
      <c r="R88" s="21"/>
      <c r="S88" s="21"/>
      <c r="T88" s="21"/>
      <c r="U88" s="21"/>
      <c r="V88" s="21"/>
      <c r="W88" s="21"/>
      <c r="X88" s="21"/>
      <c r="Y88" s="23"/>
    </row>
    <row r="89" spans="1:27" ht="21" hidden="1" customHeight="1" x14ac:dyDescent="0.2">
      <c r="B89" s="14"/>
      <c r="D89" s="93" t="s">
        <v>230</v>
      </c>
      <c r="G89" s="104" t="s">
        <v>65</v>
      </c>
      <c r="H89" s="106"/>
      <c r="I89" s="104" t="s">
        <v>65</v>
      </c>
      <c r="J89" s="104" t="s">
        <v>65</v>
      </c>
      <c r="K89" s="106"/>
      <c r="L89" s="104" t="s">
        <v>65</v>
      </c>
      <c r="M89" s="104" t="s">
        <v>65</v>
      </c>
      <c r="N89" s="106"/>
      <c r="O89" s="104" t="s">
        <v>65</v>
      </c>
      <c r="P89" s="104" t="s">
        <v>65</v>
      </c>
      <c r="Q89" s="106"/>
      <c r="R89" s="104" t="s">
        <v>65</v>
      </c>
      <c r="S89" s="104" t="s">
        <v>65</v>
      </c>
      <c r="T89" s="106"/>
      <c r="U89" s="104" t="s">
        <v>65</v>
      </c>
      <c r="V89" s="104" t="s">
        <v>65</v>
      </c>
      <c r="W89" s="106"/>
      <c r="X89" s="104" t="s">
        <v>65</v>
      </c>
      <c r="Y89" s="15"/>
      <c r="AA89" s="2"/>
    </row>
    <row r="90" spans="1:27" ht="6.75" hidden="1" customHeight="1" x14ac:dyDescent="0.2">
      <c r="B90" s="14"/>
      <c r="H90" s="96"/>
      <c r="K90" s="96"/>
      <c r="N90" s="96"/>
      <c r="Q90" s="96"/>
      <c r="T90" s="96"/>
      <c r="W90" s="96"/>
      <c r="Y90" s="15"/>
      <c r="AA90" s="2"/>
    </row>
    <row r="91" spans="1:27" ht="21" hidden="1" customHeight="1" x14ac:dyDescent="0.2">
      <c r="B91" s="14"/>
      <c r="D91" s="93" t="s">
        <v>198</v>
      </c>
      <c r="E91" s="96" t="s">
        <v>199</v>
      </c>
      <c r="F91" s="96" t="s">
        <v>199</v>
      </c>
      <c r="G91" s="94"/>
      <c r="H91" s="91"/>
      <c r="J91" s="94"/>
      <c r="K91" s="91"/>
      <c r="M91" s="94"/>
      <c r="N91" s="91"/>
      <c r="P91" s="94"/>
      <c r="Q91" s="91"/>
      <c r="S91" s="94"/>
      <c r="T91" s="91"/>
      <c r="V91" s="94"/>
      <c r="W91" s="91"/>
      <c r="Y91" s="15"/>
      <c r="AA91" s="2"/>
    </row>
    <row r="92" spans="1:27" ht="21" hidden="1" customHeight="1" x14ac:dyDescent="0.2">
      <c r="B92" s="14"/>
      <c r="D92" s="93" t="s">
        <v>208</v>
      </c>
      <c r="E92" s="96" t="s">
        <v>199</v>
      </c>
      <c r="F92" s="96" t="s">
        <v>199</v>
      </c>
      <c r="G92" s="94"/>
      <c r="H92" s="92"/>
      <c r="J92" s="94"/>
      <c r="K92" s="92"/>
      <c r="M92" s="94"/>
      <c r="N92" s="92"/>
      <c r="P92" s="94"/>
      <c r="Q92" s="92"/>
      <c r="S92" s="94"/>
      <c r="T92" s="92"/>
      <c r="V92" s="94"/>
      <c r="W92" s="92"/>
      <c r="Y92" s="15"/>
      <c r="AA92" s="2"/>
    </row>
    <row r="93" spans="1:27" ht="6.75" hidden="1" customHeight="1" x14ac:dyDescent="0.2">
      <c r="B93" s="14"/>
      <c r="E93" s="96" t="s">
        <v>199</v>
      </c>
      <c r="F93" s="96" t="s">
        <v>199</v>
      </c>
      <c r="Y93" s="15"/>
      <c r="AA93" s="2"/>
    </row>
    <row r="94" spans="1:27" ht="21" hidden="1" customHeight="1" x14ac:dyDescent="0.2">
      <c r="B94" s="89" t="s">
        <v>202</v>
      </c>
      <c r="C94" s="87"/>
      <c r="D94" s="17"/>
      <c r="E94" s="96" t="s">
        <v>199</v>
      </c>
      <c r="F94" s="96" t="s">
        <v>199</v>
      </c>
      <c r="G94" s="17"/>
      <c r="H94" s="203"/>
      <c r="I94" s="2"/>
      <c r="J94" s="17"/>
      <c r="K94" s="203"/>
      <c r="L94" s="2"/>
      <c r="M94" s="17"/>
      <c r="N94" s="203"/>
      <c r="O94" s="2"/>
      <c r="P94" s="17"/>
      <c r="Q94" s="203"/>
      <c r="R94" s="2"/>
      <c r="S94" s="17"/>
      <c r="T94" s="203"/>
      <c r="U94" s="2"/>
      <c r="V94" s="17"/>
      <c r="W94" s="203"/>
      <c r="X94" s="2"/>
      <c r="Y94" s="15"/>
      <c r="AA94" s="2"/>
    </row>
    <row r="95" spans="1:27" ht="21" hidden="1" customHeight="1" x14ac:dyDescent="0.2">
      <c r="B95" s="89" t="s">
        <v>192</v>
      </c>
      <c r="C95" s="87"/>
      <c r="D95" s="17"/>
      <c r="E95" s="96" t="s">
        <v>199</v>
      </c>
      <c r="F95" s="96" t="s">
        <v>199</v>
      </c>
      <c r="G95" s="24" t="s">
        <v>9</v>
      </c>
      <c r="H95" s="209"/>
      <c r="I95" s="25" t="s">
        <v>10</v>
      </c>
      <c r="J95" s="24" t="s">
        <v>9</v>
      </c>
      <c r="K95" s="209"/>
      <c r="L95" s="25" t="s">
        <v>10</v>
      </c>
      <c r="M95" s="24" t="s">
        <v>9</v>
      </c>
      <c r="N95" s="209"/>
      <c r="O95" s="25" t="s">
        <v>10</v>
      </c>
      <c r="P95" s="24" t="s">
        <v>9</v>
      </c>
      <c r="Q95" s="209"/>
      <c r="R95" s="25" t="s">
        <v>10</v>
      </c>
      <c r="S95" s="24" t="s">
        <v>9</v>
      </c>
      <c r="T95" s="209"/>
      <c r="U95" s="25" t="s">
        <v>10</v>
      </c>
      <c r="V95" s="24" t="s">
        <v>9</v>
      </c>
      <c r="W95" s="209"/>
      <c r="X95" s="25" t="s">
        <v>10</v>
      </c>
      <c r="Y95" s="15"/>
      <c r="AA95" s="2"/>
    </row>
    <row r="96" spans="1:27" ht="21" hidden="1" customHeight="1" x14ac:dyDescent="0.2">
      <c r="B96" s="89" t="s">
        <v>193</v>
      </c>
      <c r="C96" s="87"/>
      <c r="D96" s="17"/>
      <c r="E96" s="96">
        <f>IF(MONTH(W91)=MONTH(W92),((YEAR(W92)-YEAR(W91))*12)-12+(12-MONTH(W91))+MONTH(W92)-1+(EOMONTH(W91,0)-W91+1)/DAY(EOMONTH(W91,0))+(1-(EOMONTH(W92,0)-W92)/DAY(EOMONTH(W92,0))),((YEAR(W92)-YEAR(W91))*12)-12+(12-MONTH(W91))+MONTH(W92)-1+(EOMONTH(W91,0)-W91+1)/DAY(EOMONTH(W91,0))+(1-(EOMONTH(W92,0)-W92)/DAY(EOMONTH(W92,0))))</f>
        <v>3.2258064516129004E-2</v>
      </c>
      <c r="F96" s="96">
        <f>ROUND(IF(AND(W91&lt;&gt;"",W92&lt;&gt;""),IF(E96&lt;=1,1,E96),0),2)</f>
        <v>0</v>
      </c>
      <c r="G96" s="17"/>
      <c r="H96" s="204"/>
      <c r="I96" s="2"/>
      <c r="J96" s="17"/>
      <c r="K96" s="204"/>
      <c r="L96" s="2"/>
      <c r="M96" s="17"/>
      <c r="N96" s="204"/>
      <c r="O96" s="2"/>
      <c r="P96" s="17"/>
      <c r="Q96" s="204"/>
      <c r="R96" s="2"/>
      <c r="S96" s="17"/>
      <c r="T96" s="204"/>
      <c r="U96" s="2"/>
      <c r="V96" s="17"/>
      <c r="W96" s="204"/>
      <c r="X96" s="2"/>
      <c r="Y96" s="15"/>
      <c r="AA96" s="2"/>
    </row>
    <row r="97" spans="2:27" ht="21" hidden="1" customHeight="1" x14ac:dyDescent="0.2">
      <c r="B97" s="89" t="s">
        <v>197</v>
      </c>
      <c r="C97" s="87"/>
      <c r="D97" s="17"/>
      <c r="E97" s="96">
        <f>IF(MONTH(T91)=MONTH(T92),((YEAR(T92)-YEAR(T91))*12)-12+(12-MONTH(T91))+MONTH(T92)-1+(EOMONTH(T91,0)-T91+1)/DAY(EOMONTH(T91,0))+(1-(EOMONTH(T92,0)-T92)/DAY(EOMONTH(T92,0))),((YEAR(T92)-YEAR(T91))*12)-12+(12-MONTH(T91))+MONTH(T92)-1+(EOMONTH(T91,0)-T91+1)/DAY(EOMONTH(T91,0))+(1-(EOMONTH(T92,0)-T92)/DAY(EOMONTH(T92,0))))</f>
        <v>3.2258064516129004E-2</v>
      </c>
      <c r="F97" s="96">
        <f>ROUND(IF(AND(T91&lt;&gt;"",T92&lt;&gt;""),IF(E97&lt;=1,1,E97),0),2)</f>
        <v>0</v>
      </c>
      <c r="G97" s="17"/>
      <c r="H97" s="204"/>
      <c r="I97" s="2"/>
      <c r="J97" s="17"/>
      <c r="K97" s="204"/>
      <c r="L97" s="2"/>
      <c r="M97" s="17"/>
      <c r="N97" s="204"/>
      <c r="O97" s="2"/>
      <c r="P97" s="17"/>
      <c r="Q97" s="204"/>
      <c r="R97" s="2"/>
      <c r="S97" s="17"/>
      <c r="T97" s="204"/>
      <c r="U97" s="2"/>
      <c r="V97" s="17"/>
      <c r="W97" s="204"/>
      <c r="X97" s="2"/>
      <c r="Y97" s="15"/>
      <c r="AA97" s="2"/>
    </row>
    <row r="98" spans="2:27" ht="21" hidden="1" customHeight="1" x14ac:dyDescent="0.2">
      <c r="B98" s="89" t="s">
        <v>194</v>
      </c>
      <c r="C98" s="87"/>
      <c r="D98" s="17"/>
      <c r="E98" s="105">
        <f>IF(MONTH(Q91)=MONTH(Q92),((YEAR(Q92)-YEAR(Q91))*12)-12+(12-MONTH(Q91))+MONTH(Q92)-1+(EOMONTH(Q91,0)-Q91+1)/DAY(EOMONTH(Q91,0))+(1-(EOMONTH(Q92,0)-Q92)/DAY(EOMONTH(Q92,0))),((YEAR(Q92)-YEAR(Q91))*12)-12+(12-MONTH(Q91))+MONTH(Q92)-1+(EOMONTH(Q91,0)-Q91+1)/DAY(EOMONTH(Q91,0))+(1-(EOMONTH(Q92,0)-Q92)/DAY(EOMONTH(Q92,0))))</f>
        <v>3.2258064516129004E-2</v>
      </c>
      <c r="F98" s="105">
        <f>ROUND(IF(AND(Q91&lt;&gt;"",Q92&lt;&gt;""),IF(E98&lt;=1,1,E98),0),2)</f>
        <v>0</v>
      </c>
      <c r="G98" s="17"/>
      <c r="H98" s="204"/>
      <c r="I98" s="2"/>
      <c r="J98" s="17"/>
      <c r="K98" s="204"/>
      <c r="L98" s="2"/>
      <c r="M98" s="17"/>
      <c r="N98" s="204"/>
      <c r="O98" s="2"/>
      <c r="P98" s="17"/>
      <c r="Q98" s="204"/>
      <c r="R98" s="2"/>
      <c r="S98" s="17"/>
      <c r="T98" s="204"/>
      <c r="U98" s="2"/>
      <c r="V98" s="17"/>
      <c r="W98" s="204"/>
      <c r="X98" s="2"/>
      <c r="Y98" s="15"/>
      <c r="AA98" s="2"/>
    </row>
    <row r="99" spans="2:27" ht="21" hidden="1" customHeight="1" x14ac:dyDescent="0.2">
      <c r="B99" s="89" t="s">
        <v>195</v>
      </c>
      <c r="C99" s="87"/>
      <c r="D99" s="17"/>
      <c r="E99" s="96">
        <f>IF(MONTH(N91)=MONTH(N92),((YEAR(N92)-YEAR(N91))*12)-12+(12-MONTH(N91))+MONTH(N92)-1+(EOMONTH(N91,0)-N91+1)/DAY(EOMONTH(N91,0))+(1-(EOMONTH(N92,0)-N92)/DAY(EOMONTH(N92,0))),((YEAR(N92)-YEAR(N91))*12)-12+(12-MONTH(N91))+MONTH(N92)-1+(EOMONTH(N91,0)-N91+1)/DAY(EOMONTH(N91,0))+(1-(EOMONTH(N92,0)-N92)/DAY(EOMONTH(N92,0))))</f>
        <v>3.2258064516129004E-2</v>
      </c>
      <c r="F99" s="96">
        <f>ROUND(IF(AND(N91&lt;&gt;"",N92&lt;&gt;""),IF(E99&lt;=1,1,E99),0),2)</f>
        <v>0</v>
      </c>
      <c r="G99" s="17"/>
      <c r="H99" s="204"/>
      <c r="I99" s="2"/>
      <c r="J99" s="17"/>
      <c r="K99" s="204"/>
      <c r="L99" s="2"/>
      <c r="M99" s="17"/>
      <c r="N99" s="204"/>
      <c r="O99" s="2"/>
      <c r="P99" s="17"/>
      <c r="Q99" s="204"/>
      <c r="R99" s="2"/>
      <c r="S99" s="17"/>
      <c r="T99" s="204"/>
      <c r="U99" s="2"/>
      <c r="V99" s="17"/>
      <c r="W99" s="204"/>
      <c r="X99" s="2"/>
      <c r="Y99" s="15"/>
      <c r="AA99" s="2"/>
    </row>
    <row r="100" spans="2:27" ht="21" hidden="1" customHeight="1" x14ac:dyDescent="0.2">
      <c r="B100" s="89" t="s">
        <v>196</v>
      </c>
      <c r="C100" s="87"/>
      <c r="D100" s="107"/>
      <c r="E100" s="96">
        <f>IF(MONTH(K91)=MONTH(K92),((YEAR(K92)-YEAR(K91))*12)-12+(12-MONTH(K91))+MONTH(K92)-1+(EOMONTH(K91,0)-K91+1)/DAY(EOMONTH(K91,0))+(1-(EOMONTH(K92,0)-K92)/DAY(EOMONTH(K92,0))),((YEAR(K92)-YEAR(K91))*12)-12+(12-MONTH(K91))+MONTH(K92)-1+(EOMONTH(K91,0)-K91+1)/DAY(EOMONTH(K91,0))+(1-(EOMONTH(K92,0)-K92)/DAY(EOMONTH(K92,0))))</f>
        <v>3.2258064516129004E-2</v>
      </c>
      <c r="F100" s="96">
        <f>ROUND(IF(AND(K91&lt;&gt;"",K92&lt;&gt;""),IF(E100&lt;=1,1,E100),0),2)</f>
        <v>0</v>
      </c>
      <c r="G100" s="103" t="s">
        <v>65</v>
      </c>
      <c r="H100" s="206"/>
      <c r="I100" s="2"/>
      <c r="J100" s="2"/>
      <c r="K100" s="206"/>
      <c r="L100" s="2"/>
      <c r="M100" s="2"/>
      <c r="N100" s="206"/>
      <c r="O100" s="2"/>
      <c r="P100" s="2"/>
      <c r="Q100" s="206"/>
      <c r="R100" s="2"/>
      <c r="S100" s="2"/>
      <c r="T100" s="206"/>
      <c r="U100" s="2"/>
      <c r="V100" s="2"/>
      <c r="W100" s="206"/>
      <c r="X100" s="2"/>
      <c r="Y100" s="15"/>
      <c r="AA100" s="2"/>
    </row>
    <row r="101" spans="2:27" ht="13.25" hidden="1" customHeight="1" x14ac:dyDescent="0.2">
      <c r="B101" s="89"/>
      <c r="C101" s="87"/>
      <c r="D101" s="17"/>
      <c r="E101" s="96" t="s">
        <v>199</v>
      </c>
      <c r="F101" s="96" t="s">
        <v>199</v>
      </c>
      <c r="G101" s="24"/>
      <c r="H101" s="27"/>
      <c r="I101" s="2"/>
      <c r="J101" s="24"/>
      <c r="K101" s="27"/>
      <c r="L101" s="2"/>
      <c r="M101" s="24"/>
      <c r="N101" s="27"/>
      <c r="O101" s="2"/>
      <c r="P101" s="24"/>
      <c r="Q101" s="27"/>
      <c r="R101" s="2"/>
      <c r="S101" s="24"/>
      <c r="T101" s="27"/>
      <c r="U101" s="2"/>
      <c r="V101" s="24"/>
      <c r="W101" s="27"/>
      <c r="X101" s="2"/>
      <c r="Y101" s="15"/>
      <c r="AA101" s="2"/>
    </row>
    <row r="102" spans="2:27" ht="21" hidden="1" customHeight="1" x14ac:dyDescent="0.2">
      <c r="B102" s="89" t="s">
        <v>3</v>
      </c>
      <c r="C102" s="87"/>
      <c r="D102" s="17"/>
      <c r="E102" s="96"/>
      <c r="F102" s="96"/>
      <c r="G102" s="24"/>
      <c r="H102" s="222">
        <f>IFERROR(SUM(H96:H100)-H95+H94,0)</f>
        <v>0</v>
      </c>
      <c r="I102" s="2"/>
      <c r="J102" s="24"/>
      <c r="K102" s="222">
        <f>IFERROR(SUM(K96:K100)-K95+K94,0)</f>
        <v>0</v>
      </c>
      <c r="L102" s="2"/>
      <c r="M102" s="24"/>
      <c r="N102" s="222">
        <f>IFERROR(SUM(N96:N100)-N95+N94,0)</f>
        <v>0</v>
      </c>
      <c r="O102" s="2"/>
      <c r="P102" s="24"/>
      <c r="Q102" s="222">
        <f>IFERROR(SUM(Q96:Q100)-Q95+Q94,0)</f>
        <v>0</v>
      </c>
      <c r="R102" s="2"/>
      <c r="S102" s="24"/>
      <c r="T102" s="222">
        <f>IFERROR(SUM(T96:T100)-T95+T94,0)</f>
        <v>0</v>
      </c>
      <c r="U102" s="2"/>
      <c r="V102" s="24"/>
      <c r="W102" s="222">
        <f>IFERROR(SUM(W96:W100)-W95+W94,0)</f>
        <v>0</v>
      </c>
      <c r="X102" s="2"/>
      <c r="Y102" s="15"/>
      <c r="AA102" s="2"/>
    </row>
    <row r="103" spans="2:27" ht="21" hidden="1" customHeight="1" x14ac:dyDescent="0.2">
      <c r="B103" s="89" t="s">
        <v>213</v>
      </c>
      <c r="C103" s="87"/>
      <c r="D103" s="17"/>
      <c r="E103" s="96"/>
      <c r="F103" s="96"/>
      <c r="G103" s="24"/>
      <c r="H103" s="54"/>
      <c r="I103" s="2"/>
      <c r="J103" s="24"/>
      <c r="K103" s="54"/>
      <c r="L103" s="2"/>
      <c r="M103" s="24"/>
      <c r="N103" s="54"/>
      <c r="O103" s="2"/>
      <c r="P103" s="24"/>
      <c r="Q103" s="54"/>
      <c r="R103" s="2"/>
      <c r="S103" s="24"/>
      <c r="T103" s="54"/>
      <c r="U103" s="2"/>
      <c r="V103" s="24"/>
      <c r="W103" s="54"/>
      <c r="X103" s="2"/>
      <c r="Y103" s="15"/>
      <c r="AA103" s="2"/>
    </row>
    <row r="104" spans="2:27" ht="21" hidden="1" customHeight="1" x14ac:dyDescent="0.2">
      <c r="B104" s="89" t="s">
        <v>203</v>
      </c>
      <c r="C104" s="87"/>
      <c r="D104" s="17"/>
      <c r="E104" s="96"/>
      <c r="F104" s="96"/>
      <c r="G104" s="24"/>
      <c r="H104" s="210">
        <f>ROUND(IFERROR(H102*H103,0),2)</f>
        <v>0</v>
      </c>
      <c r="I104" s="2"/>
      <c r="J104" s="24"/>
      <c r="K104" s="210">
        <f>ROUND(IFERROR(K102*K103,0),2)</f>
        <v>0</v>
      </c>
      <c r="L104" s="2"/>
      <c r="M104" s="24"/>
      <c r="N104" s="210">
        <f>ROUND(IFERROR(N102*N103,0),2)</f>
        <v>0</v>
      </c>
      <c r="O104" s="2"/>
      <c r="P104" s="24"/>
      <c r="Q104" s="210">
        <f>ROUND(IFERROR(Q102*Q103,0),2)</f>
        <v>0</v>
      </c>
      <c r="R104" s="2"/>
      <c r="S104" s="24"/>
      <c r="T104" s="210">
        <f>ROUND(IFERROR(T102*T103,0),2)</f>
        <v>0</v>
      </c>
      <c r="U104" s="2"/>
      <c r="V104" s="24"/>
      <c r="W104" s="210">
        <f>ROUND(IFERROR(W102*W103,0),2)</f>
        <v>0</v>
      </c>
      <c r="X104" s="2"/>
      <c r="Y104" s="15"/>
      <c r="AA104" s="2"/>
    </row>
    <row r="105" spans="2:27" ht="10.25" hidden="1" customHeight="1" x14ac:dyDescent="0.2">
      <c r="B105" s="89"/>
      <c r="C105" s="87"/>
      <c r="D105" s="17"/>
      <c r="E105" s="96"/>
      <c r="F105" s="96"/>
      <c r="G105" s="24"/>
      <c r="H105" s="27"/>
      <c r="I105" s="2"/>
      <c r="J105" s="24"/>
      <c r="K105" s="27"/>
      <c r="L105" s="2"/>
      <c r="M105" s="24"/>
      <c r="N105" s="27"/>
      <c r="O105" s="2"/>
      <c r="P105" s="24"/>
      <c r="Q105" s="27"/>
      <c r="R105" s="2"/>
      <c r="S105" s="24"/>
      <c r="T105" s="27"/>
      <c r="U105" s="2"/>
      <c r="V105" s="24"/>
      <c r="W105" s="27"/>
      <c r="X105" s="2"/>
      <c r="Y105" s="15"/>
      <c r="AA105" s="2"/>
    </row>
    <row r="106" spans="2:27" ht="21" hidden="1" customHeight="1" x14ac:dyDescent="0.2">
      <c r="B106" s="89" t="s">
        <v>204</v>
      </c>
      <c r="C106" s="87"/>
      <c r="D106" s="17"/>
      <c r="E106" s="96"/>
      <c r="F106" s="96"/>
      <c r="G106" s="24"/>
      <c r="H106" s="203"/>
      <c r="I106" s="2"/>
      <c r="J106" s="24"/>
      <c r="K106" s="203"/>
      <c r="L106" s="2"/>
      <c r="M106" s="24"/>
      <c r="N106" s="203"/>
      <c r="O106" s="2"/>
      <c r="P106" s="24"/>
      <c r="Q106" s="203"/>
      <c r="R106" s="2"/>
      <c r="S106" s="24"/>
      <c r="T106" s="203"/>
      <c r="U106" s="2"/>
      <c r="V106" s="24"/>
      <c r="W106" s="203"/>
      <c r="X106" s="2"/>
      <c r="Y106" s="15"/>
      <c r="AA106" s="2"/>
    </row>
    <row r="107" spans="2:27" ht="21" hidden="1" customHeight="1" x14ac:dyDescent="0.2">
      <c r="B107" s="89" t="s">
        <v>205</v>
      </c>
      <c r="C107" s="87"/>
      <c r="D107" s="17"/>
      <c r="E107" s="96"/>
      <c r="F107" s="96"/>
      <c r="G107" s="24"/>
      <c r="H107" s="206"/>
      <c r="I107" s="2"/>
      <c r="J107" s="24"/>
      <c r="K107" s="206"/>
      <c r="L107" s="2"/>
      <c r="M107" s="24"/>
      <c r="N107" s="206"/>
      <c r="O107" s="2"/>
      <c r="P107" s="24"/>
      <c r="Q107" s="206"/>
      <c r="R107" s="2"/>
      <c r="S107" s="24"/>
      <c r="T107" s="206"/>
      <c r="U107" s="2"/>
      <c r="V107" s="24"/>
      <c r="W107" s="206"/>
      <c r="X107" s="2"/>
      <c r="Y107" s="15"/>
      <c r="AA107" s="2"/>
    </row>
    <row r="108" spans="2:27" ht="6.5" hidden="1" customHeight="1" x14ac:dyDescent="0.2">
      <c r="B108" s="89"/>
      <c r="C108" s="87"/>
      <c r="D108" s="17"/>
      <c r="E108" s="96"/>
      <c r="F108" s="96"/>
      <c r="G108" s="24"/>
      <c r="H108" s="27"/>
      <c r="I108" s="2"/>
      <c r="J108" s="24"/>
      <c r="K108" s="27"/>
      <c r="L108" s="2"/>
      <c r="M108" s="24"/>
      <c r="N108" s="27"/>
      <c r="O108" s="2"/>
      <c r="P108" s="24"/>
      <c r="Q108" s="27"/>
      <c r="R108" s="2"/>
      <c r="S108" s="24"/>
      <c r="T108" s="27"/>
      <c r="U108" s="2"/>
      <c r="V108" s="24"/>
      <c r="W108" s="27"/>
      <c r="X108" s="2"/>
      <c r="Y108" s="15"/>
    </row>
    <row r="109" spans="2:27" ht="21" hidden="1" customHeight="1" x14ac:dyDescent="0.2">
      <c r="B109" s="90"/>
      <c r="C109" s="88"/>
      <c r="D109" s="99" t="s">
        <v>209</v>
      </c>
      <c r="E109" s="96" t="s">
        <v>199</v>
      </c>
      <c r="F109" s="96" t="s">
        <v>199</v>
      </c>
      <c r="G109" s="80"/>
      <c r="H109" s="210">
        <f>IFERROR(H104+H106+H107,0)</f>
        <v>0</v>
      </c>
      <c r="I109" s="2"/>
      <c r="J109" s="80"/>
      <c r="K109" s="210">
        <f>IFERROR(K104+K106+K107,0)</f>
        <v>0</v>
      </c>
      <c r="L109" s="2"/>
      <c r="M109" s="80"/>
      <c r="N109" s="210">
        <f>IFERROR(N104+N106+N107,0)</f>
        <v>0</v>
      </c>
      <c r="O109" s="2"/>
      <c r="P109" s="80"/>
      <c r="Q109" s="210">
        <f>IFERROR(Q104+Q106+Q107,0)</f>
        <v>0</v>
      </c>
      <c r="R109" s="2"/>
      <c r="S109" s="80"/>
      <c r="T109" s="210">
        <f>IFERROR(T104+T106+T107,0)</f>
        <v>0</v>
      </c>
      <c r="U109" s="2"/>
      <c r="V109" s="80"/>
      <c r="W109" s="210">
        <f>IFERROR(W104+W106+W107,0)</f>
        <v>0</v>
      </c>
      <c r="X109" s="2"/>
      <c r="Y109" s="15"/>
    </row>
    <row r="110" spans="2:27" ht="21" hidden="1" customHeight="1" x14ac:dyDescent="0.2">
      <c r="B110" s="90"/>
      <c r="C110" s="88"/>
      <c r="D110" s="93" t="s">
        <v>210</v>
      </c>
      <c r="E110" s="96">
        <f>IF(MONTH(H91)=MONTH(H92),((YEAR(H92)-YEAR(H91))*12)-12+(12-MONTH(H91))+MONTH(H92)-1+(EOMONTH(H91,0)-H91+1)/DAY(EOMONTH(H91,0))+(1-(EOMONTH(H92,0)-H92)/DAY(EOMONTH(H92,0))),((YEAR(H92)-YEAR(H91))*12)-12+(12-MONTH(H91))+MONTH(H92)-1+(EOMONTH(H91,0)-H91+1)/DAY(EOMONTH(H91,0))+(1-(EOMONTH(H92,0)-H92)/DAY(EOMONTH(H92,0))))</f>
        <v>3.2258064516129004E-2</v>
      </c>
      <c r="F110" s="96">
        <f>ROUND(IF(AND(H91&lt;&gt;"",H92&lt;&gt;""),IF(E110&lt;=1,1,E110),0),2)</f>
        <v>0</v>
      </c>
      <c r="G110" s="17"/>
      <c r="H110" s="210">
        <f>ROUND(IFERROR(H109/F110,0),2)</f>
        <v>0</v>
      </c>
      <c r="I110" s="2"/>
      <c r="J110" s="17"/>
      <c r="K110" s="210">
        <f>ROUND(IFERROR(K109/F100,0),2)</f>
        <v>0</v>
      </c>
      <c r="L110" s="2"/>
      <c r="M110" s="17"/>
      <c r="N110" s="210">
        <f>ROUND(IFERROR(N109/F99,0),2)</f>
        <v>0</v>
      </c>
      <c r="O110" s="2"/>
      <c r="P110" s="17"/>
      <c r="Q110" s="210">
        <f>ROUND(IFERROR(Q109/F98,0),2)</f>
        <v>0</v>
      </c>
      <c r="R110" s="2"/>
      <c r="S110" s="17"/>
      <c r="T110" s="210">
        <f>ROUND(IFERROR(T109/F97,0),2)</f>
        <v>0</v>
      </c>
      <c r="U110" s="2"/>
      <c r="V110" s="17"/>
      <c r="W110" s="210">
        <f>ROUND(IFERROR(W109/F96,0),2)</f>
        <v>0</v>
      </c>
      <c r="X110" s="2"/>
      <c r="Y110" s="15"/>
    </row>
    <row r="111" spans="2:27" ht="8.25" hidden="1" customHeight="1" thickBot="1" x14ac:dyDescent="0.25">
      <c r="B111" s="18"/>
      <c r="C111" s="19"/>
      <c r="D111" s="19"/>
      <c r="E111" s="19"/>
      <c r="F111" s="19"/>
      <c r="G111" s="19"/>
      <c r="H111" s="19"/>
      <c r="I111" s="19"/>
      <c r="J111" s="19"/>
      <c r="K111" s="19"/>
      <c r="L111" s="19"/>
      <c r="M111" s="19"/>
      <c r="N111" s="19"/>
      <c r="O111" s="19"/>
      <c r="P111" s="19"/>
      <c r="Q111" s="19"/>
      <c r="R111" s="19"/>
      <c r="S111" s="19"/>
      <c r="T111" s="19"/>
      <c r="U111" s="19"/>
      <c r="V111" s="19"/>
      <c r="W111" s="19"/>
      <c r="X111" s="19"/>
      <c r="Y111" s="20"/>
    </row>
    <row r="112" spans="2:27" ht="14" customHeight="1" thickBot="1" x14ac:dyDescent="0.25">
      <c r="B112" s="3"/>
      <c r="E112" s="31"/>
      <c r="F112" s="31"/>
      <c r="I112" s="21"/>
      <c r="J112" s="21"/>
      <c r="K112" s="21"/>
      <c r="L112" s="21"/>
      <c r="M112" s="21"/>
      <c r="N112" s="21"/>
      <c r="O112" s="21"/>
      <c r="P112" s="21"/>
      <c r="Q112" s="21"/>
      <c r="R112" s="21"/>
      <c r="S112" s="21"/>
      <c r="T112" s="21"/>
      <c r="U112" s="21"/>
      <c r="V112" s="21"/>
      <c r="W112" s="21"/>
      <c r="X112" s="21"/>
    </row>
    <row r="113" spans="1:27" ht="21" customHeight="1" thickBot="1" x14ac:dyDescent="0.25">
      <c r="A113" s="2"/>
      <c r="B113" s="7" t="s">
        <v>2</v>
      </c>
      <c r="C113" s="86" t="s">
        <v>201</v>
      </c>
      <c r="D113" s="32"/>
      <c r="E113" s="95"/>
      <c r="F113" s="95"/>
      <c r="G113" s="295" t="str">
        <f>IF(OR(SAM!E146=0,SAM!E146=""),"",SAM!E146)</f>
        <v/>
      </c>
      <c r="H113" s="295"/>
      <c r="I113" s="295"/>
      <c r="J113" s="295"/>
      <c r="K113" s="295"/>
      <c r="L113" s="295"/>
      <c r="M113" s="9"/>
      <c r="N113" s="9"/>
      <c r="O113" s="9"/>
      <c r="P113" s="9"/>
      <c r="Q113" s="9"/>
      <c r="R113" s="9"/>
      <c r="S113" s="9"/>
      <c r="T113" s="9"/>
      <c r="U113" s="9"/>
      <c r="V113" s="9"/>
      <c r="W113" s="9"/>
      <c r="X113" s="9"/>
      <c r="Y113" s="11"/>
    </row>
    <row r="114" spans="1:27" ht="6.75" hidden="1" customHeight="1" x14ac:dyDescent="0.2">
      <c r="B114" s="22"/>
      <c r="C114" s="21"/>
      <c r="D114" s="21"/>
      <c r="E114" s="21"/>
      <c r="F114" s="21"/>
      <c r="G114" s="21"/>
      <c r="H114" s="21"/>
      <c r="I114" s="21"/>
      <c r="J114" s="21"/>
      <c r="K114" s="21"/>
      <c r="L114" s="21"/>
      <c r="M114" s="21"/>
      <c r="N114" s="21"/>
      <c r="O114" s="21"/>
      <c r="P114" s="21"/>
      <c r="Q114" s="21"/>
      <c r="R114" s="21"/>
      <c r="S114" s="21"/>
      <c r="T114" s="21"/>
      <c r="U114" s="21"/>
      <c r="V114" s="21"/>
      <c r="W114" s="21"/>
      <c r="X114" s="21"/>
      <c r="Y114" s="23"/>
    </row>
    <row r="115" spans="1:27" ht="21" hidden="1" customHeight="1" x14ac:dyDescent="0.2">
      <c r="B115" s="14"/>
      <c r="D115" s="93" t="s">
        <v>230</v>
      </c>
      <c r="G115" s="104" t="s">
        <v>65</v>
      </c>
      <c r="H115" s="106"/>
      <c r="I115" s="104" t="s">
        <v>65</v>
      </c>
      <c r="J115" s="104" t="s">
        <v>65</v>
      </c>
      <c r="K115" s="106"/>
      <c r="L115" s="104" t="s">
        <v>65</v>
      </c>
      <c r="M115" s="104" t="s">
        <v>65</v>
      </c>
      <c r="N115" s="106"/>
      <c r="O115" s="104" t="s">
        <v>65</v>
      </c>
      <c r="P115" s="104" t="s">
        <v>65</v>
      </c>
      <c r="Q115" s="106"/>
      <c r="R115" s="104" t="s">
        <v>65</v>
      </c>
      <c r="S115" s="104" t="s">
        <v>65</v>
      </c>
      <c r="T115" s="106"/>
      <c r="U115" s="104" t="s">
        <v>65</v>
      </c>
      <c r="V115" s="104" t="s">
        <v>65</v>
      </c>
      <c r="W115" s="106"/>
      <c r="X115" s="104" t="s">
        <v>65</v>
      </c>
      <c r="Y115" s="15"/>
      <c r="AA115" s="2"/>
    </row>
    <row r="116" spans="1:27" ht="6.75" hidden="1" customHeight="1" x14ac:dyDescent="0.2">
      <c r="B116" s="14"/>
      <c r="H116" s="96"/>
      <c r="K116" s="96"/>
      <c r="N116" s="96"/>
      <c r="Q116" s="96"/>
      <c r="T116" s="96"/>
      <c r="W116" s="96"/>
      <c r="Y116" s="15"/>
      <c r="AA116" s="2"/>
    </row>
    <row r="117" spans="1:27" ht="21" hidden="1" customHeight="1" x14ac:dyDescent="0.2">
      <c r="B117" s="14"/>
      <c r="D117" s="93" t="s">
        <v>198</v>
      </c>
      <c r="E117" s="96" t="s">
        <v>199</v>
      </c>
      <c r="F117" s="96" t="s">
        <v>199</v>
      </c>
      <c r="G117" s="94"/>
      <c r="H117" s="91"/>
      <c r="J117" s="94"/>
      <c r="K117" s="91"/>
      <c r="M117" s="94"/>
      <c r="N117" s="91"/>
      <c r="P117" s="94"/>
      <c r="Q117" s="91"/>
      <c r="S117" s="94"/>
      <c r="T117" s="91"/>
      <c r="V117" s="94"/>
      <c r="W117" s="91"/>
      <c r="Y117" s="15"/>
      <c r="AA117" s="2"/>
    </row>
    <row r="118" spans="1:27" ht="21" hidden="1" customHeight="1" x14ac:dyDescent="0.2">
      <c r="B118" s="14"/>
      <c r="D118" s="93" t="s">
        <v>208</v>
      </c>
      <c r="E118" s="96" t="s">
        <v>199</v>
      </c>
      <c r="F118" s="96" t="s">
        <v>199</v>
      </c>
      <c r="G118" s="94"/>
      <c r="H118" s="92"/>
      <c r="J118" s="94"/>
      <c r="K118" s="92"/>
      <c r="M118" s="94"/>
      <c r="N118" s="92"/>
      <c r="P118" s="94"/>
      <c r="Q118" s="92"/>
      <c r="S118" s="94"/>
      <c r="T118" s="92"/>
      <c r="V118" s="94"/>
      <c r="W118" s="92"/>
      <c r="Y118" s="15"/>
      <c r="AA118" s="2"/>
    </row>
    <row r="119" spans="1:27" ht="6.75" hidden="1" customHeight="1" x14ac:dyDescent="0.2">
      <c r="B119" s="14"/>
      <c r="E119" s="96" t="s">
        <v>199</v>
      </c>
      <c r="F119" s="96" t="s">
        <v>199</v>
      </c>
      <c r="Y119" s="15"/>
      <c r="AA119" s="2"/>
    </row>
    <row r="120" spans="1:27" ht="21" hidden="1" customHeight="1" x14ac:dyDescent="0.2">
      <c r="B120" s="89" t="s">
        <v>202</v>
      </c>
      <c r="C120" s="87"/>
      <c r="D120" s="17"/>
      <c r="E120" s="96" t="s">
        <v>199</v>
      </c>
      <c r="F120" s="96" t="s">
        <v>199</v>
      </c>
      <c r="G120" s="17"/>
      <c r="H120" s="203"/>
      <c r="I120" s="2"/>
      <c r="J120" s="17"/>
      <c r="K120" s="203"/>
      <c r="L120" s="2"/>
      <c r="M120" s="17"/>
      <c r="N120" s="203"/>
      <c r="O120" s="2"/>
      <c r="P120" s="17"/>
      <c r="Q120" s="203"/>
      <c r="R120" s="2"/>
      <c r="S120" s="17"/>
      <c r="T120" s="203"/>
      <c r="U120" s="2"/>
      <c r="V120" s="17"/>
      <c r="W120" s="203"/>
      <c r="X120" s="2"/>
      <c r="Y120" s="15"/>
      <c r="AA120" s="2"/>
    </row>
    <row r="121" spans="1:27" ht="21" hidden="1" customHeight="1" x14ac:dyDescent="0.2">
      <c r="B121" s="89" t="s">
        <v>192</v>
      </c>
      <c r="C121" s="87"/>
      <c r="D121" s="17"/>
      <c r="E121" s="96" t="s">
        <v>199</v>
      </c>
      <c r="F121" s="96" t="s">
        <v>199</v>
      </c>
      <c r="G121" s="24" t="s">
        <v>9</v>
      </c>
      <c r="H121" s="209"/>
      <c r="I121" s="25" t="s">
        <v>10</v>
      </c>
      <c r="J121" s="24" t="s">
        <v>9</v>
      </c>
      <c r="K121" s="209"/>
      <c r="L121" s="25" t="s">
        <v>10</v>
      </c>
      <c r="M121" s="24" t="s">
        <v>9</v>
      </c>
      <c r="N121" s="209"/>
      <c r="O121" s="25" t="s">
        <v>10</v>
      </c>
      <c r="P121" s="24" t="s">
        <v>9</v>
      </c>
      <c r="Q121" s="209"/>
      <c r="R121" s="25" t="s">
        <v>10</v>
      </c>
      <c r="S121" s="24" t="s">
        <v>9</v>
      </c>
      <c r="T121" s="209"/>
      <c r="U121" s="25" t="s">
        <v>10</v>
      </c>
      <c r="V121" s="24" t="s">
        <v>9</v>
      </c>
      <c r="W121" s="209"/>
      <c r="X121" s="25" t="s">
        <v>10</v>
      </c>
      <c r="Y121" s="15"/>
      <c r="AA121" s="2"/>
    </row>
    <row r="122" spans="1:27" ht="21" hidden="1" customHeight="1" x14ac:dyDescent="0.2">
      <c r="B122" s="89" t="s">
        <v>193</v>
      </c>
      <c r="C122" s="87"/>
      <c r="D122" s="17"/>
      <c r="E122" s="96">
        <f>IF(MONTH(W117)=MONTH(W118),((YEAR(W118)-YEAR(W117))*12)-12+(12-MONTH(W117))+MONTH(W118)-1+(EOMONTH(W117,0)-W117+1)/DAY(EOMONTH(W117,0))+(1-(EOMONTH(W118,0)-W118)/DAY(EOMONTH(W118,0))),((YEAR(W118)-YEAR(W117))*12)-12+(12-MONTH(W117))+MONTH(W118)-1+(EOMONTH(W117,0)-W117+1)/DAY(EOMONTH(W117,0))+(1-(EOMONTH(W118,0)-W118)/DAY(EOMONTH(W118,0))))</f>
        <v>3.2258064516129004E-2</v>
      </c>
      <c r="F122" s="96">
        <f>ROUND(IF(AND(W117&lt;&gt;"",W118&lt;&gt;""),IF(E122&lt;=1,1,E122),0),2)</f>
        <v>0</v>
      </c>
      <c r="G122" s="17"/>
      <c r="H122" s="204"/>
      <c r="I122" s="2"/>
      <c r="J122" s="17"/>
      <c r="K122" s="204"/>
      <c r="L122" s="2"/>
      <c r="M122" s="17"/>
      <c r="N122" s="204"/>
      <c r="O122" s="2"/>
      <c r="P122" s="17"/>
      <c r="Q122" s="204"/>
      <c r="R122" s="2"/>
      <c r="S122" s="17"/>
      <c r="T122" s="204"/>
      <c r="U122" s="2"/>
      <c r="V122" s="17"/>
      <c r="W122" s="204"/>
      <c r="X122" s="2"/>
      <c r="Y122" s="15"/>
      <c r="AA122" s="2"/>
    </row>
    <row r="123" spans="1:27" ht="21" hidden="1" customHeight="1" x14ac:dyDescent="0.2">
      <c r="B123" s="89" t="s">
        <v>197</v>
      </c>
      <c r="C123" s="87"/>
      <c r="D123" s="17"/>
      <c r="E123" s="96">
        <f>IF(MONTH(T117)=MONTH(T118),((YEAR(T118)-YEAR(T117))*12)-12+(12-MONTH(T117))+MONTH(T118)-1+(EOMONTH(T117,0)-T117+1)/DAY(EOMONTH(T117,0))+(1-(EOMONTH(T118,0)-T118)/DAY(EOMONTH(T118,0))),((YEAR(T118)-YEAR(T117))*12)-12+(12-MONTH(T117))+MONTH(T118)-1+(EOMONTH(T117,0)-T117+1)/DAY(EOMONTH(T117,0))+(1-(EOMONTH(T118,0)-T118)/DAY(EOMONTH(T118,0))))</f>
        <v>3.2258064516129004E-2</v>
      </c>
      <c r="F123" s="96">
        <f>ROUND(IF(AND(T117&lt;&gt;"",T118&lt;&gt;""),IF(E123&lt;=1,1,E123),0),2)</f>
        <v>0</v>
      </c>
      <c r="G123" s="17"/>
      <c r="H123" s="204"/>
      <c r="I123" s="2"/>
      <c r="J123" s="17"/>
      <c r="K123" s="204"/>
      <c r="L123" s="2"/>
      <c r="M123" s="17"/>
      <c r="N123" s="204"/>
      <c r="O123" s="2"/>
      <c r="P123" s="17"/>
      <c r="Q123" s="204"/>
      <c r="R123" s="2"/>
      <c r="S123" s="17"/>
      <c r="T123" s="204"/>
      <c r="U123" s="2"/>
      <c r="V123" s="17"/>
      <c r="W123" s="204"/>
      <c r="X123" s="2"/>
      <c r="Y123" s="15"/>
      <c r="AA123" s="2"/>
    </row>
    <row r="124" spans="1:27" ht="21" hidden="1" customHeight="1" x14ac:dyDescent="0.2">
      <c r="B124" s="89" t="s">
        <v>194</v>
      </c>
      <c r="C124" s="87"/>
      <c r="D124" s="17"/>
      <c r="E124" s="105">
        <f>IF(MONTH(Q117)=MONTH(Q118),((YEAR(Q118)-YEAR(Q117))*12)-12+(12-MONTH(Q117))+MONTH(Q118)-1+(EOMONTH(Q117,0)-Q117+1)/DAY(EOMONTH(Q117,0))+(1-(EOMONTH(Q118,0)-Q118)/DAY(EOMONTH(Q118,0))),((YEAR(Q118)-YEAR(Q117))*12)-12+(12-MONTH(Q117))+MONTH(Q118)-1+(EOMONTH(Q117,0)-Q117+1)/DAY(EOMONTH(Q117,0))+(1-(EOMONTH(Q118,0)-Q118)/DAY(EOMONTH(Q118,0))))</f>
        <v>3.2258064516129004E-2</v>
      </c>
      <c r="F124" s="105">
        <f>ROUND(IF(AND(Q117&lt;&gt;"",Q118&lt;&gt;""),IF(E124&lt;=1,1,E124),0),2)</f>
        <v>0</v>
      </c>
      <c r="G124" s="17"/>
      <c r="H124" s="204"/>
      <c r="I124" s="2"/>
      <c r="J124" s="17"/>
      <c r="K124" s="204"/>
      <c r="L124" s="2"/>
      <c r="M124" s="17"/>
      <c r="N124" s="204"/>
      <c r="O124" s="2"/>
      <c r="P124" s="17"/>
      <c r="Q124" s="204"/>
      <c r="R124" s="2"/>
      <c r="S124" s="17"/>
      <c r="T124" s="204"/>
      <c r="U124" s="2"/>
      <c r="V124" s="17"/>
      <c r="W124" s="204"/>
      <c r="X124" s="2"/>
      <c r="Y124" s="15"/>
      <c r="AA124" s="2"/>
    </row>
    <row r="125" spans="1:27" ht="21" hidden="1" customHeight="1" x14ac:dyDescent="0.2">
      <c r="B125" s="89" t="s">
        <v>195</v>
      </c>
      <c r="C125" s="87"/>
      <c r="D125" s="17"/>
      <c r="E125" s="96">
        <f>IF(MONTH(N117)=MONTH(N118),((YEAR(N118)-YEAR(N117))*12)-12+(12-MONTH(N117))+MONTH(N118)-1+(EOMONTH(N117,0)-N117+1)/DAY(EOMONTH(N117,0))+(1-(EOMONTH(N118,0)-N118)/DAY(EOMONTH(N118,0))),((YEAR(N118)-YEAR(N117))*12)-12+(12-MONTH(N117))+MONTH(N118)-1+(EOMONTH(N117,0)-N117+1)/DAY(EOMONTH(N117,0))+(1-(EOMONTH(N118,0)-N118)/DAY(EOMONTH(N118,0))))</f>
        <v>3.2258064516129004E-2</v>
      </c>
      <c r="F125" s="96">
        <f>ROUND(IF(AND(N117&lt;&gt;"",N118&lt;&gt;""),IF(E125&lt;=1,1,E125),0),2)</f>
        <v>0</v>
      </c>
      <c r="G125" s="17"/>
      <c r="H125" s="204"/>
      <c r="I125" s="2"/>
      <c r="J125" s="17"/>
      <c r="K125" s="204"/>
      <c r="L125" s="2"/>
      <c r="M125" s="17"/>
      <c r="N125" s="204"/>
      <c r="O125" s="2"/>
      <c r="P125" s="17"/>
      <c r="Q125" s="204"/>
      <c r="R125" s="2"/>
      <c r="S125" s="17"/>
      <c r="T125" s="204"/>
      <c r="U125" s="2"/>
      <c r="V125" s="17"/>
      <c r="W125" s="204"/>
      <c r="X125" s="2"/>
      <c r="Y125" s="15"/>
      <c r="AA125" s="2"/>
    </row>
    <row r="126" spans="1:27" ht="21" hidden="1" customHeight="1" x14ac:dyDescent="0.2">
      <c r="B126" s="89" t="s">
        <v>196</v>
      </c>
      <c r="C126" s="87"/>
      <c r="D126" s="107"/>
      <c r="E126" s="96">
        <f>IF(MONTH(K117)=MONTH(K118),((YEAR(K118)-YEAR(K117))*12)-12+(12-MONTH(K117))+MONTH(K118)-1+(EOMONTH(K117,0)-K117+1)/DAY(EOMONTH(K117,0))+(1-(EOMONTH(K118,0)-K118)/DAY(EOMONTH(K118,0))),((YEAR(K118)-YEAR(K117))*12)-12+(12-MONTH(K117))+MONTH(K118)-1+(EOMONTH(K117,0)-K117+1)/DAY(EOMONTH(K117,0))+(1-(EOMONTH(K118,0)-K118)/DAY(EOMONTH(K118,0))))</f>
        <v>3.2258064516129004E-2</v>
      </c>
      <c r="F126" s="96">
        <f>ROUND(IF(AND(K117&lt;&gt;"",K118&lt;&gt;""),IF(E126&lt;=1,1,E126),0),2)</f>
        <v>0</v>
      </c>
      <c r="G126" s="103" t="s">
        <v>65</v>
      </c>
      <c r="H126" s="206"/>
      <c r="I126" s="2"/>
      <c r="J126" s="2"/>
      <c r="K126" s="206"/>
      <c r="L126" s="2"/>
      <c r="M126" s="2"/>
      <c r="N126" s="206"/>
      <c r="O126" s="2"/>
      <c r="P126" s="2"/>
      <c r="Q126" s="206"/>
      <c r="R126" s="2"/>
      <c r="S126" s="2"/>
      <c r="T126" s="206"/>
      <c r="U126" s="2"/>
      <c r="V126" s="2"/>
      <c r="W126" s="206"/>
      <c r="X126" s="2"/>
      <c r="Y126" s="15"/>
      <c r="AA126" s="2"/>
    </row>
    <row r="127" spans="1:27" ht="13.25" hidden="1" customHeight="1" x14ac:dyDescent="0.2">
      <c r="B127" s="89"/>
      <c r="C127" s="87"/>
      <c r="D127" s="17"/>
      <c r="E127" s="96" t="s">
        <v>199</v>
      </c>
      <c r="F127" s="96" t="s">
        <v>199</v>
      </c>
      <c r="G127" s="24"/>
      <c r="H127" s="27"/>
      <c r="I127" s="2"/>
      <c r="J127" s="24"/>
      <c r="K127" s="27"/>
      <c r="L127" s="2"/>
      <c r="M127" s="24"/>
      <c r="N127" s="27"/>
      <c r="O127" s="2"/>
      <c r="P127" s="24"/>
      <c r="Q127" s="27"/>
      <c r="R127" s="2"/>
      <c r="S127" s="24"/>
      <c r="T127" s="27"/>
      <c r="U127" s="2"/>
      <c r="V127" s="24"/>
      <c r="W127" s="27"/>
      <c r="X127" s="2"/>
      <c r="Y127" s="15"/>
      <c r="AA127" s="2"/>
    </row>
    <row r="128" spans="1:27" ht="21" hidden="1" customHeight="1" x14ac:dyDescent="0.2">
      <c r="B128" s="89" t="s">
        <v>3</v>
      </c>
      <c r="C128" s="87"/>
      <c r="D128" s="17"/>
      <c r="E128" s="96"/>
      <c r="F128" s="96"/>
      <c r="G128" s="24"/>
      <c r="H128" s="222">
        <f>IFERROR(SUM(H122:H126)-H121+H120,0)</f>
        <v>0</v>
      </c>
      <c r="I128" s="2"/>
      <c r="J128" s="24"/>
      <c r="K128" s="222">
        <f>IFERROR(SUM(K122:K126)-K121+K120,0)</f>
        <v>0</v>
      </c>
      <c r="L128" s="2"/>
      <c r="M128" s="24"/>
      <c r="N128" s="222">
        <f>IFERROR(SUM(N122:N126)-N121+N120,0)</f>
        <v>0</v>
      </c>
      <c r="O128" s="2"/>
      <c r="P128" s="24"/>
      <c r="Q128" s="222">
        <f>IFERROR(SUM(Q122:Q126)-Q121+Q120,0)</f>
        <v>0</v>
      </c>
      <c r="R128" s="2"/>
      <c r="S128" s="24"/>
      <c r="T128" s="222">
        <f>IFERROR(SUM(T122:T126)-T121+T120,0)</f>
        <v>0</v>
      </c>
      <c r="U128" s="2"/>
      <c r="V128" s="24"/>
      <c r="W128" s="222">
        <f>IFERROR(SUM(W122:W126)-W121+W120,0)</f>
        <v>0</v>
      </c>
      <c r="X128" s="2"/>
      <c r="Y128" s="15"/>
      <c r="AA128" s="2"/>
    </row>
    <row r="129" spans="1:27" ht="21" hidden="1" customHeight="1" x14ac:dyDescent="0.2">
      <c r="B129" s="89" t="s">
        <v>213</v>
      </c>
      <c r="C129" s="87"/>
      <c r="D129" s="17"/>
      <c r="E129" s="96"/>
      <c r="F129" s="96"/>
      <c r="G129" s="24"/>
      <c r="H129" s="54"/>
      <c r="I129" s="2"/>
      <c r="J129" s="24"/>
      <c r="K129" s="54"/>
      <c r="L129" s="2"/>
      <c r="M129" s="24"/>
      <c r="N129" s="54"/>
      <c r="O129" s="2"/>
      <c r="P129" s="24"/>
      <c r="Q129" s="54"/>
      <c r="R129" s="2"/>
      <c r="S129" s="24"/>
      <c r="T129" s="54"/>
      <c r="U129" s="2"/>
      <c r="V129" s="24"/>
      <c r="W129" s="54"/>
      <c r="X129" s="2"/>
      <c r="Y129" s="15"/>
      <c r="AA129" s="2"/>
    </row>
    <row r="130" spans="1:27" ht="21" hidden="1" customHeight="1" x14ac:dyDescent="0.2">
      <c r="B130" s="89" t="s">
        <v>203</v>
      </c>
      <c r="C130" s="87"/>
      <c r="D130" s="17"/>
      <c r="E130" s="96"/>
      <c r="F130" s="96"/>
      <c r="G130" s="24"/>
      <c r="H130" s="210">
        <f>ROUND(IFERROR(H128*H129,0),2)</f>
        <v>0</v>
      </c>
      <c r="I130" s="2"/>
      <c r="J130" s="24"/>
      <c r="K130" s="210">
        <f>ROUND(IFERROR(K128*K129,0),2)</f>
        <v>0</v>
      </c>
      <c r="L130" s="2"/>
      <c r="M130" s="24"/>
      <c r="N130" s="210">
        <f>ROUND(IFERROR(N128*N129,0),2)</f>
        <v>0</v>
      </c>
      <c r="O130" s="2"/>
      <c r="P130" s="24"/>
      <c r="Q130" s="210">
        <f>ROUND(IFERROR(Q128*Q129,0),2)</f>
        <v>0</v>
      </c>
      <c r="R130" s="2"/>
      <c r="S130" s="24"/>
      <c r="T130" s="210">
        <f>ROUND(IFERROR(T128*T129,0),2)</f>
        <v>0</v>
      </c>
      <c r="U130" s="2"/>
      <c r="V130" s="24"/>
      <c r="W130" s="210">
        <f>ROUND(IFERROR(W128*W129,0),2)</f>
        <v>0</v>
      </c>
      <c r="X130" s="2"/>
      <c r="Y130" s="15"/>
      <c r="AA130" s="2"/>
    </row>
    <row r="131" spans="1:27" ht="10.25" hidden="1" customHeight="1" x14ac:dyDescent="0.2">
      <c r="B131" s="89"/>
      <c r="C131" s="87"/>
      <c r="D131" s="17"/>
      <c r="E131" s="96"/>
      <c r="F131" s="96"/>
      <c r="G131" s="24"/>
      <c r="H131" s="27"/>
      <c r="I131" s="2"/>
      <c r="J131" s="24"/>
      <c r="K131" s="27"/>
      <c r="L131" s="2"/>
      <c r="M131" s="24"/>
      <c r="N131" s="27"/>
      <c r="O131" s="2"/>
      <c r="P131" s="24"/>
      <c r="Q131" s="27"/>
      <c r="R131" s="2"/>
      <c r="S131" s="24"/>
      <c r="T131" s="27"/>
      <c r="U131" s="2"/>
      <c r="V131" s="24"/>
      <c r="W131" s="27"/>
      <c r="X131" s="2"/>
      <c r="Y131" s="15"/>
      <c r="AA131" s="2"/>
    </row>
    <row r="132" spans="1:27" ht="21" hidden="1" customHeight="1" x14ac:dyDescent="0.2">
      <c r="B132" s="89" t="s">
        <v>204</v>
      </c>
      <c r="C132" s="87"/>
      <c r="D132" s="17"/>
      <c r="E132" s="96"/>
      <c r="F132" s="96"/>
      <c r="G132" s="24"/>
      <c r="H132" s="203"/>
      <c r="I132" s="2"/>
      <c r="J132" s="24"/>
      <c r="K132" s="203"/>
      <c r="L132" s="2"/>
      <c r="M132" s="24"/>
      <c r="N132" s="203"/>
      <c r="O132" s="2"/>
      <c r="P132" s="24"/>
      <c r="Q132" s="203"/>
      <c r="R132" s="2"/>
      <c r="S132" s="24"/>
      <c r="T132" s="203"/>
      <c r="U132" s="2"/>
      <c r="V132" s="24"/>
      <c r="W132" s="203"/>
      <c r="X132" s="2"/>
      <c r="Y132" s="15"/>
      <c r="AA132" s="2"/>
    </row>
    <row r="133" spans="1:27" ht="21" hidden="1" customHeight="1" x14ac:dyDescent="0.2">
      <c r="B133" s="89" t="s">
        <v>205</v>
      </c>
      <c r="C133" s="87"/>
      <c r="D133" s="17"/>
      <c r="E133" s="96"/>
      <c r="F133" s="96"/>
      <c r="G133" s="24"/>
      <c r="H133" s="206"/>
      <c r="I133" s="2"/>
      <c r="J133" s="24"/>
      <c r="K133" s="206"/>
      <c r="L133" s="2"/>
      <c r="M133" s="24"/>
      <c r="N133" s="206"/>
      <c r="O133" s="2"/>
      <c r="P133" s="24"/>
      <c r="Q133" s="206"/>
      <c r="R133" s="2"/>
      <c r="S133" s="24"/>
      <c r="T133" s="206"/>
      <c r="U133" s="2"/>
      <c r="V133" s="24"/>
      <c r="W133" s="206"/>
      <c r="X133" s="2"/>
      <c r="Y133" s="15"/>
      <c r="AA133" s="2"/>
    </row>
    <row r="134" spans="1:27" ht="6.5" hidden="1" customHeight="1" x14ac:dyDescent="0.2">
      <c r="B134" s="89"/>
      <c r="C134" s="87"/>
      <c r="D134" s="17"/>
      <c r="E134" s="96"/>
      <c r="F134" s="96"/>
      <c r="G134" s="24"/>
      <c r="H134" s="27"/>
      <c r="I134" s="2"/>
      <c r="J134" s="24"/>
      <c r="K134" s="27"/>
      <c r="L134" s="2"/>
      <c r="M134" s="24"/>
      <c r="N134" s="27"/>
      <c r="O134" s="2"/>
      <c r="P134" s="24"/>
      <c r="Q134" s="27"/>
      <c r="R134" s="2"/>
      <c r="S134" s="24"/>
      <c r="T134" s="27"/>
      <c r="U134" s="2"/>
      <c r="V134" s="24"/>
      <c r="W134" s="27"/>
      <c r="X134" s="2"/>
      <c r="Y134" s="15"/>
    </row>
    <row r="135" spans="1:27" ht="21" hidden="1" customHeight="1" x14ac:dyDescent="0.2">
      <c r="B135" s="90"/>
      <c r="C135" s="88"/>
      <c r="D135" s="99" t="s">
        <v>209</v>
      </c>
      <c r="E135" s="96" t="s">
        <v>199</v>
      </c>
      <c r="F135" s="96" t="s">
        <v>199</v>
      </c>
      <c r="G135" s="80"/>
      <c r="H135" s="210">
        <f>IFERROR(H130+H132+H133,0)</f>
        <v>0</v>
      </c>
      <c r="I135" s="2"/>
      <c r="J135" s="80"/>
      <c r="K135" s="210">
        <f>IFERROR(K130+K132+K133,0)</f>
        <v>0</v>
      </c>
      <c r="L135" s="2"/>
      <c r="M135" s="80"/>
      <c r="N135" s="210">
        <f>IFERROR(N130+N132+N133,0)</f>
        <v>0</v>
      </c>
      <c r="O135" s="2"/>
      <c r="P135" s="80"/>
      <c r="Q135" s="210">
        <f>IFERROR(Q130+Q132+Q133,0)</f>
        <v>0</v>
      </c>
      <c r="R135" s="2"/>
      <c r="S135" s="80"/>
      <c r="T135" s="210">
        <f>IFERROR(T130+T132+T133,0)</f>
        <v>0</v>
      </c>
      <c r="U135" s="2"/>
      <c r="V135" s="80"/>
      <c r="W135" s="210">
        <f>IFERROR(W130+W132+W133,0)</f>
        <v>0</v>
      </c>
      <c r="X135" s="2"/>
      <c r="Y135" s="15"/>
    </row>
    <row r="136" spans="1:27" ht="21" hidden="1" customHeight="1" x14ac:dyDescent="0.2">
      <c r="B136" s="90"/>
      <c r="C136" s="88"/>
      <c r="D136" s="93" t="s">
        <v>210</v>
      </c>
      <c r="E136" s="96">
        <f>IF(MONTH(H117)=MONTH(H118),((YEAR(H118)-YEAR(H117))*12)-12+(12-MONTH(H117))+MONTH(H118)-1+(EOMONTH(H117,0)-H117+1)/DAY(EOMONTH(H117,0))+(1-(EOMONTH(H118,0)-H118)/DAY(EOMONTH(H118,0))),((YEAR(H118)-YEAR(H117))*12)-12+(12-MONTH(H117))+MONTH(H118)-1+(EOMONTH(H117,0)-H117+1)/DAY(EOMONTH(H117,0))+(1-(EOMONTH(H118,0)-H118)/DAY(EOMONTH(H118,0))))</f>
        <v>3.2258064516129004E-2</v>
      </c>
      <c r="F136" s="96">
        <f>ROUND(IF(AND(H117&lt;&gt;"",H118&lt;&gt;""),IF(E136&lt;=1,1,E136),0),2)</f>
        <v>0</v>
      </c>
      <c r="G136" s="17"/>
      <c r="H136" s="210">
        <f>ROUND(IFERROR(H135/F136,0),2)</f>
        <v>0</v>
      </c>
      <c r="I136" s="2"/>
      <c r="J136" s="17"/>
      <c r="K136" s="210">
        <f>ROUND(IFERROR(K135/F126,0),2)</f>
        <v>0</v>
      </c>
      <c r="L136" s="2"/>
      <c r="M136" s="17"/>
      <c r="N136" s="210">
        <f>ROUND(IFERROR(N135/F125,0),2)</f>
        <v>0</v>
      </c>
      <c r="O136" s="2"/>
      <c r="P136" s="17"/>
      <c r="Q136" s="210">
        <f>ROUND(IFERROR(Q135/F124,0),2)</f>
        <v>0</v>
      </c>
      <c r="R136" s="2"/>
      <c r="S136" s="17"/>
      <c r="T136" s="210">
        <f>ROUND(IFERROR(T135/F123,0),2)</f>
        <v>0</v>
      </c>
      <c r="U136" s="2"/>
      <c r="V136" s="17"/>
      <c r="W136" s="210">
        <f>ROUND(IFERROR(W135/F122,0),2)</f>
        <v>0</v>
      </c>
      <c r="X136" s="2"/>
      <c r="Y136" s="15"/>
    </row>
    <row r="137" spans="1:27" ht="8.25" hidden="1" customHeight="1" thickBot="1" x14ac:dyDescent="0.25">
      <c r="B137" s="18"/>
      <c r="C137" s="19"/>
      <c r="D137" s="19"/>
      <c r="E137" s="19"/>
      <c r="F137" s="19"/>
      <c r="G137" s="19"/>
      <c r="H137" s="19"/>
      <c r="I137" s="19"/>
      <c r="J137" s="19"/>
      <c r="K137" s="19"/>
      <c r="L137" s="19"/>
      <c r="M137" s="19"/>
      <c r="N137" s="19"/>
      <c r="O137" s="19"/>
      <c r="P137" s="19"/>
      <c r="Q137" s="19"/>
      <c r="R137" s="19"/>
      <c r="S137" s="19"/>
      <c r="T137" s="19"/>
      <c r="U137" s="19"/>
      <c r="V137" s="19"/>
      <c r="W137" s="19"/>
      <c r="X137" s="19"/>
      <c r="Y137" s="20"/>
    </row>
    <row r="138" spans="1:27" ht="14" customHeight="1" thickBot="1" x14ac:dyDescent="0.25">
      <c r="B138" s="3"/>
      <c r="E138" s="31"/>
      <c r="F138" s="31"/>
      <c r="I138" s="21"/>
      <c r="J138" s="21"/>
      <c r="K138" s="21"/>
      <c r="L138" s="21"/>
      <c r="M138" s="21"/>
      <c r="N138" s="21"/>
      <c r="O138" s="21"/>
      <c r="P138" s="21"/>
      <c r="Q138" s="21"/>
      <c r="R138" s="21"/>
      <c r="S138" s="21"/>
      <c r="T138" s="21"/>
      <c r="U138" s="21"/>
      <c r="V138" s="21"/>
      <c r="W138" s="21"/>
      <c r="X138" s="21"/>
    </row>
    <row r="139" spans="1:27" ht="21" customHeight="1" thickBot="1" x14ac:dyDescent="0.25">
      <c r="A139" s="2"/>
      <c r="B139" s="7" t="s">
        <v>2</v>
      </c>
      <c r="C139" s="86" t="s">
        <v>201</v>
      </c>
      <c r="D139" s="32"/>
      <c r="E139" s="95"/>
      <c r="F139" s="95"/>
      <c r="G139" s="295" t="str">
        <f>IF(OR(SAM!E178=0,SAM!E178=""),"",SAM!E178)</f>
        <v/>
      </c>
      <c r="H139" s="295"/>
      <c r="I139" s="295"/>
      <c r="J139" s="295"/>
      <c r="K139" s="295"/>
      <c r="L139" s="295"/>
      <c r="M139" s="9"/>
      <c r="N139" s="9"/>
      <c r="O139" s="9"/>
      <c r="P139" s="9"/>
      <c r="Q139" s="9"/>
      <c r="R139" s="9"/>
      <c r="S139" s="9"/>
      <c r="T139" s="9"/>
      <c r="U139" s="9"/>
      <c r="V139" s="9"/>
      <c r="W139" s="9"/>
      <c r="X139" s="9"/>
      <c r="Y139" s="11"/>
    </row>
    <row r="140" spans="1:27" ht="6.75" hidden="1" customHeight="1" x14ac:dyDescent="0.2">
      <c r="B140" s="22"/>
      <c r="C140" s="21"/>
      <c r="D140" s="21"/>
      <c r="E140" s="21"/>
      <c r="F140" s="21"/>
      <c r="G140" s="21"/>
      <c r="H140" s="21"/>
      <c r="I140" s="21"/>
      <c r="J140" s="21"/>
      <c r="K140" s="21"/>
      <c r="L140" s="21"/>
      <c r="M140" s="21"/>
      <c r="N140" s="21"/>
      <c r="O140" s="21"/>
      <c r="P140" s="21"/>
      <c r="Q140" s="21"/>
      <c r="R140" s="21"/>
      <c r="S140" s="21"/>
      <c r="T140" s="21"/>
      <c r="U140" s="21"/>
      <c r="V140" s="21"/>
      <c r="W140" s="21"/>
      <c r="X140" s="21"/>
      <c r="Y140" s="23"/>
    </row>
    <row r="141" spans="1:27" ht="21" hidden="1" customHeight="1" x14ac:dyDescent="0.2">
      <c r="B141" s="14"/>
      <c r="D141" s="93" t="s">
        <v>230</v>
      </c>
      <c r="G141" s="104" t="s">
        <v>65</v>
      </c>
      <c r="H141" s="106"/>
      <c r="I141" s="104" t="s">
        <v>65</v>
      </c>
      <c r="J141" s="104" t="s">
        <v>65</v>
      </c>
      <c r="K141" s="106"/>
      <c r="L141" s="104" t="s">
        <v>65</v>
      </c>
      <c r="M141" s="104" t="s">
        <v>65</v>
      </c>
      <c r="N141" s="106"/>
      <c r="O141" s="104" t="s">
        <v>65</v>
      </c>
      <c r="P141" s="104" t="s">
        <v>65</v>
      </c>
      <c r="Q141" s="106"/>
      <c r="R141" s="104" t="s">
        <v>65</v>
      </c>
      <c r="S141" s="104" t="s">
        <v>65</v>
      </c>
      <c r="T141" s="106"/>
      <c r="U141" s="104" t="s">
        <v>65</v>
      </c>
      <c r="V141" s="104" t="s">
        <v>65</v>
      </c>
      <c r="W141" s="106"/>
      <c r="X141" s="104" t="s">
        <v>65</v>
      </c>
      <c r="Y141" s="15"/>
      <c r="AA141" s="2"/>
    </row>
    <row r="142" spans="1:27" ht="6.75" hidden="1" customHeight="1" x14ac:dyDescent="0.2">
      <c r="B142" s="14"/>
      <c r="H142" s="96"/>
      <c r="K142" s="96"/>
      <c r="N142" s="96"/>
      <c r="Q142" s="96"/>
      <c r="T142" s="96"/>
      <c r="W142" s="96"/>
      <c r="Y142" s="15"/>
      <c r="AA142" s="2"/>
    </row>
    <row r="143" spans="1:27" ht="21" hidden="1" customHeight="1" x14ac:dyDescent="0.2">
      <c r="B143" s="14"/>
      <c r="D143" s="93" t="s">
        <v>198</v>
      </c>
      <c r="E143" s="96" t="s">
        <v>199</v>
      </c>
      <c r="F143" s="96" t="s">
        <v>199</v>
      </c>
      <c r="G143" s="94"/>
      <c r="H143" s="91"/>
      <c r="J143" s="94"/>
      <c r="K143" s="91"/>
      <c r="M143" s="94"/>
      <c r="N143" s="91"/>
      <c r="P143" s="94"/>
      <c r="Q143" s="91"/>
      <c r="S143" s="94"/>
      <c r="T143" s="91"/>
      <c r="V143" s="94"/>
      <c r="W143" s="91"/>
      <c r="Y143" s="15"/>
      <c r="AA143" s="2"/>
    </row>
    <row r="144" spans="1:27" ht="21" hidden="1" customHeight="1" x14ac:dyDescent="0.2">
      <c r="B144" s="14"/>
      <c r="D144" s="93" t="s">
        <v>208</v>
      </c>
      <c r="E144" s="96" t="s">
        <v>199</v>
      </c>
      <c r="F144" s="96" t="s">
        <v>199</v>
      </c>
      <c r="G144" s="94"/>
      <c r="H144" s="92"/>
      <c r="J144" s="94"/>
      <c r="K144" s="92"/>
      <c r="M144" s="94"/>
      <c r="N144" s="92"/>
      <c r="P144" s="94"/>
      <c r="Q144" s="92"/>
      <c r="S144" s="94"/>
      <c r="T144" s="92"/>
      <c r="V144" s="94"/>
      <c r="W144" s="92"/>
      <c r="Y144" s="15"/>
      <c r="AA144" s="2"/>
    </row>
    <row r="145" spans="2:27" ht="6.75" hidden="1" customHeight="1" x14ac:dyDescent="0.2">
      <c r="B145" s="14"/>
      <c r="E145" s="96" t="s">
        <v>199</v>
      </c>
      <c r="F145" s="96" t="s">
        <v>199</v>
      </c>
      <c r="Y145" s="15"/>
      <c r="AA145" s="2"/>
    </row>
    <row r="146" spans="2:27" ht="21" hidden="1" customHeight="1" x14ac:dyDescent="0.2">
      <c r="B146" s="89" t="s">
        <v>202</v>
      </c>
      <c r="C146" s="87"/>
      <c r="D146" s="17"/>
      <c r="E146" s="96" t="s">
        <v>199</v>
      </c>
      <c r="F146" s="96" t="s">
        <v>199</v>
      </c>
      <c r="G146" s="17"/>
      <c r="H146" s="203"/>
      <c r="I146" s="2"/>
      <c r="J146" s="17"/>
      <c r="K146" s="203"/>
      <c r="L146" s="2"/>
      <c r="M146" s="17"/>
      <c r="N146" s="203"/>
      <c r="O146" s="2"/>
      <c r="P146" s="17"/>
      <c r="Q146" s="203"/>
      <c r="R146" s="2"/>
      <c r="S146" s="17"/>
      <c r="T146" s="203"/>
      <c r="U146" s="2"/>
      <c r="V146" s="17"/>
      <c r="W146" s="203"/>
      <c r="X146" s="2"/>
      <c r="Y146" s="15"/>
      <c r="AA146" s="2"/>
    </row>
    <row r="147" spans="2:27" ht="21" hidden="1" customHeight="1" x14ac:dyDescent="0.2">
      <c r="B147" s="89" t="s">
        <v>192</v>
      </c>
      <c r="C147" s="87"/>
      <c r="D147" s="17"/>
      <c r="E147" s="96" t="s">
        <v>199</v>
      </c>
      <c r="F147" s="96" t="s">
        <v>199</v>
      </c>
      <c r="G147" s="24" t="s">
        <v>9</v>
      </c>
      <c r="H147" s="209"/>
      <c r="I147" s="25" t="s">
        <v>10</v>
      </c>
      <c r="J147" s="24" t="s">
        <v>9</v>
      </c>
      <c r="K147" s="209"/>
      <c r="L147" s="25" t="s">
        <v>10</v>
      </c>
      <c r="M147" s="24" t="s">
        <v>9</v>
      </c>
      <c r="N147" s="209"/>
      <c r="O147" s="25" t="s">
        <v>10</v>
      </c>
      <c r="P147" s="24" t="s">
        <v>9</v>
      </c>
      <c r="Q147" s="209"/>
      <c r="R147" s="25" t="s">
        <v>10</v>
      </c>
      <c r="S147" s="24" t="s">
        <v>9</v>
      </c>
      <c r="T147" s="209"/>
      <c r="U147" s="25" t="s">
        <v>10</v>
      </c>
      <c r="V147" s="24" t="s">
        <v>9</v>
      </c>
      <c r="W147" s="209"/>
      <c r="X147" s="25" t="s">
        <v>10</v>
      </c>
      <c r="Y147" s="15"/>
      <c r="AA147" s="2"/>
    </row>
    <row r="148" spans="2:27" ht="21" hidden="1" customHeight="1" x14ac:dyDescent="0.2">
      <c r="B148" s="89" t="s">
        <v>193</v>
      </c>
      <c r="C148" s="87"/>
      <c r="D148" s="17"/>
      <c r="E148" s="96">
        <f>IF(MONTH(W143)=MONTH(W144),((YEAR(W144)-YEAR(W143))*12)-12+(12-MONTH(W143))+MONTH(W144)-1+(EOMONTH(W143,0)-W143+1)/DAY(EOMONTH(W143,0))+(1-(EOMONTH(W144,0)-W144)/DAY(EOMONTH(W144,0))),((YEAR(W144)-YEAR(W143))*12)-12+(12-MONTH(W143))+MONTH(W144)-1+(EOMONTH(W143,0)-W143+1)/DAY(EOMONTH(W143,0))+(1-(EOMONTH(W144,0)-W144)/DAY(EOMONTH(W144,0))))</f>
        <v>3.2258064516129004E-2</v>
      </c>
      <c r="F148" s="96">
        <f>ROUND(IF(AND(W143&lt;&gt;"",W144&lt;&gt;""),IF(E148&lt;=1,1,E148),0),2)</f>
        <v>0</v>
      </c>
      <c r="G148" s="17"/>
      <c r="H148" s="204"/>
      <c r="I148" s="2"/>
      <c r="J148" s="17"/>
      <c r="K148" s="204"/>
      <c r="L148" s="2"/>
      <c r="M148" s="17"/>
      <c r="N148" s="204"/>
      <c r="O148" s="2"/>
      <c r="P148" s="17"/>
      <c r="Q148" s="204"/>
      <c r="R148" s="2"/>
      <c r="S148" s="17"/>
      <c r="T148" s="204"/>
      <c r="U148" s="2"/>
      <c r="V148" s="17"/>
      <c r="W148" s="204"/>
      <c r="X148" s="2"/>
      <c r="Y148" s="15"/>
      <c r="AA148" s="2"/>
    </row>
    <row r="149" spans="2:27" ht="21" hidden="1" customHeight="1" x14ac:dyDescent="0.2">
      <c r="B149" s="89" t="s">
        <v>197</v>
      </c>
      <c r="C149" s="87"/>
      <c r="D149" s="17"/>
      <c r="E149" s="96">
        <f>IF(MONTH(T143)=MONTH(T144),((YEAR(T144)-YEAR(T143))*12)-12+(12-MONTH(T143))+MONTH(T144)-1+(EOMONTH(T143,0)-T143+1)/DAY(EOMONTH(T143,0))+(1-(EOMONTH(T144,0)-T144)/DAY(EOMONTH(T144,0))),((YEAR(T144)-YEAR(T143))*12)-12+(12-MONTH(T143))+MONTH(T144)-1+(EOMONTH(T143,0)-T143+1)/DAY(EOMONTH(T143,0))+(1-(EOMONTH(T144,0)-T144)/DAY(EOMONTH(T144,0))))</f>
        <v>3.2258064516129004E-2</v>
      </c>
      <c r="F149" s="96">
        <f>ROUND(IF(AND(T143&lt;&gt;"",T144&lt;&gt;""),IF(E149&lt;=1,1,E149),0),2)</f>
        <v>0</v>
      </c>
      <c r="G149" s="17"/>
      <c r="H149" s="204"/>
      <c r="I149" s="2"/>
      <c r="J149" s="17"/>
      <c r="K149" s="204"/>
      <c r="L149" s="2"/>
      <c r="M149" s="17"/>
      <c r="N149" s="204"/>
      <c r="O149" s="2"/>
      <c r="P149" s="17"/>
      <c r="Q149" s="204"/>
      <c r="R149" s="2"/>
      <c r="S149" s="17"/>
      <c r="T149" s="204"/>
      <c r="U149" s="2"/>
      <c r="V149" s="17"/>
      <c r="W149" s="204"/>
      <c r="X149" s="2"/>
      <c r="Y149" s="15"/>
      <c r="AA149" s="2"/>
    </row>
    <row r="150" spans="2:27" ht="21" hidden="1" customHeight="1" x14ac:dyDescent="0.2">
      <c r="B150" s="89" t="s">
        <v>194</v>
      </c>
      <c r="C150" s="87"/>
      <c r="D150" s="17"/>
      <c r="E150" s="105">
        <f>IF(MONTH(Q143)=MONTH(Q144),((YEAR(Q144)-YEAR(Q143))*12)-12+(12-MONTH(Q143))+MONTH(Q144)-1+(EOMONTH(Q143,0)-Q143+1)/DAY(EOMONTH(Q143,0))+(1-(EOMONTH(Q144,0)-Q144)/DAY(EOMONTH(Q144,0))),((YEAR(Q144)-YEAR(Q143))*12)-12+(12-MONTH(Q143))+MONTH(Q144)-1+(EOMONTH(Q143,0)-Q143+1)/DAY(EOMONTH(Q143,0))+(1-(EOMONTH(Q144,0)-Q144)/DAY(EOMONTH(Q144,0))))</f>
        <v>3.2258064516129004E-2</v>
      </c>
      <c r="F150" s="105">
        <f>ROUND(IF(AND(Q143&lt;&gt;"",Q144&lt;&gt;""),IF(E150&lt;=1,1,E150),0),2)</f>
        <v>0</v>
      </c>
      <c r="G150" s="17"/>
      <c r="H150" s="204"/>
      <c r="I150" s="2"/>
      <c r="J150" s="17"/>
      <c r="K150" s="204"/>
      <c r="L150" s="2"/>
      <c r="M150" s="17"/>
      <c r="N150" s="204"/>
      <c r="O150" s="2"/>
      <c r="P150" s="17"/>
      <c r="Q150" s="204"/>
      <c r="R150" s="2"/>
      <c r="S150" s="17"/>
      <c r="T150" s="204"/>
      <c r="U150" s="2"/>
      <c r="V150" s="17"/>
      <c r="W150" s="204"/>
      <c r="X150" s="2"/>
      <c r="Y150" s="15"/>
      <c r="AA150" s="2"/>
    </row>
    <row r="151" spans="2:27" ht="21" hidden="1" customHeight="1" x14ac:dyDescent="0.2">
      <c r="B151" s="89" t="s">
        <v>195</v>
      </c>
      <c r="C151" s="87"/>
      <c r="D151" s="17"/>
      <c r="E151" s="96">
        <f>IF(MONTH(N143)=MONTH(N144),((YEAR(N144)-YEAR(N143))*12)-12+(12-MONTH(N143))+MONTH(N144)-1+(EOMONTH(N143,0)-N143+1)/DAY(EOMONTH(N143,0))+(1-(EOMONTH(N144,0)-N144)/DAY(EOMONTH(N144,0))),((YEAR(N144)-YEAR(N143))*12)-12+(12-MONTH(N143))+MONTH(N144)-1+(EOMONTH(N143,0)-N143+1)/DAY(EOMONTH(N143,0))+(1-(EOMONTH(N144,0)-N144)/DAY(EOMONTH(N144,0))))</f>
        <v>3.2258064516129004E-2</v>
      </c>
      <c r="F151" s="96">
        <f>ROUND(IF(AND(N143&lt;&gt;"",N144&lt;&gt;""),IF(E151&lt;=1,1,E151),0),2)</f>
        <v>0</v>
      </c>
      <c r="G151" s="17"/>
      <c r="H151" s="204"/>
      <c r="I151" s="2"/>
      <c r="J151" s="17"/>
      <c r="K151" s="204"/>
      <c r="L151" s="2"/>
      <c r="M151" s="17"/>
      <c r="N151" s="204"/>
      <c r="O151" s="2"/>
      <c r="P151" s="17"/>
      <c r="Q151" s="204"/>
      <c r="R151" s="2"/>
      <c r="S151" s="17"/>
      <c r="T151" s="204"/>
      <c r="U151" s="2"/>
      <c r="V151" s="17"/>
      <c r="W151" s="204"/>
      <c r="X151" s="2"/>
      <c r="Y151" s="15"/>
      <c r="AA151" s="2"/>
    </row>
    <row r="152" spans="2:27" ht="21" hidden="1" customHeight="1" x14ac:dyDescent="0.2">
      <c r="B152" s="89" t="s">
        <v>196</v>
      </c>
      <c r="C152" s="87"/>
      <c r="D152" s="107"/>
      <c r="E152" s="96">
        <f>IF(MONTH(K143)=MONTH(K144),((YEAR(K144)-YEAR(K143))*12)-12+(12-MONTH(K143))+MONTH(K144)-1+(EOMONTH(K143,0)-K143+1)/DAY(EOMONTH(K143,0))+(1-(EOMONTH(K144,0)-K144)/DAY(EOMONTH(K144,0))),((YEAR(K144)-YEAR(K143))*12)-12+(12-MONTH(K143))+MONTH(K144)-1+(EOMONTH(K143,0)-K143+1)/DAY(EOMONTH(K143,0))+(1-(EOMONTH(K144,0)-K144)/DAY(EOMONTH(K144,0))))</f>
        <v>3.2258064516129004E-2</v>
      </c>
      <c r="F152" s="96">
        <f>ROUND(IF(AND(K143&lt;&gt;"",K144&lt;&gt;""),IF(E152&lt;=1,1,E152),0),2)</f>
        <v>0</v>
      </c>
      <c r="G152" s="103" t="s">
        <v>65</v>
      </c>
      <c r="H152" s="206"/>
      <c r="I152" s="2"/>
      <c r="J152" s="2"/>
      <c r="K152" s="206"/>
      <c r="L152" s="2"/>
      <c r="M152" s="2"/>
      <c r="N152" s="206"/>
      <c r="O152" s="2"/>
      <c r="P152" s="2"/>
      <c r="Q152" s="206"/>
      <c r="R152" s="2"/>
      <c r="S152" s="2"/>
      <c r="T152" s="206"/>
      <c r="U152" s="2"/>
      <c r="V152" s="2"/>
      <c r="W152" s="206"/>
      <c r="X152" s="2"/>
      <c r="Y152" s="15"/>
      <c r="AA152" s="2"/>
    </row>
    <row r="153" spans="2:27" ht="13.25" hidden="1" customHeight="1" x14ac:dyDescent="0.2">
      <c r="B153" s="89"/>
      <c r="C153" s="87"/>
      <c r="D153" s="17"/>
      <c r="E153" s="96" t="s">
        <v>199</v>
      </c>
      <c r="F153" s="96" t="s">
        <v>199</v>
      </c>
      <c r="G153" s="24"/>
      <c r="H153" s="27"/>
      <c r="I153" s="2"/>
      <c r="J153" s="24"/>
      <c r="K153" s="27"/>
      <c r="L153" s="2"/>
      <c r="M153" s="24"/>
      <c r="N153" s="27"/>
      <c r="O153" s="2"/>
      <c r="P153" s="24"/>
      <c r="Q153" s="27"/>
      <c r="R153" s="2"/>
      <c r="S153" s="24"/>
      <c r="T153" s="27"/>
      <c r="U153" s="2"/>
      <c r="V153" s="24"/>
      <c r="W153" s="27"/>
      <c r="X153" s="2"/>
      <c r="Y153" s="15"/>
      <c r="AA153" s="2"/>
    </row>
    <row r="154" spans="2:27" ht="21" hidden="1" customHeight="1" x14ac:dyDescent="0.2">
      <c r="B154" s="89" t="s">
        <v>3</v>
      </c>
      <c r="C154" s="87"/>
      <c r="D154" s="17"/>
      <c r="E154" s="96"/>
      <c r="F154" s="96"/>
      <c r="G154" s="24"/>
      <c r="H154" s="222">
        <f>IFERROR(SUM(H148:H152)-H147+H146,0)</f>
        <v>0</v>
      </c>
      <c r="I154" s="2"/>
      <c r="J154" s="24"/>
      <c r="K154" s="222">
        <f>IFERROR(SUM(K148:K152)-K147+K146,0)</f>
        <v>0</v>
      </c>
      <c r="L154" s="2"/>
      <c r="M154" s="24"/>
      <c r="N154" s="222">
        <f>IFERROR(SUM(N148:N152)-N147+N146,0)</f>
        <v>0</v>
      </c>
      <c r="O154" s="2"/>
      <c r="P154" s="24"/>
      <c r="Q154" s="222">
        <f>IFERROR(SUM(Q148:Q152)-Q147+Q146,0)</f>
        <v>0</v>
      </c>
      <c r="R154" s="2"/>
      <c r="S154" s="24"/>
      <c r="T154" s="222">
        <f>IFERROR(SUM(T148:T152)-T147+T146,0)</f>
        <v>0</v>
      </c>
      <c r="U154" s="2"/>
      <c r="V154" s="24"/>
      <c r="W154" s="222">
        <f>IFERROR(SUM(W148:W152)-W147+W146,0)</f>
        <v>0</v>
      </c>
      <c r="X154" s="2"/>
      <c r="Y154" s="15"/>
      <c r="AA154" s="2"/>
    </row>
    <row r="155" spans="2:27" ht="21" hidden="1" customHeight="1" x14ac:dyDescent="0.2">
      <c r="B155" s="89" t="s">
        <v>213</v>
      </c>
      <c r="C155" s="87"/>
      <c r="D155" s="17"/>
      <c r="E155" s="96"/>
      <c r="F155" s="96"/>
      <c r="G155" s="24"/>
      <c r="H155" s="54"/>
      <c r="I155" s="2"/>
      <c r="J155" s="24"/>
      <c r="K155" s="54"/>
      <c r="L155" s="2"/>
      <c r="M155" s="24"/>
      <c r="N155" s="54"/>
      <c r="O155" s="2"/>
      <c r="P155" s="24"/>
      <c r="Q155" s="54"/>
      <c r="R155" s="2"/>
      <c r="S155" s="24"/>
      <c r="T155" s="54"/>
      <c r="U155" s="2"/>
      <c r="V155" s="24"/>
      <c r="W155" s="54"/>
      <c r="X155" s="2"/>
      <c r="Y155" s="15"/>
      <c r="AA155" s="2"/>
    </row>
    <row r="156" spans="2:27" ht="21" hidden="1" customHeight="1" x14ac:dyDescent="0.2">
      <c r="B156" s="89" t="s">
        <v>203</v>
      </c>
      <c r="C156" s="87"/>
      <c r="D156" s="17"/>
      <c r="E156" s="96"/>
      <c r="F156" s="96"/>
      <c r="G156" s="24"/>
      <c r="H156" s="210">
        <f>ROUND(IFERROR(H154*H155,0),2)</f>
        <v>0</v>
      </c>
      <c r="I156" s="2"/>
      <c r="J156" s="24"/>
      <c r="K156" s="210">
        <f>ROUND(IFERROR(K154*K155,0),2)</f>
        <v>0</v>
      </c>
      <c r="L156" s="2"/>
      <c r="M156" s="24"/>
      <c r="N156" s="210">
        <f>ROUND(IFERROR(N154*N155,0),2)</f>
        <v>0</v>
      </c>
      <c r="O156" s="2"/>
      <c r="P156" s="24"/>
      <c r="Q156" s="210">
        <f>ROUND(IFERROR(Q154*Q155,0),2)</f>
        <v>0</v>
      </c>
      <c r="R156" s="2"/>
      <c r="S156" s="24"/>
      <c r="T156" s="210">
        <f>ROUND(IFERROR(T154*T155,0),2)</f>
        <v>0</v>
      </c>
      <c r="U156" s="2"/>
      <c r="V156" s="24"/>
      <c r="W156" s="210">
        <f>ROUND(IFERROR(W154*W155,0),2)</f>
        <v>0</v>
      </c>
      <c r="X156" s="2"/>
      <c r="Y156" s="15"/>
      <c r="AA156" s="2"/>
    </row>
    <row r="157" spans="2:27" ht="10.25" hidden="1" customHeight="1" x14ac:dyDescent="0.2">
      <c r="B157" s="89"/>
      <c r="C157" s="87"/>
      <c r="D157" s="17"/>
      <c r="E157" s="96"/>
      <c r="F157" s="96"/>
      <c r="G157" s="24"/>
      <c r="H157" s="27"/>
      <c r="I157" s="2"/>
      <c r="J157" s="24"/>
      <c r="K157" s="27"/>
      <c r="L157" s="2"/>
      <c r="M157" s="24"/>
      <c r="N157" s="27"/>
      <c r="O157" s="2"/>
      <c r="P157" s="24"/>
      <c r="Q157" s="27"/>
      <c r="R157" s="2"/>
      <c r="S157" s="24"/>
      <c r="T157" s="27"/>
      <c r="U157" s="2"/>
      <c r="V157" s="24"/>
      <c r="W157" s="27"/>
      <c r="X157" s="2"/>
      <c r="Y157" s="15"/>
      <c r="AA157" s="2"/>
    </row>
    <row r="158" spans="2:27" ht="21" hidden="1" customHeight="1" x14ac:dyDescent="0.2">
      <c r="B158" s="89" t="s">
        <v>204</v>
      </c>
      <c r="C158" s="87"/>
      <c r="D158" s="17"/>
      <c r="E158" s="96"/>
      <c r="F158" s="96"/>
      <c r="G158" s="24"/>
      <c r="H158" s="203"/>
      <c r="I158" s="2"/>
      <c r="J158" s="24"/>
      <c r="K158" s="203"/>
      <c r="L158" s="2"/>
      <c r="M158" s="24"/>
      <c r="N158" s="203"/>
      <c r="O158" s="2"/>
      <c r="P158" s="24"/>
      <c r="Q158" s="203"/>
      <c r="R158" s="2"/>
      <c r="S158" s="24"/>
      <c r="T158" s="203"/>
      <c r="U158" s="2"/>
      <c r="V158" s="24"/>
      <c r="W158" s="203"/>
      <c r="X158" s="2"/>
      <c r="Y158" s="15"/>
      <c r="AA158" s="2"/>
    </row>
    <row r="159" spans="2:27" ht="21" hidden="1" customHeight="1" x14ac:dyDescent="0.2">
      <c r="B159" s="89" t="s">
        <v>205</v>
      </c>
      <c r="C159" s="87"/>
      <c r="D159" s="17"/>
      <c r="E159" s="96"/>
      <c r="F159" s="96"/>
      <c r="G159" s="24"/>
      <c r="H159" s="206"/>
      <c r="I159" s="2"/>
      <c r="J159" s="24"/>
      <c r="K159" s="206"/>
      <c r="L159" s="2"/>
      <c r="M159" s="24"/>
      <c r="N159" s="206"/>
      <c r="O159" s="2"/>
      <c r="P159" s="24"/>
      <c r="Q159" s="206"/>
      <c r="R159" s="2"/>
      <c r="S159" s="24"/>
      <c r="T159" s="206"/>
      <c r="U159" s="2"/>
      <c r="V159" s="24"/>
      <c r="W159" s="206"/>
      <c r="X159" s="2"/>
      <c r="Y159" s="15"/>
      <c r="AA159" s="2"/>
    </row>
    <row r="160" spans="2:27" ht="6.5" hidden="1" customHeight="1" x14ac:dyDescent="0.2">
      <c r="B160" s="89"/>
      <c r="C160" s="87"/>
      <c r="D160" s="17"/>
      <c r="E160" s="96"/>
      <c r="F160" s="96"/>
      <c r="G160" s="24"/>
      <c r="H160" s="27"/>
      <c r="I160" s="2"/>
      <c r="J160" s="24"/>
      <c r="K160" s="27"/>
      <c r="L160" s="2"/>
      <c r="M160" s="24"/>
      <c r="N160" s="27"/>
      <c r="O160" s="2"/>
      <c r="P160" s="24"/>
      <c r="Q160" s="27"/>
      <c r="R160" s="2"/>
      <c r="S160" s="24"/>
      <c r="T160" s="27"/>
      <c r="U160" s="2"/>
      <c r="V160" s="24"/>
      <c r="W160" s="27"/>
      <c r="X160" s="2"/>
      <c r="Y160" s="15"/>
    </row>
    <row r="161" spans="1:27" ht="21" hidden="1" customHeight="1" x14ac:dyDescent="0.2">
      <c r="B161" s="90"/>
      <c r="C161" s="88"/>
      <c r="D161" s="99" t="s">
        <v>209</v>
      </c>
      <c r="E161" s="96" t="s">
        <v>199</v>
      </c>
      <c r="F161" s="96" t="s">
        <v>199</v>
      </c>
      <c r="G161" s="80"/>
      <c r="H161" s="210">
        <f>IFERROR(H156+H158+H159,0)</f>
        <v>0</v>
      </c>
      <c r="I161" s="2"/>
      <c r="J161" s="80"/>
      <c r="K161" s="210">
        <f>IFERROR(K156+K158+K159,0)</f>
        <v>0</v>
      </c>
      <c r="L161" s="2"/>
      <c r="M161" s="80"/>
      <c r="N161" s="210">
        <f>IFERROR(N156+N158+N159,0)</f>
        <v>0</v>
      </c>
      <c r="O161" s="2"/>
      <c r="P161" s="80"/>
      <c r="Q161" s="210">
        <f>IFERROR(Q156+Q158+Q159,0)</f>
        <v>0</v>
      </c>
      <c r="R161" s="2"/>
      <c r="S161" s="80"/>
      <c r="T161" s="210">
        <f>IFERROR(T156+T158+T159,0)</f>
        <v>0</v>
      </c>
      <c r="U161" s="2"/>
      <c r="V161" s="80"/>
      <c r="W161" s="210">
        <f>IFERROR(W156+W158+W159,0)</f>
        <v>0</v>
      </c>
      <c r="X161" s="2"/>
      <c r="Y161" s="15"/>
    </row>
    <row r="162" spans="1:27" ht="21" hidden="1" customHeight="1" x14ac:dyDescent="0.2">
      <c r="B162" s="90"/>
      <c r="C162" s="88"/>
      <c r="D162" s="93" t="s">
        <v>210</v>
      </c>
      <c r="E162" s="96">
        <f>IF(MONTH(H143)=MONTH(H144),((YEAR(H144)-YEAR(H143))*12)-12+(12-MONTH(H143))+MONTH(H144)-1+(EOMONTH(H143,0)-H143+1)/DAY(EOMONTH(H143,0))+(1-(EOMONTH(H144,0)-H144)/DAY(EOMONTH(H144,0))),((YEAR(H144)-YEAR(H143))*12)-12+(12-MONTH(H143))+MONTH(H144)-1+(EOMONTH(H143,0)-H143+1)/DAY(EOMONTH(H143,0))+(1-(EOMONTH(H144,0)-H144)/DAY(EOMONTH(H144,0))))</f>
        <v>3.2258064516129004E-2</v>
      </c>
      <c r="F162" s="96">
        <f>ROUND(IF(AND(H143&lt;&gt;"",H144&lt;&gt;""),IF(E162&lt;=1,1,E162),0),2)</f>
        <v>0</v>
      </c>
      <c r="G162" s="17"/>
      <c r="H162" s="210">
        <f>ROUND(IFERROR(H161/F162,0),2)</f>
        <v>0</v>
      </c>
      <c r="I162" s="2"/>
      <c r="J162" s="17"/>
      <c r="K162" s="210">
        <f>ROUND(IFERROR(K161/F152,0),2)</f>
        <v>0</v>
      </c>
      <c r="L162" s="2"/>
      <c r="M162" s="17"/>
      <c r="N162" s="210">
        <f>ROUND(IFERROR(N161/F151,0),2)</f>
        <v>0</v>
      </c>
      <c r="O162" s="2"/>
      <c r="P162" s="17"/>
      <c r="Q162" s="210">
        <f>ROUND(IFERROR(Q161/F150,0),2)</f>
        <v>0</v>
      </c>
      <c r="R162" s="2"/>
      <c r="S162" s="17"/>
      <c r="T162" s="210">
        <f>ROUND(IFERROR(T161/F149,0),2)</f>
        <v>0</v>
      </c>
      <c r="U162" s="2"/>
      <c r="V162" s="17"/>
      <c r="W162" s="210">
        <f>ROUND(IFERROR(W161/F148,0),2)</f>
        <v>0</v>
      </c>
      <c r="X162" s="2"/>
      <c r="Y162" s="15"/>
    </row>
    <row r="163" spans="1:27" ht="8.25" hidden="1" customHeight="1" thickBot="1" x14ac:dyDescent="0.25">
      <c r="B163" s="18"/>
      <c r="C163" s="19"/>
      <c r="D163" s="19"/>
      <c r="E163" s="19"/>
      <c r="F163" s="19"/>
      <c r="G163" s="19"/>
      <c r="H163" s="19"/>
      <c r="I163" s="19"/>
      <c r="J163" s="19"/>
      <c r="K163" s="19"/>
      <c r="L163" s="19"/>
      <c r="M163" s="19"/>
      <c r="N163" s="19"/>
      <c r="O163" s="19"/>
      <c r="P163" s="19"/>
      <c r="Q163" s="19"/>
      <c r="R163" s="19"/>
      <c r="S163" s="19"/>
      <c r="T163" s="19"/>
      <c r="U163" s="19"/>
      <c r="V163" s="19"/>
      <c r="W163" s="19"/>
      <c r="X163" s="19"/>
      <c r="Y163" s="20"/>
    </row>
    <row r="164" spans="1:27" ht="14" customHeight="1" thickBot="1" x14ac:dyDescent="0.25">
      <c r="B164" s="3"/>
      <c r="E164" s="31"/>
      <c r="F164" s="31"/>
      <c r="I164" s="21"/>
      <c r="J164" s="21"/>
      <c r="K164" s="21"/>
      <c r="L164" s="21"/>
      <c r="M164" s="21"/>
      <c r="N164" s="21"/>
      <c r="O164" s="21"/>
      <c r="P164" s="21"/>
      <c r="Q164" s="21"/>
      <c r="R164" s="21"/>
      <c r="S164" s="21"/>
      <c r="T164" s="21"/>
      <c r="U164" s="21"/>
      <c r="V164" s="21"/>
      <c r="W164" s="21"/>
      <c r="X164" s="21"/>
    </row>
    <row r="165" spans="1:27" ht="21" customHeight="1" thickBot="1" x14ac:dyDescent="0.25">
      <c r="A165" s="2"/>
      <c r="B165" s="7" t="s">
        <v>2</v>
      </c>
      <c r="C165" s="86" t="s">
        <v>201</v>
      </c>
      <c r="D165" s="32"/>
      <c r="E165" s="95"/>
      <c r="F165" s="95"/>
      <c r="G165" s="295" t="str">
        <f>IF(OR(SAM!E210=0,SAM!E210=""),"",SAM!E210)</f>
        <v/>
      </c>
      <c r="H165" s="295"/>
      <c r="I165" s="295"/>
      <c r="J165" s="295"/>
      <c r="K165" s="295"/>
      <c r="L165" s="295"/>
      <c r="M165" s="9"/>
      <c r="N165" s="9"/>
      <c r="O165" s="9"/>
      <c r="P165" s="9"/>
      <c r="Q165" s="9"/>
      <c r="R165" s="9"/>
      <c r="S165" s="9"/>
      <c r="T165" s="9"/>
      <c r="U165" s="9"/>
      <c r="V165" s="9"/>
      <c r="W165" s="9"/>
      <c r="X165" s="9"/>
      <c r="Y165" s="11"/>
    </row>
    <row r="166" spans="1:27" ht="6.75" hidden="1" customHeight="1" x14ac:dyDescent="0.2">
      <c r="B166" s="22"/>
      <c r="C166" s="21"/>
      <c r="D166" s="21"/>
      <c r="E166" s="21"/>
      <c r="F166" s="21"/>
      <c r="G166" s="21"/>
      <c r="H166" s="21"/>
      <c r="I166" s="21"/>
      <c r="J166" s="21"/>
      <c r="K166" s="21"/>
      <c r="L166" s="21"/>
      <c r="M166" s="21"/>
      <c r="N166" s="21"/>
      <c r="O166" s="21"/>
      <c r="P166" s="21"/>
      <c r="Q166" s="21"/>
      <c r="R166" s="21"/>
      <c r="S166" s="21"/>
      <c r="T166" s="21"/>
      <c r="U166" s="21"/>
      <c r="V166" s="21"/>
      <c r="W166" s="21"/>
      <c r="X166" s="21"/>
      <c r="Y166" s="23"/>
    </row>
    <row r="167" spans="1:27" ht="21" hidden="1" customHeight="1" x14ac:dyDescent="0.2">
      <c r="B167" s="14"/>
      <c r="D167" s="93" t="s">
        <v>230</v>
      </c>
      <c r="G167" s="104" t="s">
        <v>65</v>
      </c>
      <c r="H167" s="106"/>
      <c r="I167" s="104" t="s">
        <v>65</v>
      </c>
      <c r="J167" s="104" t="s">
        <v>65</v>
      </c>
      <c r="K167" s="106"/>
      <c r="L167" s="104" t="s">
        <v>65</v>
      </c>
      <c r="M167" s="104" t="s">
        <v>65</v>
      </c>
      <c r="N167" s="106"/>
      <c r="O167" s="104" t="s">
        <v>65</v>
      </c>
      <c r="P167" s="104" t="s">
        <v>65</v>
      </c>
      <c r="Q167" s="106"/>
      <c r="R167" s="104" t="s">
        <v>65</v>
      </c>
      <c r="S167" s="104" t="s">
        <v>65</v>
      </c>
      <c r="T167" s="106"/>
      <c r="U167" s="104" t="s">
        <v>65</v>
      </c>
      <c r="V167" s="104" t="s">
        <v>65</v>
      </c>
      <c r="W167" s="106"/>
      <c r="X167" s="104" t="s">
        <v>65</v>
      </c>
      <c r="Y167" s="15"/>
      <c r="AA167" s="2"/>
    </row>
    <row r="168" spans="1:27" ht="6.75" hidden="1" customHeight="1" x14ac:dyDescent="0.2">
      <c r="B168" s="14"/>
      <c r="H168" s="96"/>
      <c r="K168" s="96"/>
      <c r="N168" s="96"/>
      <c r="Q168" s="96"/>
      <c r="T168" s="96"/>
      <c r="W168" s="96"/>
      <c r="Y168" s="15"/>
      <c r="AA168" s="2"/>
    </row>
    <row r="169" spans="1:27" ht="21" hidden="1" customHeight="1" x14ac:dyDescent="0.2">
      <c r="B169" s="14"/>
      <c r="D169" s="93" t="s">
        <v>198</v>
      </c>
      <c r="E169" s="96" t="s">
        <v>199</v>
      </c>
      <c r="F169" s="96" t="s">
        <v>199</v>
      </c>
      <c r="G169" s="94"/>
      <c r="H169" s="91"/>
      <c r="J169" s="94"/>
      <c r="K169" s="91"/>
      <c r="M169" s="94"/>
      <c r="N169" s="91"/>
      <c r="P169" s="94"/>
      <c r="Q169" s="91"/>
      <c r="S169" s="94"/>
      <c r="T169" s="91"/>
      <c r="V169" s="94"/>
      <c r="W169" s="91"/>
      <c r="Y169" s="15"/>
      <c r="AA169" s="2"/>
    </row>
    <row r="170" spans="1:27" ht="21" hidden="1" customHeight="1" x14ac:dyDescent="0.2">
      <c r="B170" s="14"/>
      <c r="D170" s="93" t="s">
        <v>208</v>
      </c>
      <c r="E170" s="96" t="s">
        <v>199</v>
      </c>
      <c r="F170" s="96" t="s">
        <v>199</v>
      </c>
      <c r="G170" s="94"/>
      <c r="H170" s="92"/>
      <c r="J170" s="94"/>
      <c r="K170" s="92"/>
      <c r="M170" s="94"/>
      <c r="N170" s="92"/>
      <c r="P170" s="94"/>
      <c r="Q170" s="92"/>
      <c r="S170" s="94"/>
      <c r="T170" s="92"/>
      <c r="V170" s="94"/>
      <c r="W170" s="92"/>
      <c r="Y170" s="15"/>
      <c r="AA170" s="2"/>
    </row>
    <row r="171" spans="1:27" ht="6.75" hidden="1" customHeight="1" x14ac:dyDescent="0.2">
      <c r="B171" s="14"/>
      <c r="E171" s="96" t="s">
        <v>199</v>
      </c>
      <c r="F171" s="96" t="s">
        <v>199</v>
      </c>
      <c r="Y171" s="15"/>
      <c r="AA171" s="2"/>
    </row>
    <row r="172" spans="1:27" ht="21" hidden="1" customHeight="1" x14ac:dyDescent="0.2">
      <c r="B172" s="89" t="s">
        <v>202</v>
      </c>
      <c r="C172" s="87"/>
      <c r="D172" s="17"/>
      <c r="E172" s="96" t="s">
        <v>199</v>
      </c>
      <c r="F172" s="96" t="s">
        <v>199</v>
      </c>
      <c r="G172" s="17"/>
      <c r="H172" s="203"/>
      <c r="I172" s="2"/>
      <c r="J172" s="17"/>
      <c r="K172" s="203"/>
      <c r="L172" s="2"/>
      <c r="M172" s="17"/>
      <c r="N172" s="203"/>
      <c r="O172" s="2"/>
      <c r="P172" s="17"/>
      <c r="Q172" s="203"/>
      <c r="R172" s="2"/>
      <c r="S172" s="17"/>
      <c r="T172" s="203"/>
      <c r="U172" s="2"/>
      <c r="V172" s="17"/>
      <c r="W172" s="203"/>
      <c r="X172" s="2"/>
      <c r="Y172" s="15"/>
      <c r="AA172" s="2"/>
    </row>
    <row r="173" spans="1:27" ht="21" hidden="1" customHeight="1" x14ac:dyDescent="0.2">
      <c r="B173" s="89" t="s">
        <v>192</v>
      </c>
      <c r="C173" s="87"/>
      <c r="D173" s="17"/>
      <c r="E173" s="96" t="s">
        <v>199</v>
      </c>
      <c r="F173" s="96" t="s">
        <v>199</v>
      </c>
      <c r="G173" s="24" t="s">
        <v>9</v>
      </c>
      <c r="H173" s="209"/>
      <c r="I173" s="25" t="s">
        <v>10</v>
      </c>
      <c r="J173" s="24" t="s">
        <v>9</v>
      </c>
      <c r="K173" s="209"/>
      <c r="L173" s="25" t="s">
        <v>10</v>
      </c>
      <c r="M173" s="24" t="s">
        <v>9</v>
      </c>
      <c r="N173" s="209"/>
      <c r="O173" s="25" t="s">
        <v>10</v>
      </c>
      <c r="P173" s="24" t="s">
        <v>9</v>
      </c>
      <c r="Q173" s="209"/>
      <c r="R173" s="25" t="s">
        <v>10</v>
      </c>
      <c r="S173" s="24" t="s">
        <v>9</v>
      </c>
      <c r="T173" s="209"/>
      <c r="U173" s="25" t="s">
        <v>10</v>
      </c>
      <c r="V173" s="24" t="s">
        <v>9</v>
      </c>
      <c r="W173" s="209"/>
      <c r="X173" s="25" t="s">
        <v>10</v>
      </c>
      <c r="Y173" s="15"/>
      <c r="AA173" s="2"/>
    </row>
    <row r="174" spans="1:27" ht="21" hidden="1" customHeight="1" x14ac:dyDescent="0.2">
      <c r="B174" s="89" t="s">
        <v>193</v>
      </c>
      <c r="C174" s="87"/>
      <c r="D174" s="17"/>
      <c r="E174" s="96">
        <f>IF(MONTH(W169)=MONTH(W170),((YEAR(W170)-YEAR(W169))*12)-12+(12-MONTH(W169))+MONTH(W170)-1+(EOMONTH(W169,0)-W169+1)/DAY(EOMONTH(W169,0))+(1-(EOMONTH(W170,0)-W170)/DAY(EOMONTH(W170,0))),((YEAR(W170)-YEAR(W169))*12)-12+(12-MONTH(W169))+MONTH(W170)-1+(EOMONTH(W169,0)-W169+1)/DAY(EOMONTH(W169,0))+(1-(EOMONTH(W170,0)-W170)/DAY(EOMONTH(W170,0))))</f>
        <v>3.2258064516129004E-2</v>
      </c>
      <c r="F174" s="96">
        <f>ROUND(IF(AND(W169&lt;&gt;"",W170&lt;&gt;""),IF(E174&lt;=1,1,E174),0),2)</f>
        <v>0</v>
      </c>
      <c r="G174" s="17"/>
      <c r="H174" s="204"/>
      <c r="I174" s="2"/>
      <c r="J174" s="17"/>
      <c r="K174" s="204"/>
      <c r="L174" s="2"/>
      <c r="M174" s="17"/>
      <c r="N174" s="204"/>
      <c r="O174" s="2"/>
      <c r="P174" s="17"/>
      <c r="Q174" s="204"/>
      <c r="R174" s="2"/>
      <c r="S174" s="17"/>
      <c r="T174" s="204"/>
      <c r="U174" s="2"/>
      <c r="V174" s="17"/>
      <c r="W174" s="204"/>
      <c r="X174" s="2"/>
      <c r="Y174" s="15"/>
      <c r="AA174" s="2"/>
    </row>
    <row r="175" spans="1:27" ht="21" hidden="1" customHeight="1" x14ac:dyDescent="0.2">
      <c r="B175" s="89" t="s">
        <v>197</v>
      </c>
      <c r="C175" s="87"/>
      <c r="D175" s="17"/>
      <c r="E175" s="96">
        <f>IF(MONTH(T169)=MONTH(T170),((YEAR(T170)-YEAR(T169))*12)-12+(12-MONTH(T169))+MONTH(T170)-1+(EOMONTH(T169,0)-T169+1)/DAY(EOMONTH(T169,0))+(1-(EOMONTH(T170,0)-T170)/DAY(EOMONTH(T170,0))),((YEAR(T170)-YEAR(T169))*12)-12+(12-MONTH(T169))+MONTH(T170)-1+(EOMONTH(T169,0)-T169+1)/DAY(EOMONTH(T169,0))+(1-(EOMONTH(T170,0)-T170)/DAY(EOMONTH(T170,0))))</f>
        <v>3.2258064516129004E-2</v>
      </c>
      <c r="F175" s="96">
        <f>ROUND(IF(AND(T169&lt;&gt;"",T170&lt;&gt;""),IF(E175&lt;=1,1,E175),0),2)</f>
        <v>0</v>
      </c>
      <c r="G175" s="17"/>
      <c r="H175" s="204"/>
      <c r="I175" s="2"/>
      <c r="J175" s="17"/>
      <c r="K175" s="204"/>
      <c r="L175" s="2"/>
      <c r="M175" s="17"/>
      <c r="N175" s="204"/>
      <c r="O175" s="2"/>
      <c r="P175" s="17"/>
      <c r="Q175" s="204"/>
      <c r="R175" s="2"/>
      <c r="S175" s="17"/>
      <c r="T175" s="204"/>
      <c r="U175" s="2"/>
      <c r="V175" s="17"/>
      <c r="W175" s="204"/>
      <c r="X175" s="2"/>
      <c r="Y175" s="15"/>
      <c r="AA175" s="2"/>
    </row>
    <row r="176" spans="1:27" ht="21" hidden="1" customHeight="1" x14ac:dyDescent="0.2">
      <c r="B176" s="89" t="s">
        <v>194</v>
      </c>
      <c r="C176" s="87"/>
      <c r="D176" s="17"/>
      <c r="E176" s="105">
        <f>IF(MONTH(Q169)=MONTH(Q170),((YEAR(Q170)-YEAR(Q169))*12)-12+(12-MONTH(Q169))+MONTH(Q170)-1+(EOMONTH(Q169,0)-Q169+1)/DAY(EOMONTH(Q169,0))+(1-(EOMONTH(Q170,0)-Q170)/DAY(EOMONTH(Q170,0))),((YEAR(Q170)-YEAR(Q169))*12)-12+(12-MONTH(Q169))+MONTH(Q170)-1+(EOMONTH(Q169,0)-Q169+1)/DAY(EOMONTH(Q169,0))+(1-(EOMONTH(Q170,0)-Q170)/DAY(EOMONTH(Q170,0))))</f>
        <v>3.2258064516129004E-2</v>
      </c>
      <c r="F176" s="105">
        <f>ROUND(IF(AND(Q169&lt;&gt;"",Q170&lt;&gt;""),IF(E176&lt;=1,1,E176),0),2)</f>
        <v>0</v>
      </c>
      <c r="G176" s="17"/>
      <c r="H176" s="204"/>
      <c r="I176" s="2"/>
      <c r="J176" s="17"/>
      <c r="K176" s="204"/>
      <c r="L176" s="2"/>
      <c r="M176" s="17"/>
      <c r="N176" s="204"/>
      <c r="O176" s="2"/>
      <c r="P176" s="17"/>
      <c r="Q176" s="204"/>
      <c r="R176" s="2"/>
      <c r="S176" s="17"/>
      <c r="T176" s="204"/>
      <c r="U176" s="2"/>
      <c r="V176" s="17"/>
      <c r="W176" s="204"/>
      <c r="X176" s="2"/>
      <c r="Y176" s="15"/>
      <c r="AA176" s="2"/>
    </row>
    <row r="177" spans="1:27" ht="21" hidden="1" customHeight="1" x14ac:dyDescent="0.2">
      <c r="B177" s="89" t="s">
        <v>195</v>
      </c>
      <c r="C177" s="87"/>
      <c r="D177" s="17"/>
      <c r="E177" s="96">
        <f>IF(MONTH(N169)=MONTH(N170),((YEAR(N170)-YEAR(N169))*12)-12+(12-MONTH(N169))+MONTH(N170)-1+(EOMONTH(N169,0)-N169+1)/DAY(EOMONTH(N169,0))+(1-(EOMONTH(N170,0)-N170)/DAY(EOMONTH(N170,0))),((YEAR(N170)-YEAR(N169))*12)-12+(12-MONTH(N169))+MONTH(N170)-1+(EOMONTH(N169,0)-N169+1)/DAY(EOMONTH(N169,0))+(1-(EOMONTH(N170,0)-N170)/DAY(EOMONTH(N170,0))))</f>
        <v>3.2258064516129004E-2</v>
      </c>
      <c r="F177" s="96">
        <f>ROUND(IF(AND(N169&lt;&gt;"",N170&lt;&gt;""),IF(E177&lt;=1,1,E177),0),2)</f>
        <v>0</v>
      </c>
      <c r="G177" s="17"/>
      <c r="H177" s="204"/>
      <c r="I177" s="2"/>
      <c r="J177" s="17"/>
      <c r="K177" s="204"/>
      <c r="L177" s="2"/>
      <c r="M177" s="17"/>
      <c r="N177" s="204"/>
      <c r="O177" s="2"/>
      <c r="P177" s="17"/>
      <c r="Q177" s="204"/>
      <c r="R177" s="2"/>
      <c r="S177" s="17"/>
      <c r="T177" s="204"/>
      <c r="U177" s="2"/>
      <c r="V177" s="17"/>
      <c r="W177" s="204"/>
      <c r="X177" s="2"/>
      <c r="Y177" s="15"/>
      <c r="AA177" s="2"/>
    </row>
    <row r="178" spans="1:27" ht="21" hidden="1" customHeight="1" x14ac:dyDescent="0.2">
      <c r="B178" s="89" t="s">
        <v>196</v>
      </c>
      <c r="C178" s="87"/>
      <c r="D178" s="107"/>
      <c r="E178" s="96">
        <f>IF(MONTH(K169)=MONTH(K170),((YEAR(K170)-YEAR(K169))*12)-12+(12-MONTH(K169))+MONTH(K170)-1+(EOMONTH(K169,0)-K169+1)/DAY(EOMONTH(K169,0))+(1-(EOMONTH(K170,0)-K170)/DAY(EOMONTH(K170,0))),((YEAR(K170)-YEAR(K169))*12)-12+(12-MONTH(K169))+MONTH(K170)-1+(EOMONTH(K169,0)-K169+1)/DAY(EOMONTH(K169,0))+(1-(EOMONTH(K170,0)-K170)/DAY(EOMONTH(K170,0))))</f>
        <v>3.2258064516129004E-2</v>
      </c>
      <c r="F178" s="96">
        <f>ROUND(IF(AND(K169&lt;&gt;"",K170&lt;&gt;""),IF(E178&lt;=1,1,E178),0),2)</f>
        <v>0</v>
      </c>
      <c r="G178" s="103" t="s">
        <v>65</v>
      </c>
      <c r="H178" s="206"/>
      <c r="I178" s="2"/>
      <c r="J178" s="2"/>
      <c r="K178" s="206"/>
      <c r="L178" s="2"/>
      <c r="M178" s="2"/>
      <c r="N178" s="206"/>
      <c r="O178" s="2"/>
      <c r="P178" s="2"/>
      <c r="Q178" s="206"/>
      <c r="R178" s="2"/>
      <c r="S178" s="2"/>
      <c r="T178" s="206"/>
      <c r="U178" s="2"/>
      <c r="V178" s="2"/>
      <c r="W178" s="206"/>
      <c r="X178" s="2"/>
      <c r="Y178" s="15"/>
      <c r="AA178" s="2"/>
    </row>
    <row r="179" spans="1:27" ht="13.25" hidden="1" customHeight="1" x14ac:dyDescent="0.2">
      <c r="B179" s="89"/>
      <c r="C179" s="87"/>
      <c r="D179" s="17"/>
      <c r="E179" s="96" t="s">
        <v>199</v>
      </c>
      <c r="F179" s="96" t="s">
        <v>199</v>
      </c>
      <c r="G179" s="24"/>
      <c r="H179" s="27"/>
      <c r="I179" s="2"/>
      <c r="J179" s="24"/>
      <c r="K179" s="27"/>
      <c r="L179" s="2"/>
      <c r="M179" s="24"/>
      <c r="N179" s="27"/>
      <c r="O179" s="2"/>
      <c r="P179" s="24"/>
      <c r="Q179" s="27"/>
      <c r="R179" s="2"/>
      <c r="S179" s="24"/>
      <c r="T179" s="27"/>
      <c r="U179" s="2"/>
      <c r="V179" s="24"/>
      <c r="W179" s="27"/>
      <c r="X179" s="2"/>
      <c r="Y179" s="15"/>
      <c r="AA179" s="2"/>
    </row>
    <row r="180" spans="1:27" ht="21" hidden="1" customHeight="1" x14ac:dyDescent="0.2">
      <c r="B180" s="89" t="s">
        <v>3</v>
      </c>
      <c r="C180" s="87"/>
      <c r="D180" s="17"/>
      <c r="E180" s="96"/>
      <c r="F180" s="96"/>
      <c r="G180" s="24"/>
      <c r="H180" s="222">
        <f>IFERROR(SUM(H174:H178)-H173+H172,0)</f>
        <v>0</v>
      </c>
      <c r="I180" s="2"/>
      <c r="J180" s="24"/>
      <c r="K180" s="222">
        <f>IFERROR(SUM(K174:K178)-K173+K172,0)</f>
        <v>0</v>
      </c>
      <c r="L180" s="2"/>
      <c r="M180" s="24"/>
      <c r="N180" s="222">
        <f>IFERROR(SUM(N174:N178)-N173+N172,0)</f>
        <v>0</v>
      </c>
      <c r="O180" s="2"/>
      <c r="P180" s="24"/>
      <c r="Q180" s="222">
        <f>IFERROR(SUM(Q174:Q178)-Q173+Q172,0)</f>
        <v>0</v>
      </c>
      <c r="R180" s="2"/>
      <c r="S180" s="24"/>
      <c r="T180" s="222">
        <f>IFERROR(SUM(T174:T178)-T173+T172,0)</f>
        <v>0</v>
      </c>
      <c r="U180" s="2"/>
      <c r="V180" s="24"/>
      <c r="W180" s="222">
        <f>IFERROR(SUM(W174:W178)-W173+W172,0)</f>
        <v>0</v>
      </c>
      <c r="X180" s="2"/>
      <c r="Y180" s="15"/>
      <c r="AA180" s="2"/>
    </row>
    <row r="181" spans="1:27" ht="21" hidden="1" customHeight="1" x14ac:dyDescent="0.2">
      <c r="B181" s="89" t="s">
        <v>213</v>
      </c>
      <c r="C181" s="87"/>
      <c r="D181" s="17"/>
      <c r="E181" s="96"/>
      <c r="F181" s="96"/>
      <c r="G181" s="24"/>
      <c r="H181" s="54"/>
      <c r="I181" s="2"/>
      <c r="J181" s="24"/>
      <c r="K181" s="54"/>
      <c r="L181" s="2"/>
      <c r="M181" s="24"/>
      <c r="N181" s="54"/>
      <c r="O181" s="2"/>
      <c r="P181" s="24"/>
      <c r="Q181" s="54"/>
      <c r="R181" s="2"/>
      <c r="S181" s="24"/>
      <c r="T181" s="54"/>
      <c r="U181" s="2"/>
      <c r="V181" s="24"/>
      <c r="W181" s="54"/>
      <c r="X181" s="2"/>
      <c r="Y181" s="15"/>
      <c r="AA181" s="2"/>
    </row>
    <row r="182" spans="1:27" ht="21" hidden="1" customHeight="1" x14ac:dyDescent="0.2">
      <c r="B182" s="89" t="s">
        <v>203</v>
      </c>
      <c r="C182" s="87"/>
      <c r="D182" s="17"/>
      <c r="E182" s="96"/>
      <c r="F182" s="96"/>
      <c r="G182" s="24"/>
      <c r="H182" s="210">
        <f>ROUND(IFERROR(H180*H181,0),2)</f>
        <v>0</v>
      </c>
      <c r="I182" s="2"/>
      <c r="J182" s="24"/>
      <c r="K182" s="210">
        <f>ROUND(IFERROR(K180*K181,0),2)</f>
        <v>0</v>
      </c>
      <c r="L182" s="2"/>
      <c r="M182" s="24"/>
      <c r="N182" s="210">
        <f>ROUND(IFERROR(N180*N181,0),2)</f>
        <v>0</v>
      </c>
      <c r="O182" s="2"/>
      <c r="P182" s="24"/>
      <c r="Q182" s="210">
        <f>ROUND(IFERROR(Q180*Q181,0),2)</f>
        <v>0</v>
      </c>
      <c r="R182" s="2"/>
      <c r="S182" s="24"/>
      <c r="T182" s="210">
        <f>ROUND(IFERROR(T180*T181,0),2)</f>
        <v>0</v>
      </c>
      <c r="U182" s="2"/>
      <c r="V182" s="24"/>
      <c r="W182" s="210">
        <f>ROUND(IFERROR(W180*W181,0),2)</f>
        <v>0</v>
      </c>
      <c r="X182" s="2"/>
      <c r="Y182" s="15"/>
      <c r="AA182" s="2"/>
    </row>
    <row r="183" spans="1:27" ht="10.25" hidden="1" customHeight="1" x14ac:dyDescent="0.2">
      <c r="B183" s="89"/>
      <c r="C183" s="87"/>
      <c r="D183" s="17"/>
      <c r="E183" s="96"/>
      <c r="F183" s="96"/>
      <c r="G183" s="24"/>
      <c r="H183" s="27"/>
      <c r="I183" s="2"/>
      <c r="J183" s="24"/>
      <c r="K183" s="27"/>
      <c r="L183" s="2"/>
      <c r="M183" s="24"/>
      <c r="N183" s="27"/>
      <c r="O183" s="2"/>
      <c r="P183" s="24"/>
      <c r="Q183" s="27"/>
      <c r="R183" s="2"/>
      <c r="S183" s="24"/>
      <c r="T183" s="27"/>
      <c r="U183" s="2"/>
      <c r="V183" s="24"/>
      <c r="W183" s="27"/>
      <c r="X183" s="2"/>
      <c r="Y183" s="15"/>
      <c r="AA183" s="2"/>
    </row>
    <row r="184" spans="1:27" ht="21" hidden="1" customHeight="1" x14ac:dyDescent="0.2">
      <c r="B184" s="89" t="s">
        <v>204</v>
      </c>
      <c r="C184" s="87"/>
      <c r="D184" s="17"/>
      <c r="E184" s="96"/>
      <c r="F184" s="96"/>
      <c r="G184" s="24"/>
      <c r="H184" s="203"/>
      <c r="I184" s="2"/>
      <c r="J184" s="24"/>
      <c r="K184" s="203"/>
      <c r="L184" s="2"/>
      <c r="M184" s="24"/>
      <c r="N184" s="203"/>
      <c r="O184" s="2"/>
      <c r="P184" s="24"/>
      <c r="Q184" s="203"/>
      <c r="R184" s="2"/>
      <c r="S184" s="24"/>
      <c r="T184" s="203"/>
      <c r="U184" s="2"/>
      <c r="V184" s="24"/>
      <c r="W184" s="203"/>
      <c r="X184" s="2"/>
      <c r="Y184" s="15"/>
      <c r="AA184" s="2"/>
    </row>
    <row r="185" spans="1:27" ht="21" hidden="1" customHeight="1" x14ac:dyDescent="0.2">
      <c r="B185" s="89" t="s">
        <v>205</v>
      </c>
      <c r="C185" s="87"/>
      <c r="D185" s="17"/>
      <c r="E185" s="96"/>
      <c r="F185" s="96"/>
      <c r="G185" s="24"/>
      <c r="H185" s="206"/>
      <c r="I185" s="2"/>
      <c r="J185" s="24"/>
      <c r="K185" s="206"/>
      <c r="L185" s="2"/>
      <c r="M185" s="24"/>
      <c r="N185" s="206"/>
      <c r="O185" s="2"/>
      <c r="P185" s="24"/>
      <c r="Q185" s="206"/>
      <c r="R185" s="2"/>
      <c r="S185" s="24"/>
      <c r="T185" s="206"/>
      <c r="U185" s="2"/>
      <c r="V185" s="24"/>
      <c r="W185" s="206"/>
      <c r="X185" s="2"/>
      <c r="Y185" s="15"/>
      <c r="AA185" s="2"/>
    </row>
    <row r="186" spans="1:27" ht="6.5" hidden="1" customHeight="1" x14ac:dyDescent="0.2">
      <c r="B186" s="89"/>
      <c r="C186" s="87"/>
      <c r="D186" s="17"/>
      <c r="E186" s="96"/>
      <c r="F186" s="96"/>
      <c r="G186" s="24"/>
      <c r="H186" s="27"/>
      <c r="I186" s="2"/>
      <c r="J186" s="24"/>
      <c r="K186" s="27"/>
      <c r="L186" s="2"/>
      <c r="M186" s="24"/>
      <c r="N186" s="27"/>
      <c r="O186" s="2"/>
      <c r="P186" s="24"/>
      <c r="Q186" s="27"/>
      <c r="R186" s="2"/>
      <c r="S186" s="24"/>
      <c r="T186" s="27"/>
      <c r="U186" s="2"/>
      <c r="V186" s="24"/>
      <c r="W186" s="27"/>
      <c r="X186" s="2"/>
      <c r="Y186" s="15"/>
    </row>
    <row r="187" spans="1:27" ht="21" hidden="1" customHeight="1" x14ac:dyDescent="0.2">
      <c r="B187" s="90"/>
      <c r="C187" s="88"/>
      <c r="D187" s="99" t="s">
        <v>209</v>
      </c>
      <c r="E187" s="96" t="s">
        <v>199</v>
      </c>
      <c r="F187" s="96" t="s">
        <v>199</v>
      </c>
      <c r="G187" s="80"/>
      <c r="H187" s="210">
        <f>IFERROR(H182+H184+H185,0)</f>
        <v>0</v>
      </c>
      <c r="I187" s="2"/>
      <c r="J187" s="80"/>
      <c r="K187" s="210">
        <f>IFERROR(K182+K184+K185,0)</f>
        <v>0</v>
      </c>
      <c r="L187" s="2"/>
      <c r="M187" s="80"/>
      <c r="N187" s="210">
        <f>IFERROR(N182+N184+N185,0)</f>
        <v>0</v>
      </c>
      <c r="O187" s="2"/>
      <c r="P187" s="80"/>
      <c r="Q187" s="210">
        <f>IFERROR(Q182+Q184+Q185,0)</f>
        <v>0</v>
      </c>
      <c r="R187" s="2"/>
      <c r="S187" s="80"/>
      <c r="T187" s="210">
        <f>IFERROR(T182+T184+T185,0)</f>
        <v>0</v>
      </c>
      <c r="U187" s="2"/>
      <c r="V187" s="80"/>
      <c r="W187" s="210">
        <f>IFERROR(W182+W184+W185,0)</f>
        <v>0</v>
      </c>
      <c r="X187" s="2"/>
      <c r="Y187" s="15"/>
    </row>
    <row r="188" spans="1:27" ht="21" hidden="1" customHeight="1" x14ac:dyDescent="0.2">
      <c r="B188" s="90"/>
      <c r="C188" s="88"/>
      <c r="D188" s="93" t="s">
        <v>210</v>
      </c>
      <c r="E188" s="96">
        <f>IF(MONTH(H169)=MONTH(H170),((YEAR(H170)-YEAR(H169))*12)-12+(12-MONTH(H169))+MONTH(H170)-1+(EOMONTH(H169,0)-H169+1)/DAY(EOMONTH(H169,0))+(1-(EOMONTH(H170,0)-H170)/DAY(EOMONTH(H170,0))),((YEAR(H170)-YEAR(H169))*12)-12+(12-MONTH(H169))+MONTH(H170)-1+(EOMONTH(H169,0)-H169+1)/DAY(EOMONTH(H169,0))+(1-(EOMONTH(H170,0)-H170)/DAY(EOMONTH(H170,0))))</f>
        <v>3.2258064516129004E-2</v>
      </c>
      <c r="F188" s="96">
        <f>ROUND(IF(AND(H169&lt;&gt;"",H170&lt;&gt;""),IF(E188&lt;=1,1,E188),0),2)</f>
        <v>0</v>
      </c>
      <c r="G188" s="17"/>
      <c r="H188" s="210">
        <f>ROUND(IFERROR(H187/F188,0),2)</f>
        <v>0</v>
      </c>
      <c r="I188" s="2"/>
      <c r="J188" s="17"/>
      <c r="K188" s="210">
        <f>ROUND(IFERROR(K187/F178,0),2)</f>
        <v>0</v>
      </c>
      <c r="L188" s="2"/>
      <c r="M188" s="17"/>
      <c r="N188" s="210">
        <f>ROUND(IFERROR(N187/F177,0),2)</f>
        <v>0</v>
      </c>
      <c r="O188" s="2"/>
      <c r="P188" s="17"/>
      <c r="Q188" s="210">
        <f>ROUND(IFERROR(Q187/F176,0),2)</f>
        <v>0</v>
      </c>
      <c r="R188" s="2"/>
      <c r="S188" s="17"/>
      <c r="T188" s="210">
        <f>ROUND(IFERROR(T187/F175,0),2)</f>
        <v>0</v>
      </c>
      <c r="U188" s="2"/>
      <c r="V188" s="17"/>
      <c r="W188" s="210">
        <f>ROUND(IFERROR(W187/F174,0),2)</f>
        <v>0</v>
      </c>
      <c r="X188" s="2"/>
      <c r="Y188" s="15"/>
    </row>
    <row r="189" spans="1:27" ht="8.25" hidden="1" customHeight="1" thickBot="1" x14ac:dyDescent="0.25">
      <c r="B189" s="18"/>
      <c r="C189" s="19"/>
      <c r="D189" s="19"/>
      <c r="E189" s="19"/>
      <c r="F189" s="19"/>
      <c r="G189" s="19"/>
      <c r="H189" s="19"/>
      <c r="I189" s="19"/>
      <c r="J189" s="19"/>
      <c r="K189" s="19"/>
      <c r="L189" s="19"/>
      <c r="M189" s="19"/>
      <c r="N189" s="19"/>
      <c r="O189" s="19"/>
      <c r="P189" s="19"/>
      <c r="Q189" s="19"/>
      <c r="R189" s="19"/>
      <c r="S189" s="19"/>
      <c r="T189" s="19"/>
      <c r="U189" s="19"/>
      <c r="V189" s="19"/>
      <c r="W189" s="19"/>
      <c r="X189" s="19"/>
      <c r="Y189" s="20"/>
    </row>
    <row r="190" spans="1:27" ht="14" customHeight="1" thickBot="1" x14ac:dyDescent="0.25">
      <c r="B190" s="3"/>
      <c r="E190" s="31"/>
      <c r="F190" s="31"/>
      <c r="I190" s="21"/>
      <c r="J190" s="21"/>
      <c r="K190" s="21"/>
      <c r="L190" s="21"/>
      <c r="M190" s="21"/>
      <c r="N190" s="21"/>
      <c r="O190" s="21"/>
      <c r="P190" s="21"/>
      <c r="Q190" s="21"/>
      <c r="R190" s="21"/>
      <c r="S190" s="21"/>
      <c r="T190" s="21"/>
      <c r="U190" s="21"/>
      <c r="V190" s="21"/>
      <c r="W190" s="21"/>
      <c r="X190" s="21"/>
    </row>
    <row r="191" spans="1:27" ht="21" customHeight="1" thickBot="1" x14ac:dyDescent="0.25">
      <c r="A191" s="2"/>
      <c r="B191" s="7" t="s">
        <v>2</v>
      </c>
      <c r="C191" s="86" t="s">
        <v>201</v>
      </c>
      <c r="D191" s="32"/>
      <c r="E191" s="95"/>
      <c r="F191" s="95"/>
      <c r="G191" s="295" t="str">
        <f>IF(OR(SAM!E242=0,SAM!E242=""),"",SAM!E242)</f>
        <v/>
      </c>
      <c r="H191" s="295"/>
      <c r="I191" s="295"/>
      <c r="J191" s="295"/>
      <c r="K191" s="295"/>
      <c r="L191" s="295"/>
      <c r="M191" s="9"/>
      <c r="N191" s="9"/>
      <c r="O191" s="9"/>
      <c r="P191" s="9"/>
      <c r="Q191" s="9"/>
      <c r="R191" s="9"/>
      <c r="S191" s="9"/>
      <c r="T191" s="9"/>
      <c r="U191" s="9"/>
      <c r="V191" s="9"/>
      <c r="W191" s="9"/>
      <c r="X191" s="9"/>
      <c r="Y191" s="11"/>
    </row>
    <row r="192" spans="1:27" ht="6.75" hidden="1" customHeight="1" x14ac:dyDescent="0.2">
      <c r="B192" s="22"/>
      <c r="C192" s="21"/>
      <c r="D192" s="21"/>
      <c r="E192" s="21"/>
      <c r="F192" s="21"/>
      <c r="G192" s="21"/>
      <c r="H192" s="21"/>
      <c r="I192" s="21"/>
      <c r="J192" s="21"/>
      <c r="K192" s="21"/>
      <c r="L192" s="21"/>
      <c r="M192" s="21"/>
      <c r="N192" s="21"/>
      <c r="O192" s="21"/>
      <c r="P192" s="21"/>
      <c r="Q192" s="21"/>
      <c r="R192" s="21"/>
      <c r="S192" s="21"/>
      <c r="T192" s="21"/>
      <c r="U192" s="21"/>
      <c r="V192" s="21"/>
      <c r="W192" s="21"/>
      <c r="X192" s="21"/>
      <c r="Y192" s="23"/>
    </row>
    <row r="193" spans="2:27" ht="21" hidden="1" customHeight="1" x14ac:dyDescent="0.2">
      <c r="B193" s="14"/>
      <c r="D193" s="93" t="s">
        <v>230</v>
      </c>
      <c r="G193" s="104" t="s">
        <v>65</v>
      </c>
      <c r="H193" s="106"/>
      <c r="I193" s="104" t="s">
        <v>65</v>
      </c>
      <c r="J193" s="104" t="s">
        <v>65</v>
      </c>
      <c r="K193" s="106"/>
      <c r="L193" s="104" t="s">
        <v>65</v>
      </c>
      <c r="M193" s="104" t="s">
        <v>65</v>
      </c>
      <c r="N193" s="106"/>
      <c r="O193" s="104" t="s">
        <v>65</v>
      </c>
      <c r="P193" s="104" t="s">
        <v>65</v>
      </c>
      <c r="Q193" s="106"/>
      <c r="R193" s="104" t="s">
        <v>65</v>
      </c>
      <c r="S193" s="104" t="s">
        <v>65</v>
      </c>
      <c r="T193" s="106"/>
      <c r="U193" s="104" t="s">
        <v>65</v>
      </c>
      <c r="V193" s="104" t="s">
        <v>65</v>
      </c>
      <c r="W193" s="106"/>
      <c r="X193" s="104" t="s">
        <v>65</v>
      </c>
      <c r="Y193" s="15"/>
      <c r="AA193" s="2"/>
    </row>
    <row r="194" spans="2:27" ht="6.75" hidden="1" customHeight="1" x14ac:dyDescent="0.2">
      <c r="B194" s="14"/>
      <c r="H194" s="96"/>
      <c r="K194" s="96"/>
      <c r="N194" s="96"/>
      <c r="Q194" s="96"/>
      <c r="T194" s="96"/>
      <c r="W194" s="96"/>
      <c r="Y194" s="15"/>
      <c r="AA194" s="2"/>
    </row>
    <row r="195" spans="2:27" ht="21" hidden="1" customHeight="1" x14ac:dyDescent="0.2">
      <c r="B195" s="14"/>
      <c r="D195" s="93" t="s">
        <v>198</v>
      </c>
      <c r="E195" s="96" t="s">
        <v>199</v>
      </c>
      <c r="F195" s="96" t="s">
        <v>199</v>
      </c>
      <c r="G195" s="94"/>
      <c r="H195" s="91"/>
      <c r="J195" s="94"/>
      <c r="K195" s="91"/>
      <c r="M195" s="94"/>
      <c r="N195" s="91"/>
      <c r="P195" s="94"/>
      <c r="Q195" s="91"/>
      <c r="S195" s="94"/>
      <c r="T195" s="91"/>
      <c r="V195" s="94"/>
      <c r="W195" s="91"/>
      <c r="Y195" s="15"/>
      <c r="AA195" s="2"/>
    </row>
    <row r="196" spans="2:27" ht="21" hidden="1" customHeight="1" x14ac:dyDescent="0.2">
      <c r="B196" s="14"/>
      <c r="D196" s="93" t="s">
        <v>208</v>
      </c>
      <c r="E196" s="96" t="s">
        <v>199</v>
      </c>
      <c r="F196" s="96" t="s">
        <v>199</v>
      </c>
      <c r="G196" s="94"/>
      <c r="H196" s="92"/>
      <c r="J196" s="94"/>
      <c r="K196" s="92"/>
      <c r="M196" s="94"/>
      <c r="N196" s="92"/>
      <c r="P196" s="94"/>
      <c r="Q196" s="92"/>
      <c r="S196" s="94"/>
      <c r="T196" s="92"/>
      <c r="V196" s="94"/>
      <c r="W196" s="92"/>
      <c r="Y196" s="15"/>
      <c r="AA196" s="2"/>
    </row>
    <row r="197" spans="2:27" ht="6.75" hidden="1" customHeight="1" x14ac:dyDescent="0.2">
      <c r="B197" s="14"/>
      <c r="E197" s="96" t="s">
        <v>199</v>
      </c>
      <c r="F197" s="96" t="s">
        <v>199</v>
      </c>
      <c r="Y197" s="15"/>
      <c r="AA197" s="2"/>
    </row>
    <row r="198" spans="2:27" ht="21" hidden="1" customHeight="1" x14ac:dyDescent="0.2">
      <c r="B198" s="89" t="s">
        <v>202</v>
      </c>
      <c r="C198" s="87"/>
      <c r="D198" s="17"/>
      <c r="E198" s="96" t="s">
        <v>199</v>
      </c>
      <c r="F198" s="96" t="s">
        <v>199</v>
      </c>
      <c r="G198" s="17"/>
      <c r="H198" s="203"/>
      <c r="I198" s="2"/>
      <c r="J198" s="17"/>
      <c r="K198" s="203"/>
      <c r="L198" s="2"/>
      <c r="M198" s="17"/>
      <c r="N198" s="203"/>
      <c r="O198" s="2"/>
      <c r="P198" s="17"/>
      <c r="Q198" s="203"/>
      <c r="R198" s="2"/>
      <c r="S198" s="17"/>
      <c r="T198" s="203"/>
      <c r="U198" s="2"/>
      <c r="V198" s="17"/>
      <c r="W198" s="203"/>
      <c r="X198" s="2"/>
      <c r="Y198" s="15"/>
      <c r="AA198" s="2"/>
    </row>
    <row r="199" spans="2:27" ht="21" hidden="1" customHeight="1" x14ac:dyDescent="0.2">
      <c r="B199" s="89" t="s">
        <v>192</v>
      </c>
      <c r="C199" s="87"/>
      <c r="D199" s="17"/>
      <c r="E199" s="96" t="s">
        <v>199</v>
      </c>
      <c r="F199" s="96" t="s">
        <v>199</v>
      </c>
      <c r="G199" s="24" t="s">
        <v>9</v>
      </c>
      <c r="H199" s="209"/>
      <c r="I199" s="25" t="s">
        <v>10</v>
      </c>
      <c r="J199" s="24" t="s">
        <v>9</v>
      </c>
      <c r="K199" s="209"/>
      <c r="L199" s="25" t="s">
        <v>10</v>
      </c>
      <c r="M199" s="24" t="s">
        <v>9</v>
      </c>
      <c r="N199" s="209"/>
      <c r="O199" s="25" t="s">
        <v>10</v>
      </c>
      <c r="P199" s="24" t="s">
        <v>9</v>
      </c>
      <c r="Q199" s="209"/>
      <c r="R199" s="25" t="s">
        <v>10</v>
      </c>
      <c r="S199" s="24" t="s">
        <v>9</v>
      </c>
      <c r="T199" s="209"/>
      <c r="U199" s="25" t="s">
        <v>10</v>
      </c>
      <c r="V199" s="24" t="s">
        <v>9</v>
      </c>
      <c r="W199" s="209"/>
      <c r="X199" s="25" t="s">
        <v>10</v>
      </c>
      <c r="Y199" s="15"/>
      <c r="AA199" s="2"/>
    </row>
    <row r="200" spans="2:27" ht="21" hidden="1" customHeight="1" x14ac:dyDescent="0.2">
      <c r="B200" s="89" t="s">
        <v>193</v>
      </c>
      <c r="C200" s="87"/>
      <c r="D200" s="17"/>
      <c r="E200" s="96">
        <f>IF(MONTH(W195)=MONTH(W196),((YEAR(W196)-YEAR(W195))*12)-12+(12-MONTH(W195))+MONTH(W196)-1+(EOMONTH(W195,0)-W195+1)/DAY(EOMONTH(W195,0))+(1-(EOMONTH(W196,0)-W196)/DAY(EOMONTH(W196,0))),((YEAR(W196)-YEAR(W195))*12)-12+(12-MONTH(W195))+MONTH(W196)-1+(EOMONTH(W195,0)-W195+1)/DAY(EOMONTH(W195,0))+(1-(EOMONTH(W196,0)-W196)/DAY(EOMONTH(W196,0))))</f>
        <v>3.2258064516129004E-2</v>
      </c>
      <c r="F200" s="96">
        <f>ROUND(IF(AND(W195&lt;&gt;"",W196&lt;&gt;""),IF(E200&lt;=1,1,E200),0),2)</f>
        <v>0</v>
      </c>
      <c r="G200" s="17"/>
      <c r="H200" s="204"/>
      <c r="I200" s="2"/>
      <c r="J200" s="17"/>
      <c r="K200" s="204"/>
      <c r="L200" s="2"/>
      <c r="M200" s="17"/>
      <c r="N200" s="204"/>
      <c r="O200" s="2"/>
      <c r="P200" s="17"/>
      <c r="Q200" s="204"/>
      <c r="R200" s="2"/>
      <c r="S200" s="17"/>
      <c r="T200" s="204"/>
      <c r="U200" s="2"/>
      <c r="V200" s="17"/>
      <c r="W200" s="204"/>
      <c r="X200" s="2"/>
      <c r="Y200" s="15"/>
      <c r="AA200" s="2"/>
    </row>
    <row r="201" spans="2:27" ht="21" hidden="1" customHeight="1" x14ac:dyDescent="0.2">
      <c r="B201" s="89" t="s">
        <v>197</v>
      </c>
      <c r="C201" s="87"/>
      <c r="D201" s="17"/>
      <c r="E201" s="96">
        <f>IF(MONTH(T195)=MONTH(T196),((YEAR(T196)-YEAR(T195))*12)-12+(12-MONTH(T195))+MONTH(T196)-1+(EOMONTH(T195,0)-T195+1)/DAY(EOMONTH(T195,0))+(1-(EOMONTH(T196,0)-T196)/DAY(EOMONTH(T196,0))),((YEAR(T196)-YEAR(T195))*12)-12+(12-MONTH(T195))+MONTH(T196)-1+(EOMONTH(T195,0)-T195+1)/DAY(EOMONTH(T195,0))+(1-(EOMONTH(T196,0)-T196)/DAY(EOMONTH(T196,0))))</f>
        <v>3.2258064516129004E-2</v>
      </c>
      <c r="F201" s="96">
        <f>ROUND(IF(AND(T195&lt;&gt;"",T196&lt;&gt;""),IF(E201&lt;=1,1,E201),0),2)</f>
        <v>0</v>
      </c>
      <c r="G201" s="17"/>
      <c r="H201" s="204"/>
      <c r="I201" s="2"/>
      <c r="J201" s="17"/>
      <c r="K201" s="204"/>
      <c r="L201" s="2"/>
      <c r="M201" s="17"/>
      <c r="N201" s="204"/>
      <c r="O201" s="2"/>
      <c r="P201" s="17"/>
      <c r="Q201" s="204"/>
      <c r="R201" s="2"/>
      <c r="S201" s="17"/>
      <c r="T201" s="204"/>
      <c r="U201" s="2"/>
      <c r="V201" s="17"/>
      <c r="W201" s="204"/>
      <c r="X201" s="2"/>
      <c r="Y201" s="15"/>
      <c r="AA201" s="2"/>
    </row>
    <row r="202" spans="2:27" ht="21" hidden="1" customHeight="1" x14ac:dyDescent="0.2">
      <c r="B202" s="89" t="s">
        <v>194</v>
      </c>
      <c r="C202" s="87"/>
      <c r="D202" s="17"/>
      <c r="E202" s="105">
        <f>IF(MONTH(Q195)=MONTH(Q196),((YEAR(Q196)-YEAR(Q195))*12)-12+(12-MONTH(Q195))+MONTH(Q196)-1+(EOMONTH(Q195,0)-Q195+1)/DAY(EOMONTH(Q195,0))+(1-(EOMONTH(Q196,0)-Q196)/DAY(EOMONTH(Q196,0))),((YEAR(Q196)-YEAR(Q195))*12)-12+(12-MONTH(Q195))+MONTH(Q196)-1+(EOMONTH(Q195,0)-Q195+1)/DAY(EOMONTH(Q195,0))+(1-(EOMONTH(Q196,0)-Q196)/DAY(EOMONTH(Q196,0))))</f>
        <v>3.2258064516129004E-2</v>
      </c>
      <c r="F202" s="105">
        <f>ROUND(IF(AND(Q195&lt;&gt;"",Q196&lt;&gt;""),IF(E202&lt;=1,1,E202),0),2)</f>
        <v>0</v>
      </c>
      <c r="G202" s="17"/>
      <c r="H202" s="204"/>
      <c r="I202" s="2"/>
      <c r="J202" s="17"/>
      <c r="K202" s="204"/>
      <c r="L202" s="2"/>
      <c r="M202" s="17"/>
      <c r="N202" s="204"/>
      <c r="O202" s="2"/>
      <c r="P202" s="17"/>
      <c r="Q202" s="204"/>
      <c r="R202" s="2"/>
      <c r="S202" s="17"/>
      <c r="T202" s="204"/>
      <c r="U202" s="2"/>
      <c r="V202" s="17"/>
      <c r="W202" s="204"/>
      <c r="X202" s="2"/>
      <c r="Y202" s="15"/>
      <c r="AA202" s="2"/>
    </row>
    <row r="203" spans="2:27" ht="21" hidden="1" customHeight="1" x14ac:dyDescent="0.2">
      <c r="B203" s="89" t="s">
        <v>195</v>
      </c>
      <c r="C203" s="87"/>
      <c r="D203" s="17"/>
      <c r="E203" s="96">
        <f>IF(MONTH(N195)=MONTH(N196),((YEAR(N196)-YEAR(N195))*12)-12+(12-MONTH(N195))+MONTH(N196)-1+(EOMONTH(N195,0)-N195+1)/DAY(EOMONTH(N195,0))+(1-(EOMONTH(N196,0)-N196)/DAY(EOMONTH(N196,0))),((YEAR(N196)-YEAR(N195))*12)-12+(12-MONTH(N195))+MONTH(N196)-1+(EOMONTH(N195,0)-N195+1)/DAY(EOMONTH(N195,0))+(1-(EOMONTH(N196,0)-N196)/DAY(EOMONTH(N196,0))))</f>
        <v>3.2258064516129004E-2</v>
      </c>
      <c r="F203" s="96">
        <f>ROUND(IF(AND(N195&lt;&gt;"",N196&lt;&gt;""),IF(E203&lt;=1,1,E203),0),2)</f>
        <v>0</v>
      </c>
      <c r="G203" s="17"/>
      <c r="H203" s="204"/>
      <c r="I203" s="2"/>
      <c r="J203" s="17"/>
      <c r="K203" s="204"/>
      <c r="L203" s="2"/>
      <c r="M203" s="17"/>
      <c r="N203" s="204"/>
      <c r="O203" s="2"/>
      <c r="P203" s="17"/>
      <c r="Q203" s="204"/>
      <c r="R203" s="2"/>
      <c r="S203" s="17"/>
      <c r="T203" s="204"/>
      <c r="U203" s="2"/>
      <c r="V203" s="17"/>
      <c r="W203" s="204"/>
      <c r="X203" s="2"/>
      <c r="Y203" s="15"/>
      <c r="AA203" s="2"/>
    </row>
    <row r="204" spans="2:27" ht="21" hidden="1" customHeight="1" x14ac:dyDescent="0.2">
      <c r="B204" s="89" t="s">
        <v>196</v>
      </c>
      <c r="C204" s="87"/>
      <c r="D204" s="107"/>
      <c r="E204" s="96">
        <f>IF(MONTH(K195)=MONTH(K196),((YEAR(K196)-YEAR(K195))*12)-12+(12-MONTH(K195))+MONTH(K196)-1+(EOMONTH(K195,0)-K195+1)/DAY(EOMONTH(K195,0))+(1-(EOMONTH(K196,0)-K196)/DAY(EOMONTH(K196,0))),((YEAR(K196)-YEAR(K195))*12)-12+(12-MONTH(K195))+MONTH(K196)-1+(EOMONTH(K195,0)-K195+1)/DAY(EOMONTH(K195,0))+(1-(EOMONTH(K196,0)-K196)/DAY(EOMONTH(K196,0))))</f>
        <v>3.2258064516129004E-2</v>
      </c>
      <c r="F204" s="96">
        <f>ROUND(IF(AND(K195&lt;&gt;"",K196&lt;&gt;""),IF(E204&lt;=1,1,E204),0),2)</f>
        <v>0</v>
      </c>
      <c r="G204" s="103" t="s">
        <v>65</v>
      </c>
      <c r="H204" s="206"/>
      <c r="I204" s="2"/>
      <c r="J204" s="2"/>
      <c r="K204" s="206"/>
      <c r="L204" s="2"/>
      <c r="M204" s="2"/>
      <c r="N204" s="206"/>
      <c r="O204" s="2"/>
      <c r="P204" s="2"/>
      <c r="Q204" s="206"/>
      <c r="R204" s="2"/>
      <c r="S204" s="2"/>
      <c r="T204" s="206"/>
      <c r="U204" s="2"/>
      <c r="V204" s="2"/>
      <c r="W204" s="206"/>
      <c r="X204" s="2"/>
      <c r="Y204" s="15"/>
      <c r="AA204" s="2"/>
    </row>
    <row r="205" spans="2:27" ht="13.25" hidden="1" customHeight="1" x14ac:dyDescent="0.2">
      <c r="B205" s="89"/>
      <c r="C205" s="87"/>
      <c r="D205" s="17"/>
      <c r="E205" s="96" t="s">
        <v>199</v>
      </c>
      <c r="F205" s="96" t="s">
        <v>199</v>
      </c>
      <c r="G205" s="24"/>
      <c r="H205" s="27"/>
      <c r="I205" s="2"/>
      <c r="J205" s="24"/>
      <c r="K205" s="27"/>
      <c r="L205" s="2"/>
      <c r="M205" s="24"/>
      <c r="N205" s="27"/>
      <c r="O205" s="2"/>
      <c r="P205" s="24"/>
      <c r="Q205" s="27"/>
      <c r="R205" s="2"/>
      <c r="S205" s="24"/>
      <c r="T205" s="27"/>
      <c r="U205" s="2"/>
      <c r="V205" s="24"/>
      <c r="W205" s="27"/>
      <c r="X205" s="2"/>
      <c r="Y205" s="15"/>
      <c r="AA205" s="2"/>
    </row>
    <row r="206" spans="2:27" ht="21" hidden="1" customHeight="1" x14ac:dyDescent="0.2">
      <c r="B206" s="89" t="s">
        <v>3</v>
      </c>
      <c r="C206" s="87"/>
      <c r="D206" s="17"/>
      <c r="E206" s="96"/>
      <c r="F206" s="96"/>
      <c r="G206" s="24"/>
      <c r="H206" s="222">
        <f>IFERROR(SUM(H200:H204)-H199+H198,0)</f>
        <v>0</v>
      </c>
      <c r="I206" s="2"/>
      <c r="J206" s="24"/>
      <c r="K206" s="222">
        <f>IFERROR(SUM(K200:K204)-K199+K198,0)</f>
        <v>0</v>
      </c>
      <c r="L206" s="2"/>
      <c r="M206" s="24"/>
      <c r="N206" s="222">
        <f>IFERROR(SUM(N200:N204)-N199+N198,0)</f>
        <v>0</v>
      </c>
      <c r="O206" s="2"/>
      <c r="P206" s="24"/>
      <c r="Q206" s="222">
        <f>IFERROR(SUM(Q200:Q204)-Q199+Q198,0)</f>
        <v>0</v>
      </c>
      <c r="R206" s="2"/>
      <c r="S206" s="24"/>
      <c r="T206" s="222">
        <f>IFERROR(SUM(T200:T204)-T199+T198,0)</f>
        <v>0</v>
      </c>
      <c r="U206" s="2"/>
      <c r="V206" s="24"/>
      <c r="W206" s="222">
        <f>IFERROR(SUM(W200:W204)-W199+W198,0)</f>
        <v>0</v>
      </c>
      <c r="X206" s="2"/>
      <c r="Y206" s="15"/>
      <c r="AA206" s="2"/>
    </row>
    <row r="207" spans="2:27" ht="21" hidden="1" customHeight="1" x14ac:dyDescent="0.2">
      <c r="B207" s="89" t="s">
        <v>213</v>
      </c>
      <c r="C207" s="87"/>
      <c r="D207" s="17"/>
      <c r="E207" s="96"/>
      <c r="F207" s="96"/>
      <c r="G207" s="24"/>
      <c r="H207" s="54"/>
      <c r="I207" s="2"/>
      <c r="J207" s="24"/>
      <c r="K207" s="54"/>
      <c r="L207" s="2"/>
      <c r="M207" s="24"/>
      <c r="N207" s="54"/>
      <c r="O207" s="2"/>
      <c r="P207" s="24"/>
      <c r="Q207" s="54"/>
      <c r="R207" s="2"/>
      <c r="S207" s="24"/>
      <c r="T207" s="54"/>
      <c r="U207" s="2"/>
      <c r="V207" s="24"/>
      <c r="W207" s="54"/>
      <c r="X207" s="2"/>
      <c r="Y207" s="15"/>
      <c r="AA207" s="2"/>
    </row>
    <row r="208" spans="2:27" ht="21" hidden="1" customHeight="1" x14ac:dyDescent="0.2">
      <c r="B208" s="89" t="s">
        <v>203</v>
      </c>
      <c r="C208" s="87"/>
      <c r="D208" s="17"/>
      <c r="E208" s="96"/>
      <c r="F208" s="96"/>
      <c r="G208" s="24"/>
      <c r="H208" s="210">
        <f>ROUND(IFERROR(H206*H207,0),2)</f>
        <v>0</v>
      </c>
      <c r="I208" s="2"/>
      <c r="J208" s="24"/>
      <c r="K208" s="210">
        <f>ROUND(IFERROR(K206*K207,0),2)</f>
        <v>0</v>
      </c>
      <c r="L208" s="2"/>
      <c r="M208" s="24"/>
      <c r="N208" s="210">
        <f>ROUND(IFERROR(N206*N207,0),2)</f>
        <v>0</v>
      </c>
      <c r="O208" s="2"/>
      <c r="P208" s="24"/>
      <c r="Q208" s="210">
        <f>ROUND(IFERROR(Q206*Q207,0),2)</f>
        <v>0</v>
      </c>
      <c r="R208" s="2"/>
      <c r="S208" s="24"/>
      <c r="T208" s="210">
        <f>ROUND(IFERROR(T206*T207,0),2)</f>
        <v>0</v>
      </c>
      <c r="U208" s="2"/>
      <c r="V208" s="24"/>
      <c r="W208" s="210">
        <f>ROUND(IFERROR(W206*W207,0),2)</f>
        <v>0</v>
      </c>
      <c r="X208" s="2"/>
      <c r="Y208" s="15"/>
      <c r="AA208" s="2"/>
    </row>
    <row r="209" spans="1:27" ht="10.25" hidden="1" customHeight="1" x14ac:dyDescent="0.2">
      <c r="B209" s="89"/>
      <c r="C209" s="87"/>
      <c r="D209" s="17"/>
      <c r="E209" s="96"/>
      <c r="F209" s="96"/>
      <c r="G209" s="24"/>
      <c r="H209" s="27"/>
      <c r="I209" s="2"/>
      <c r="J209" s="24"/>
      <c r="K209" s="27"/>
      <c r="L209" s="2"/>
      <c r="M209" s="24"/>
      <c r="N209" s="27"/>
      <c r="O209" s="2"/>
      <c r="P209" s="24"/>
      <c r="Q209" s="27"/>
      <c r="R209" s="2"/>
      <c r="S209" s="24"/>
      <c r="T209" s="27"/>
      <c r="U209" s="2"/>
      <c r="V209" s="24"/>
      <c r="W209" s="27"/>
      <c r="X209" s="2"/>
      <c r="Y209" s="15"/>
      <c r="AA209" s="2"/>
    </row>
    <row r="210" spans="1:27" ht="21" hidden="1" customHeight="1" x14ac:dyDescent="0.2">
      <c r="B210" s="89" t="s">
        <v>204</v>
      </c>
      <c r="C210" s="87"/>
      <c r="D210" s="17"/>
      <c r="E210" s="96"/>
      <c r="F210" s="96"/>
      <c r="G210" s="24"/>
      <c r="H210" s="203"/>
      <c r="I210" s="2"/>
      <c r="J210" s="24"/>
      <c r="K210" s="203"/>
      <c r="L210" s="2"/>
      <c r="M210" s="24"/>
      <c r="N210" s="203"/>
      <c r="O210" s="2"/>
      <c r="P210" s="24"/>
      <c r="Q210" s="203"/>
      <c r="R210" s="2"/>
      <c r="S210" s="24"/>
      <c r="T210" s="203"/>
      <c r="U210" s="2"/>
      <c r="V210" s="24"/>
      <c r="W210" s="203"/>
      <c r="X210" s="2"/>
      <c r="Y210" s="15"/>
      <c r="AA210" s="2"/>
    </row>
    <row r="211" spans="1:27" ht="21" hidden="1" customHeight="1" x14ac:dyDescent="0.2">
      <c r="B211" s="89" t="s">
        <v>205</v>
      </c>
      <c r="C211" s="87"/>
      <c r="D211" s="17"/>
      <c r="E211" s="96"/>
      <c r="F211" s="96"/>
      <c r="G211" s="24"/>
      <c r="H211" s="206"/>
      <c r="I211" s="2"/>
      <c r="J211" s="24"/>
      <c r="K211" s="206"/>
      <c r="L211" s="2"/>
      <c r="M211" s="24"/>
      <c r="N211" s="206"/>
      <c r="O211" s="2"/>
      <c r="P211" s="24"/>
      <c r="Q211" s="206"/>
      <c r="R211" s="2"/>
      <c r="S211" s="24"/>
      <c r="T211" s="206"/>
      <c r="U211" s="2"/>
      <c r="V211" s="24"/>
      <c r="W211" s="206"/>
      <c r="X211" s="2"/>
      <c r="Y211" s="15"/>
      <c r="AA211" s="2"/>
    </row>
    <row r="212" spans="1:27" ht="6.5" hidden="1" customHeight="1" x14ac:dyDescent="0.2">
      <c r="B212" s="89"/>
      <c r="C212" s="87"/>
      <c r="D212" s="17"/>
      <c r="E212" s="96"/>
      <c r="F212" s="96"/>
      <c r="G212" s="24"/>
      <c r="H212" s="27"/>
      <c r="I212" s="2"/>
      <c r="J212" s="24"/>
      <c r="K212" s="27"/>
      <c r="L212" s="2"/>
      <c r="M212" s="24"/>
      <c r="N212" s="27"/>
      <c r="O212" s="2"/>
      <c r="P212" s="24"/>
      <c r="Q212" s="27"/>
      <c r="R212" s="2"/>
      <c r="S212" s="24"/>
      <c r="T212" s="27"/>
      <c r="U212" s="2"/>
      <c r="V212" s="24"/>
      <c r="W212" s="27"/>
      <c r="X212" s="2"/>
      <c r="Y212" s="15"/>
    </row>
    <row r="213" spans="1:27" ht="21" hidden="1" customHeight="1" x14ac:dyDescent="0.2">
      <c r="B213" s="90"/>
      <c r="C213" s="88"/>
      <c r="D213" s="99" t="s">
        <v>209</v>
      </c>
      <c r="E213" s="96" t="s">
        <v>199</v>
      </c>
      <c r="F213" s="96" t="s">
        <v>199</v>
      </c>
      <c r="G213" s="80"/>
      <c r="H213" s="210">
        <f>IFERROR(H208+H210+H211,0)</f>
        <v>0</v>
      </c>
      <c r="I213" s="2"/>
      <c r="J213" s="80"/>
      <c r="K213" s="210">
        <f>IFERROR(K208+K210+K211,0)</f>
        <v>0</v>
      </c>
      <c r="L213" s="2"/>
      <c r="M213" s="80"/>
      <c r="N213" s="210">
        <f>IFERROR(N208+N210+N211,0)</f>
        <v>0</v>
      </c>
      <c r="O213" s="2"/>
      <c r="P213" s="80"/>
      <c r="Q213" s="210">
        <f>IFERROR(Q208+Q210+Q211,0)</f>
        <v>0</v>
      </c>
      <c r="R213" s="2"/>
      <c r="S213" s="80"/>
      <c r="T213" s="210">
        <f>IFERROR(T208+T210+T211,0)</f>
        <v>0</v>
      </c>
      <c r="U213" s="2"/>
      <c r="V213" s="80"/>
      <c r="W213" s="210">
        <f>IFERROR(W208+W210+W211,0)</f>
        <v>0</v>
      </c>
      <c r="X213" s="2"/>
      <c r="Y213" s="15"/>
    </row>
    <row r="214" spans="1:27" ht="21" hidden="1" customHeight="1" x14ac:dyDescent="0.2">
      <c r="B214" s="90"/>
      <c r="C214" s="88"/>
      <c r="D214" s="93" t="s">
        <v>210</v>
      </c>
      <c r="E214" s="96">
        <f>IF(MONTH(H195)=MONTH(H196),((YEAR(H196)-YEAR(H195))*12)-12+(12-MONTH(H195))+MONTH(H196)-1+(EOMONTH(H195,0)-H195+1)/DAY(EOMONTH(H195,0))+(1-(EOMONTH(H196,0)-H196)/DAY(EOMONTH(H196,0))),((YEAR(H196)-YEAR(H195))*12)-12+(12-MONTH(H195))+MONTH(H196)-1+(EOMONTH(H195,0)-H195+1)/DAY(EOMONTH(H195,0))+(1-(EOMONTH(H196,0)-H196)/DAY(EOMONTH(H196,0))))</f>
        <v>3.2258064516129004E-2</v>
      </c>
      <c r="F214" s="96">
        <f>ROUND(IF(AND(H195&lt;&gt;"",H196&lt;&gt;""),IF(E214&lt;=1,1,E214),0),2)</f>
        <v>0</v>
      </c>
      <c r="G214" s="17"/>
      <c r="H214" s="210">
        <f>ROUND(IFERROR(H213/F214,0),2)</f>
        <v>0</v>
      </c>
      <c r="I214" s="2"/>
      <c r="J214" s="17"/>
      <c r="K214" s="210">
        <f>ROUND(IFERROR(K213/F204,0),2)</f>
        <v>0</v>
      </c>
      <c r="L214" s="2"/>
      <c r="M214" s="17"/>
      <c r="N214" s="210">
        <f>ROUND(IFERROR(N213/F203,0),2)</f>
        <v>0</v>
      </c>
      <c r="O214" s="2"/>
      <c r="P214" s="17"/>
      <c r="Q214" s="210">
        <f>ROUND(IFERROR(Q213/F202,0),2)</f>
        <v>0</v>
      </c>
      <c r="R214" s="2"/>
      <c r="S214" s="17"/>
      <c r="T214" s="210">
        <f>ROUND(IFERROR(T213/F201,0),2)</f>
        <v>0</v>
      </c>
      <c r="U214" s="2"/>
      <c r="V214" s="17"/>
      <c r="W214" s="210">
        <f>ROUND(IFERROR(W213/F200,0),2)</f>
        <v>0</v>
      </c>
      <c r="X214" s="2"/>
      <c r="Y214" s="15"/>
    </row>
    <row r="215" spans="1:27" ht="8.25" hidden="1" customHeight="1" thickBot="1" x14ac:dyDescent="0.25">
      <c r="B215" s="18"/>
      <c r="C215" s="19"/>
      <c r="D215" s="19"/>
      <c r="E215" s="19"/>
      <c r="F215" s="19"/>
      <c r="G215" s="19"/>
      <c r="H215" s="19"/>
      <c r="I215" s="19"/>
      <c r="J215" s="19"/>
      <c r="K215" s="19"/>
      <c r="L215" s="19"/>
      <c r="M215" s="19"/>
      <c r="N215" s="19"/>
      <c r="O215" s="19"/>
      <c r="P215" s="19"/>
      <c r="Q215" s="19"/>
      <c r="R215" s="19"/>
      <c r="S215" s="19"/>
      <c r="T215" s="19"/>
      <c r="U215" s="19"/>
      <c r="V215" s="19"/>
      <c r="W215" s="19"/>
      <c r="X215" s="19"/>
      <c r="Y215" s="20"/>
    </row>
    <row r="216" spans="1:27" ht="14" customHeight="1" thickBot="1" x14ac:dyDescent="0.25">
      <c r="B216" s="3"/>
      <c r="E216" s="31"/>
      <c r="F216" s="31"/>
      <c r="I216" s="21"/>
      <c r="J216" s="21"/>
      <c r="K216" s="21"/>
      <c r="L216" s="21"/>
      <c r="M216" s="21"/>
      <c r="N216" s="21"/>
      <c r="O216" s="21"/>
      <c r="P216" s="21"/>
      <c r="Q216" s="21"/>
      <c r="R216" s="21"/>
      <c r="S216" s="21"/>
      <c r="T216" s="21"/>
      <c r="U216" s="21"/>
      <c r="V216" s="21"/>
      <c r="W216" s="21"/>
      <c r="X216" s="21"/>
    </row>
    <row r="217" spans="1:27" ht="21" customHeight="1" thickBot="1" x14ac:dyDescent="0.25">
      <c r="A217" s="2"/>
      <c r="B217" s="7" t="s">
        <v>2</v>
      </c>
      <c r="C217" s="86" t="s">
        <v>201</v>
      </c>
      <c r="D217" s="32"/>
      <c r="E217" s="95"/>
      <c r="F217" s="95"/>
      <c r="G217" s="295" t="str">
        <f>IF(OR(SAM!E274=0,SAM!E274=""),"",SAM!E274)</f>
        <v/>
      </c>
      <c r="H217" s="295"/>
      <c r="I217" s="295"/>
      <c r="J217" s="295"/>
      <c r="K217" s="295"/>
      <c r="L217" s="295"/>
      <c r="M217" s="9"/>
      <c r="N217" s="9"/>
      <c r="O217" s="9"/>
      <c r="P217" s="9"/>
      <c r="Q217" s="9"/>
      <c r="R217" s="9"/>
      <c r="S217" s="9"/>
      <c r="T217" s="9"/>
      <c r="U217" s="9"/>
      <c r="V217" s="9"/>
      <c r="W217" s="9"/>
      <c r="X217" s="9"/>
      <c r="Y217" s="11"/>
    </row>
    <row r="218" spans="1:27" ht="6.75" hidden="1" customHeight="1" x14ac:dyDescent="0.2">
      <c r="B218" s="22"/>
      <c r="C218" s="21"/>
      <c r="D218" s="21"/>
      <c r="E218" s="21"/>
      <c r="F218" s="21"/>
      <c r="G218" s="21"/>
      <c r="H218" s="21"/>
      <c r="I218" s="21"/>
      <c r="J218" s="21"/>
      <c r="K218" s="21"/>
      <c r="L218" s="21"/>
      <c r="M218" s="21"/>
      <c r="N218" s="21"/>
      <c r="O218" s="21"/>
      <c r="P218" s="21"/>
      <c r="Q218" s="21"/>
      <c r="R218" s="21"/>
      <c r="S218" s="21"/>
      <c r="T218" s="21"/>
      <c r="U218" s="21"/>
      <c r="V218" s="21"/>
      <c r="W218" s="21"/>
      <c r="X218" s="21"/>
      <c r="Y218" s="23"/>
    </row>
    <row r="219" spans="1:27" ht="21" hidden="1" customHeight="1" x14ac:dyDescent="0.2">
      <c r="B219" s="14"/>
      <c r="D219" s="93" t="s">
        <v>230</v>
      </c>
      <c r="G219" s="104" t="s">
        <v>65</v>
      </c>
      <c r="H219" s="106"/>
      <c r="I219" s="104" t="s">
        <v>65</v>
      </c>
      <c r="J219" s="104" t="s">
        <v>65</v>
      </c>
      <c r="K219" s="106"/>
      <c r="L219" s="104" t="s">
        <v>65</v>
      </c>
      <c r="M219" s="104" t="s">
        <v>65</v>
      </c>
      <c r="N219" s="106"/>
      <c r="O219" s="104" t="s">
        <v>65</v>
      </c>
      <c r="P219" s="104" t="s">
        <v>65</v>
      </c>
      <c r="Q219" s="106"/>
      <c r="R219" s="104" t="s">
        <v>65</v>
      </c>
      <c r="S219" s="104" t="s">
        <v>65</v>
      </c>
      <c r="T219" s="106"/>
      <c r="U219" s="104" t="s">
        <v>65</v>
      </c>
      <c r="V219" s="104" t="s">
        <v>65</v>
      </c>
      <c r="W219" s="106"/>
      <c r="X219" s="104" t="s">
        <v>65</v>
      </c>
      <c r="Y219" s="15"/>
      <c r="AA219" s="2"/>
    </row>
    <row r="220" spans="1:27" ht="6.75" hidden="1" customHeight="1" x14ac:dyDescent="0.2">
      <c r="B220" s="14"/>
      <c r="H220" s="96"/>
      <c r="K220" s="96"/>
      <c r="N220" s="96"/>
      <c r="Q220" s="96"/>
      <c r="T220" s="96"/>
      <c r="W220" s="96"/>
      <c r="Y220" s="15"/>
      <c r="AA220" s="2"/>
    </row>
    <row r="221" spans="1:27" ht="21" hidden="1" customHeight="1" x14ac:dyDescent="0.2">
      <c r="B221" s="14"/>
      <c r="D221" s="93" t="s">
        <v>198</v>
      </c>
      <c r="E221" s="96" t="s">
        <v>199</v>
      </c>
      <c r="F221" s="96" t="s">
        <v>199</v>
      </c>
      <c r="G221" s="94"/>
      <c r="H221" s="91"/>
      <c r="J221" s="94"/>
      <c r="K221" s="91"/>
      <c r="M221" s="94"/>
      <c r="N221" s="91"/>
      <c r="P221" s="94"/>
      <c r="Q221" s="91"/>
      <c r="S221" s="94"/>
      <c r="T221" s="91"/>
      <c r="V221" s="94"/>
      <c r="W221" s="91"/>
      <c r="Y221" s="15"/>
      <c r="AA221" s="2"/>
    </row>
    <row r="222" spans="1:27" ht="21" hidden="1" customHeight="1" x14ac:dyDescent="0.2">
      <c r="B222" s="14"/>
      <c r="D222" s="93" t="s">
        <v>208</v>
      </c>
      <c r="E222" s="96" t="s">
        <v>199</v>
      </c>
      <c r="F222" s="96" t="s">
        <v>199</v>
      </c>
      <c r="G222" s="94"/>
      <c r="H222" s="92"/>
      <c r="J222" s="94"/>
      <c r="K222" s="92"/>
      <c r="M222" s="94"/>
      <c r="N222" s="92"/>
      <c r="P222" s="94"/>
      <c r="Q222" s="92"/>
      <c r="S222" s="94"/>
      <c r="T222" s="92"/>
      <c r="V222" s="94"/>
      <c r="W222" s="92"/>
      <c r="Y222" s="15"/>
      <c r="AA222" s="2"/>
    </row>
    <row r="223" spans="1:27" ht="6.75" hidden="1" customHeight="1" x14ac:dyDescent="0.2">
      <c r="B223" s="14"/>
      <c r="E223" s="96" t="s">
        <v>199</v>
      </c>
      <c r="F223" s="96" t="s">
        <v>199</v>
      </c>
      <c r="Y223" s="15"/>
      <c r="AA223" s="2"/>
    </row>
    <row r="224" spans="1:27" ht="21" hidden="1" customHeight="1" x14ac:dyDescent="0.2">
      <c r="B224" s="89" t="s">
        <v>202</v>
      </c>
      <c r="C224" s="87"/>
      <c r="D224" s="17"/>
      <c r="E224" s="96" t="s">
        <v>199</v>
      </c>
      <c r="F224" s="96" t="s">
        <v>199</v>
      </c>
      <c r="G224" s="17"/>
      <c r="H224" s="203"/>
      <c r="I224" s="2"/>
      <c r="J224" s="17"/>
      <c r="K224" s="203"/>
      <c r="L224" s="2"/>
      <c r="M224" s="17"/>
      <c r="N224" s="203"/>
      <c r="O224" s="2"/>
      <c r="P224" s="17"/>
      <c r="Q224" s="203"/>
      <c r="R224" s="2"/>
      <c r="S224" s="17"/>
      <c r="T224" s="203"/>
      <c r="U224" s="2"/>
      <c r="V224" s="17"/>
      <c r="W224" s="203"/>
      <c r="X224" s="2"/>
      <c r="Y224" s="15"/>
      <c r="AA224" s="2"/>
    </row>
    <row r="225" spans="2:27" ht="21" hidden="1" customHeight="1" x14ac:dyDescent="0.2">
      <c r="B225" s="89" t="s">
        <v>192</v>
      </c>
      <c r="C225" s="87"/>
      <c r="D225" s="17"/>
      <c r="E225" s="96" t="s">
        <v>199</v>
      </c>
      <c r="F225" s="96" t="s">
        <v>199</v>
      </c>
      <c r="G225" s="24" t="s">
        <v>9</v>
      </c>
      <c r="H225" s="209"/>
      <c r="I225" s="25" t="s">
        <v>10</v>
      </c>
      <c r="J225" s="24" t="s">
        <v>9</v>
      </c>
      <c r="K225" s="209"/>
      <c r="L225" s="25" t="s">
        <v>10</v>
      </c>
      <c r="M225" s="24" t="s">
        <v>9</v>
      </c>
      <c r="N225" s="209"/>
      <c r="O225" s="25" t="s">
        <v>10</v>
      </c>
      <c r="P225" s="24" t="s">
        <v>9</v>
      </c>
      <c r="Q225" s="209"/>
      <c r="R225" s="25" t="s">
        <v>10</v>
      </c>
      <c r="S225" s="24" t="s">
        <v>9</v>
      </c>
      <c r="T225" s="209"/>
      <c r="U225" s="25" t="s">
        <v>10</v>
      </c>
      <c r="V225" s="24" t="s">
        <v>9</v>
      </c>
      <c r="W225" s="209"/>
      <c r="X225" s="25" t="s">
        <v>10</v>
      </c>
      <c r="Y225" s="15"/>
      <c r="AA225" s="2"/>
    </row>
    <row r="226" spans="2:27" ht="21" hidden="1" customHeight="1" x14ac:dyDescent="0.2">
      <c r="B226" s="89" t="s">
        <v>193</v>
      </c>
      <c r="C226" s="87"/>
      <c r="D226" s="17"/>
      <c r="E226" s="96">
        <f>IF(MONTH(W221)=MONTH(W222),((YEAR(W222)-YEAR(W221))*12)-12+(12-MONTH(W221))+MONTH(W222)-1+(EOMONTH(W221,0)-W221+1)/DAY(EOMONTH(W221,0))+(1-(EOMONTH(W222,0)-W222)/DAY(EOMONTH(W222,0))),((YEAR(W222)-YEAR(W221))*12)-12+(12-MONTH(W221))+MONTH(W222)-1+(EOMONTH(W221,0)-W221+1)/DAY(EOMONTH(W221,0))+(1-(EOMONTH(W222,0)-W222)/DAY(EOMONTH(W222,0))))</f>
        <v>3.2258064516129004E-2</v>
      </c>
      <c r="F226" s="96">
        <f>ROUND(IF(AND(W221&lt;&gt;"",W222&lt;&gt;""),IF(E226&lt;=1,1,E226),0),2)</f>
        <v>0</v>
      </c>
      <c r="G226" s="17"/>
      <c r="H226" s="204"/>
      <c r="I226" s="2"/>
      <c r="J226" s="17"/>
      <c r="K226" s="204"/>
      <c r="L226" s="2"/>
      <c r="M226" s="17"/>
      <c r="N226" s="204"/>
      <c r="O226" s="2"/>
      <c r="P226" s="17"/>
      <c r="Q226" s="204"/>
      <c r="R226" s="2"/>
      <c r="S226" s="17"/>
      <c r="T226" s="204"/>
      <c r="U226" s="2"/>
      <c r="V226" s="17"/>
      <c r="W226" s="204"/>
      <c r="X226" s="2"/>
      <c r="Y226" s="15"/>
      <c r="AA226" s="2"/>
    </row>
    <row r="227" spans="2:27" ht="21" hidden="1" customHeight="1" x14ac:dyDescent="0.2">
      <c r="B227" s="89" t="s">
        <v>197</v>
      </c>
      <c r="C227" s="87"/>
      <c r="D227" s="17"/>
      <c r="E227" s="96">
        <f>IF(MONTH(T221)=MONTH(T222),((YEAR(T222)-YEAR(T221))*12)-12+(12-MONTH(T221))+MONTH(T222)-1+(EOMONTH(T221,0)-T221+1)/DAY(EOMONTH(T221,0))+(1-(EOMONTH(T222,0)-T222)/DAY(EOMONTH(T222,0))),((YEAR(T222)-YEAR(T221))*12)-12+(12-MONTH(T221))+MONTH(T222)-1+(EOMONTH(T221,0)-T221+1)/DAY(EOMONTH(T221,0))+(1-(EOMONTH(T222,0)-T222)/DAY(EOMONTH(T222,0))))</f>
        <v>3.2258064516129004E-2</v>
      </c>
      <c r="F227" s="96">
        <f>ROUND(IF(AND(T221&lt;&gt;"",T222&lt;&gt;""),IF(E227&lt;=1,1,E227),0),2)</f>
        <v>0</v>
      </c>
      <c r="G227" s="17"/>
      <c r="H227" s="204"/>
      <c r="I227" s="2"/>
      <c r="J227" s="17"/>
      <c r="K227" s="204"/>
      <c r="L227" s="2"/>
      <c r="M227" s="17"/>
      <c r="N227" s="204"/>
      <c r="O227" s="2"/>
      <c r="P227" s="17"/>
      <c r="Q227" s="204"/>
      <c r="R227" s="2"/>
      <c r="S227" s="17"/>
      <c r="T227" s="204"/>
      <c r="U227" s="2"/>
      <c r="V227" s="17"/>
      <c r="W227" s="204"/>
      <c r="X227" s="2"/>
      <c r="Y227" s="15"/>
      <c r="AA227" s="2"/>
    </row>
    <row r="228" spans="2:27" ht="21" hidden="1" customHeight="1" x14ac:dyDescent="0.2">
      <c r="B228" s="89" t="s">
        <v>194</v>
      </c>
      <c r="C228" s="87"/>
      <c r="D228" s="17"/>
      <c r="E228" s="105">
        <f>IF(MONTH(Q221)=MONTH(Q222),((YEAR(Q222)-YEAR(Q221))*12)-12+(12-MONTH(Q221))+MONTH(Q222)-1+(EOMONTH(Q221,0)-Q221+1)/DAY(EOMONTH(Q221,0))+(1-(EOMONTH(Q222,0)-Q222)/DAY(EOMONTH(Q222,0))),((YEAR(Q222)-YEAR(Q221))*12)-12+(12-MONTH(Q221))+MONTH(Q222)-1+(EOMONTH(Q221,0)-Q221+1)/DAY(EOMONTH(Q221,0))+(1-(EOMONTH(Q222,0)-Q222)/DAY(EOMONTH(Q222,0))))</f>
        <v>3.2258064516129004E-2</v>
      </c>
      <c r="F228" s="105">
        <f>ROUND(IF(AND(Q221&lt;&gt;"",Q222&lt;&gt;""),IF(E228&lt;=1,1,E228),0),2)</f>
        <v>0</v>
      </c>
      <c r="G228" s="17"/>
      <c r="H228" s="204"/>
      <c r="I228" s="2"/>
      <c r="J228" s="17"/>
      <c r="K228" s="204"/>
      <c r="L228" s="2"/>
      <c r="M228" s="17"/>
      <c r="N228" s="204"/>
      <c r="O228" s="2"/>
      <c r="P228" s="17"/>
      <c r="Q228" s="204"/>
      <c r="R228" s="2"/>
      <c r="S228" s="17"/>
      <c r="T228" s="204"/>
      <c r="U228" s="2"/>
      <c r="V228" s="17"/>
      <c r="W228" s="204"/>
      <c r="X228" s="2"/>
      <c r="Y228" s="15"/>
      <c r="AA228" s="2"/>
    </row>
    <row r="229" spans="2:27" ht="21" hidden="1" customHeight="1" x14ac:dyDescent="0.2">
      <c r="B229" s="89" t="s">
        <v>195</v>
      </c>
      <c r="C229" s="87"/>
      <c r="D229" s="17"/>
      <c r="E229" s="96">
        <f>IF(MONTH(N221)=MONTH(N222),((YEAR(N222)-YEAR(N221))*12)-12+(12-MONTH(N221))+MONTH(N222)-1+(EOMONTH(N221,0)-N221+1)/DAY(EOMONTH(N221,0))+(1-(EOMONTH(N222,0)-N222)/DAY(EOMONTH(N222,0))),((YEAR(N222)-YEAR(N221))*12)-12+(12-MONTH(N221))+MONTH(N222)-1+(EOMONTH(N221,0)-N221+1)/DAY(EOMONTH(N221,0))+(1-(EOMONTH(N222,0)-N222)/DAY(EOMONTH(N222,0))))</f>
        <v>3.2258064516129004E-2</v>
      </c>
      <c r="F229" s="96">
        <f>ROUND(IF(AND(N221&lt;&gt;"",N222&lt;&gt;""),IF(E229&lt;=1,1,E229),0),2)</f>
        <v>0</v>
      </c>
      <c r="G229" s="17"/>
      <c r="H229" s="204"/>
      <c r="I229" s="2"/>
      <c r="J229" s="17"/>
      <c r="K229" s="204"/>
      <c r="L229" s="2"/>
      <c r="M229" s="17"/>
      <c r="N229" s="204"/>
      <c r="O229" s="2"/>
      <c r="P229" s="17"/>
      <c r="Q229" s="204"/>
      <c r="R229" s="2"/>
      <c r="S229" s="17"/>
      <c r="T229" s="204"/>
      <c r="U229" s="2"/>
      <c r="V229" s="17"/>
      <c r="W229" s="204"/>
      <c r="X229" s="2"/>
      <c r="Y229" s="15"/>
      <c r="AA229" s="2"/>
    </row>
    <row r="230" spans="2:27" ht="21" hidden="1" customHeight="1" x14ac:dyDescent="0.2">
      <c r="B230" s="89" t="s">
        <v>196</v>
      </c>
      <c r="C230" s="87"/>
      <c r="D230" s="107"/>
      <c r="E230" s="96">
        <f>IF(MONTH(K221)=MONTH(K222),((YEAR(K222)-YEAR(K221))*12)-12+(12-MONTH(K221))+MONTH(K222)-1+(EOMONTH(K221,0)-K221+1)/DAY(EOMONTH(K221,0))+(1-(EOMONTH(K222,0)-K222)/DAY(EOMONTH(K222,0))),((YEAR(K222)-YEAR(K221))*12)-12+(12-MONTH(K221))+MONTH(K222)-1+(EOMONTH(K221,0)-K221+1)/DAY(EOMONTH(K221,0))+(1-(EOMONTH(K222,0)-K222)/DAY(EOMONTH(K222,0))))</f>
        <v>3.2258064516129004E-2</v>
      </c>
      <c r="F230" s="96">
        <f>ROUND(IF(AND(K221&lt;&gt;"",K222&lt;&gt;""),IF(E230&lt;=1,1,E230),0),2)</f>
        <v>0</v>
      </c>
      <c r="G230" s="103" t="s">
        <v>65</v>
      </c>
      <c r="H230" s="206"/>
      <c r="I230" s="2"/>
      <c r="J230" s="2"/>
      <c r="K230" s="206"/>
      <c r="L230" s="2"/>
      <c r="M230" s="2"/>
      <c r="N230" s="206"/>
      <c r="O230" s="2"/>
      <c r="P230" s="2"/>
      <c r="Q230" s="206"/>
      <c r="R230" s="2"/>
      <c r="S230" s="2"/>
      <c r="T230" s="206"/>
      <c r="U230" s="2"/>
      <c r="V230" s="2"/>
      <c r="W230" s="206"/>
      <c r="X230" s="2"/>
      <c r="Y230" s="15"/>
      <c r="AA230" s="2"/>
    </row>
    <row r="231" spans="2:27" ht="13.25" hidden="1" customHeight="1" x14ac:dyDescent="0.2">
      <c r="B231" s="89"/>
      <c r="C231" s="87"/>
      <c r="D231" s="17"/>
      <c r="E231" s="96" t="s">
        <v>199</v>
      </c>
      <c r="F231" s="96" t="s">
        <v>199</v>
      </c>
      <c r="G231" s="24"/>
      <c r="H231" s="27"/>
      <c r="I231" s="2"/>
      <c r="J231" s="24"/>
      <c r="K231" s="27"/>
      <c r="L231" s="2"/>
      <c r="M231" s="24"/>
      <c r="N231" s="27"/>
      <c r="O231" s="2"/>
      <c r="P231" s="24"/>
      <c r="Q231" s="27"/>
      <c r="R231" s="2"/>
      <c r="S231" s="24"/>
      <c r="T231" s="27"/>
      <c r="U231" s="2"/>
      <c r="V231" s="24"/>
      <c r="W231" s="27"/>
      <c r="X231" s="2"/>
      <c r="Y231" s="15"/>
      <c r="AA231" s="2"/>
    </row>
    <row r="232" spans="2:27" ht="21" hidden="1" customHeight="1" x14ac:dyDescent="0.2">
      <c r="B232" s="89" t="s">
        <v>3</v>
      </c>
      <c r="C232" s="87"/>
      <c r="D232" s="17"/>
      <c r="E232" s="96"/>
      <c r="F232" s="96"/>
      <c r="G232" s="24"/>
      <c r="H232" s="222">
        <f>IFERROR(SUM(H226:H230)-H225+H224,0)</f>
        <v>0</v>
      </c>
      <c r="I232" s="2"/>
      <c r="J232" s="24"/>
      <c r="K232" s="222">
        <f>IFERROR(SUM(K226:K230)-K225+K224,0)</f>
        <v>0</v>
      </c>
      <c r="L232" s="2"/>
      <c r="M232" s="24"/>
      <c r="N232" s="222">
        <f>IFERROR(SUM(N226:N230)-N225+N224,0)</f>
        <v>0</v>
      </c>
      <c r="O232" s="2"/>
      <c r="P232" s="24"/>
      <c r="Q232" s="222">
        <f>IFERROR(SUM(Q226:Q230)-Q225+Q224,0)</f>
        <v>0</v>
      </c>
      <c r="R232" s="2"/>
      <c r="S232" s="24"/>
      <c r="T232" s="222">
        <f>IFERROR(SUM(T226:T230)-T225+T224,0)</f>
        <v>0</v>
      </c>
      <c r="U232" s="2"/>
      <c r="V232" s="24"/>
      <c r="W232" s="222">
        <f>IFERROR(SUM(W226:W230)-W225+W224,0)</f>
        <v>0</v>
      </c>
      <c r="X232" s="2"/>
      <c r="Y232" s="15"/>
      <c r="AA232" s="2"/>
    </row>
    <row r="233" spans="2:27" ht="21" hidden="1" customHeight="1" x14ac:dyDescent="0.2">
      <c r="B233" s="89" t="s">
        <v>213</v>
      </c>
      <c r="C233" s="87"/>
      <c r="D233" s="17"/>
      <c r="E233" s="96"/>
      <c r="F233" s="96"/>
      <c r="G233" s="24"/>
      <c r="H233" s="54"/>
      <c r="I233" s="2"/>
      <c r="J233" s="24"/>
      <c r="K233" s="54"/>
      <c r="L233" s="2"/>
      <c r="M233" s="24"/>
      <c r="N233" s="54"/>
      <c r="O233" s="2"/>
      <c r="P233" s="24"/>
      <c r="Q233" s="54"/>
      <c r="R233" s="2"/>
      <c r="S233" s="24"/>
      <c r="T233" s="54"/>
      <c r="U233" s="2"/>
      <c r="V233" s="24"/>
      <c r="W233" s="54"/>
      <c r="X233" s="2"/>
      <c r="Y233" s="15"/>
      <c r="AA233" s="2"/>
    </row>
    <row r="234" spans="2:27" ht="21" hidden="1" customHeight="1" x14ac:dyDescent="0.2">
      <c r="B234" s="89" t="s">
        <v>203</v>
      </c>
      <c r="C234" s="87"/>
      <c r="D234" s="17"/>
      <c r="E234" s="96"/>
      <c r="F234" s="96"/>
      <c r="G234" s="24"/>
      <c r="H234" s="210">
        <f>ROUND(IFERROR(H232*H233,0),2)</f>
        <v>0</v>
      </c>
      <c r="I234" s="2"/>
      <c r="J234" s="24"/>
      <c r="K234" s="210">
        <f>ROUND(IFERROR(K232*K233,0),2)</f>
        <v>0</v>
      </c>
      <c r="L234" s="2"/>
      <c r="M234" s="24"/>
      <c r="N234" s="210">
        <f>ROUND(IFERROR(N232*N233,0),2)</f>
        <v>0</v>
      </c>
      <c r="O234" s="2"/>
      <c r="P234" s="24"/>
      <c r="Q234" s="210">
        <f>ROUND(IFERROR(Q232*Q233,0),2)</f>
        <v>0</v>
      </c>
      <c r="R234" s="2"/>
      <c r="S234" s="24"/>
      <c r="T234" s="210">
        <f>ROUND(IFERROR(T232*T233,0),2)</f>
        <v>0</v>
      </c>
      <c r="U234" s="2"/>
      <c r="V234" s="24"/>
      <c r="W234" s="210">
        <f>ROUND(IFERROR(W232*W233,0),2)</f>
        <v>0</v>
      </c>
      <c r="X234" s="2"/>
      <c r="Y234" s="15"/>
      <c r="AA234" s="2"/>
    </row>
    <row r="235" spans="2:27" ht="10.25" hidden="1" customHeight="1" x14ac:dyDescent="0.2">
      <c r="B235" s="89"/>
      <c r="C235" s="87"/>
      <c r="D235" s="17"/>
      <c r="E235" s="96"/>
      <c r="F235" s="96"/>
      <c r="G235" s="24"/>
      <c r="H235" s="27"/>
      <c r="I235" s="2"/>
      <c r="J235" s="24"/>
      <c r="K235" s="27"/>
      <c r="L235" s="2"/>
      <c r="M235" s="24"/>
      <c r="N235" s="27"/>
      <c r="O235" s="2"/>
      <c r="P235" s="24"/>
      <c r="Q235" s="27"/>
      <c r="R235" s="2"/>
      <c r="S235" s="24"/>
      <c r="T235" s="27"/>
      <c r="U235" s="2"/>
      <c r="V235" s="24"/>
      <c r="W235" s="27"/>
      <c r="X235" s="2"/>
      <c r="Y235" s="15"/>
      <c r="AA235" s="2"/>
    </row>
    <row r="236" spans="2:27" ht="21" hidden="1" customHeight="1" x14ac:dyDescent="0.2">
      <c r="B236" s="89" t="s">
        <v>204</v>
      </c>
      <c r="C236" s="87"/>
      <c r="D236" s="17"/>
      <c r="E236" s="96"/>
      <c r="F236" s="96"/>
      <c r="G236" s="24"/>
      <c r="H236" s="203"/>
      <c r="I236" s="2"/>
      <c r="J236" s="24"/>
      <c r="K236" s="203"/>
      <c r="L236" s="2"/>
      <c r="M236" s="24"/>
      <c r="N236" s="203"/>
      <c r="O236" s="2"/>
      <c r="P236" s="24"/>
      <c r="Q236" s="203"/>
      <c r="R236" s="2"/>
      <c r="S236" s="24"/>
      <c r="T236" s="203"/>
      <c r="U236" s="2"/>
      <c r="V236" s="24"/>
      <c r="W236" s="203"/>
      <c r="X236" s="2"/>
      <c r="Y236" s="15"/>
      <c r="AA236" s="2"/>
    </row>
    <row r="237" spans="2:27" ht="21" hidden="1" customHeight="1" x14ac:dyDescent="0.2">
      <c r="B237" s="89" t="s">
        <v>205</v>
      </c>
      <c r="C237" s="87"/>
      <c r="D237" s="17"/>
      <c r="E237" s="96"/>
      <c r="F237" s="96"/>
      <c r="G237" s="24"/>
      <c r="H237" s="206"/>
      <c r="I237" s="2"/>
      <c r="J237" s="24"/>
      <c r="K237" s="206"/>
      <c r="L237" s="2"/>
      <c r="M237" s="24"/>
      <c r="N237" s="206"/>
      <c r="O237" s="2"/>
      <c r="P237" s="24"/>
      <c r="Q237" s="206"/>
      <c r="R237" s="2"/>
      <c r="S237" s="24"/>
      <c r="T237" s="206"/>
      <c r="U237" s="2"/>
      <c r="V237" s="24"/>
      <c r="W237" s="206"/>
      <c r="X237" s="2"/>
      <c r="Y237" s="15"/>
      <c r="AA237" s="2"/>
    </row>
    <row r="238" spans="2:27" ht="6.5" hidden="1" customHeight="1" x14ac:dyDescent="0.2">
      <c r="B238" s="89"/>
      <c r="C238" s="87"/>
      <c r="D238" s="17"/>
      <c r="E238" s="96"/>
      <c r="F238" s="96"/>
      <c r="G238" s="24"/>
      <c r="H238" s="27"/>
      <c r="I238" s="2"/>
      <c r="J238" s="24"/>
      <c r="K238" s="27"/>
      <c r="L238" s="2"/>
      <c r="M238" s="24"/>
      <c r="N238" s="27"/>
      <c r="O238" s="2"/>
      <c r="P238" s="24"/>
      <c r="Q238" s="27"/>
      <c r="R238" s="2"/>
      <c r="S238" s="24"/>
      <c r="T238" s="27"/>
      <c r="U238" s="2"/>
      <c r="V238" s="24"/>
      <c r="W238" s="27"/>
      <c r="X238" s="2"/>
      <c r="Y238" s="15"/>
    </row>
    <row r="239" spans="2:27" ht="21" hidden="1" customHeight="1" x14ac:dyDescent="0.2">
      <c r="B239" s="90"/>
      <c r="C239" s="88"/>
      <c r="D239" s="99" t="s">
        <v>209</v>
      </c>
      <c r="E239" s="96" t="s">
        <v>199</v>
      </c>
      <c r="F239" s="96" t="s">
        <v>199</v>
      </c>
      <c r="G239" s="80"/>
      <c r="H239" s="210">
        <f>IFERROR(H234+H236+H237,0)</f>
        <v>0</v>
      </c>
      <c r="I239" s="2"/>
      <c r="J239" s="80"/>
      <c r="K239" s="210">
        <f>IFERROR(K234+K236+K237,0)</f>
        <v>0</v>
      </c>
      <c r="L239" s="2"/>
      <c r="M239" s="80"/>
      <c r="N239" s="210">
        <f>IFERROR(N234+N236+N237,0)</f>
        <v>0</v>
      </c>
      <c r="O239" s="2"/>
      <c r="P239" s="80"/>
      <c r="Q239" s="210">
        <f>IFERROR(Q234+Q236+Q237,0)</f>
        <v>0</v>
      </c>
      <c r="R239" s="2"/>
      <c r="S239" s="80"/>
      <c r="T239" s="210">
        <f>IFERROR(T234+T236+T237,0)</f>
        <v>0</v>
      </c>
      <c r="U239" s="2"/>
      <c r="V239" s="80"/>
      <c r="W239" s="210">
        <f>IFERROR(W234+W236+W237,0)</f>
        <v>0</v>
      </c>
      <c r="X239" s="2"/>
      <c r="Y239" s="15"/>
    </row>
    <row r="240" spans="2:27" ht="21" hidden="1" customHeight="1" x14ac:dyDescent="0.2">
      <c r="B240" s="90"/>
      <c r="C240" s="88"/>
      <c r="D240" s="93" t="s">
        <v>210</v>
      </c>
      <c r="E240" s="96">
        <f>IF(MONTH(H221)=MONTH(H222),((YEAR(H222)-YEAR(H221))*12)-12+(12-MONTH(H221))+MONTH(H222)-1+(EOMONTH(H221,0)-H221+1)/DAY(EOMONTH(H221,0))+(1-(EOMONTH(H222,0)-H222)/DAY(EOMONTH(H222,0))),((YEAR(H222)-YEAR(H221))*12)-12+(12-MONTH(H221))+MONTH(H222)-1+(EOMONTH(H221,0)-H221+1)/DAY(EOMONTH(H221,0))+(1-(EOMONTH(H222,0)-H222)/DAY(EOMONTH(H222,0))))</f>
        <v>3.2258064516129004E-2</v>
      </c>
      <c r="F240" s="96">
        <f>ROUND(IF(AND(H221&lt;&gt;"",H222&lt;&gt;""),IF(E240&lt;=1,1,E240),0),2)</f>
        <v>0</v>
      </c>
      <c r="G240" s="17"/>
      <c r="H240" s="210">
        <f>ROUND(IFERROR(H239/F240,0),2)</f>
        <v>0</v>
      </c>
      <c r="I240" s="2"/>
      <c r="J240" s="17"/>
      <c r="K240" s="210">
        <f>ROUND(IFERROR(K239/F230,0),2)</f>
        <v>0</v>
      </c>
      <c r="L240" s="2"/>
      <c r="M240" s="17"/>
      <c r="N240" s="210">
        <f>ROUND(IFERROR(N239/F229,0),2)</f>
        <v>0</v>
      </c>
      <c r="O240" s="2"/>
      <c r="P240" s="17"/>
      <c r="Q240" s="210">
        <f>ROUND(IFERROR(Q239/F228,0),2)</f>
        <v>0</v>
      </c>
      <c r="R240" s="2"/>
      <c r="S240" s="17"/>
      <c r="T240" s="210">
        <f>ROUND(IFERROR(T239/F227,0),2)</f>
        <v>0</v>
      </c>
      <c r="U240" s="2"/>
      <c r="V240" s="17"/>
      <c r="W240" s="210">
        <f>ROUND(IFERROR(W239/F226,0),2)</f>
        <v>0</v>
      </c>
      <c r="X240" s="2"/>
      <c r="Y240" s="15"/>
    </row>
    <row r="241" spans="1:27" ht="8.25" hidden="1" customHeight="1" thickBot="1" x14ac:dyDescent="0.25">
      <c r="B241" s="18"/>
      <c r="C241" s="19"/>
      <c r="D241" s="19"/>
      <c r="E241" s="19"/>
      <c r="F241" s="19"/>
      <c r="G241" s="19"/>
      <c r="H241" s="19"/>
      <c r="I241" s="19"/>
      <c r="J241" s="19"/>
      <c r="K241" s="19"/>
      <c r="L241" s="19"/>
      <c r="M241" s="19"/>
      <c r="N241" s="19"/>
      <c r="O241" s="19"/>
      <c r="P241" s="19"/>
      <c r="Q241" s="19"/>
      <c r="R241" s="19"/>
      <c r="S241" s="19"/>
      <c r="T241" s="19"/>
      <c r="U241" s="19"/>
      <c r="V241" s="19"/>
      <c r="W241" s="19"/>
      <c r="X241" s="19"/>
      <c r="Y241" s="20"/>
    </row>
    <row r="242" spans="1:27" ht="22.25" customHeight="1" x14ac:dyDescent="0.2">
      <c r="B242" s="3"/>
      <c r="E242" s="21"/>
      <c r="F242" s="21"/>
      <c r="I242" s="21"/>
      <c r="J242" s="21"/>
      <c r="K242" s="21"/>
      <c r="L242" s="21"/>
      <c r="M242" s="21"/>
      <c r="N242" s="21"/>
      <c r="O242" s="21"/>
      <c r="P242" s="21"/>
      <c r="Q242" s="21"/>
      <c r="R242" s="21"/>
      <c r="S242" s="21"/>
      <c r="T242" s="21"/>
      <c r="U242" s="21"/>
      <c r="V242" s="21"/>
      <c r="W242" s="21"/>
      <c r="X242" s="21"/>
    </row>
    <row r="243" spans="1:27" s="2" customFormat="1" ht="31.25" customHeight="1" x14ac:dyDescent="0.2">
      <c r="B243" s="97" t="s">
        <v>17</v>
      </c>
      <c r="C243" s="98"/>
      <c r="D243" s="100"/>
      <c r="E243" s="100"/>
      <c r="F243" s="100"/>
      <c r="G243" s="100"/>
      <c r="H243" s="100"/>
      <c r="I243" s="100"/>
      <c r="J243" s="100"/>
      <c r="K243" s="100"/>
      <c r="L243" s="100"/>
      <c r="M243" s="100"/>
      <c r="N243" s="100"/>
      <c r="O243" s="100"/>
      <c r="P243" s="100"/>
      <c r="Q243" s="100"/>
      <c r="R243" s="100"/>
      <c r="S243" s="100"/>
      <c r="T243" s="100"/>
      <c r="U243" s="100"/>
      <c r="V243" s="100"/>
      <c r="W243" s="100"/>
      <c r="X243" s="100"/>
      <c r="Y243" s="100"/>
    </row>
    <row r="244" spans="1:27" s="2" customFormat="1" ht="22.5" customHeight="1" thickBot="1" x14ac:dyDescent="0.25">
      <c r="C244" s="35" t="s">
        <v>207</v>
      </c>
    </row>
    <row r="245" spans="1:27" ht="21" customHeight="1" thickBot="1" x14ac:dyDescent="0.25">
      <c r="A245" s="2"/>
      <c r="B245" s="7" t="s">
        <v>2</v>
      </c>
      <c r="C245" s="86" t="s">
        <v>214</v>
      </c>
      <c r="D245" s="32"/>
      <c r="E245" s="32"/>
      <c r="F245" s="32"/>
      <c r="G245" s="295" t="str">
        <f>IF(OR(SAM!E308=0,SAM!E308=""),"",SAM!E308)</f>
        <v>M Cars LLC</v>
      </c>
      <c r="H245" s="295"/>
      <c r="I245" s="295"/>
      <c r="J245" s="295"/>
      <c r="K245" s="295"/>
      <c r="L245" s="295"/>
      <c r="M245" s="9"/>
      <c r="N245" s="9"/>
      <c r="O245" s="9"/>
      <c r="P245" s="9"/>
      <c r="Q245" s="9"/>
      <c r="R245" s="9"/>
      <c r="S245" s="9"/>
      <c r="T245" s="9"/>
      <c r="U245" s="9"/>
      <c r="V245" s="9"/>
      <c r="W245" s="9"/>
      <c r="X245" s="9"/>
      <c r="Y245" s="11"/>
      <c r="AA245" s="2"/>
    </row>
    <row r="246" spans="1:27" ht="6.75" hidden="1" customHeight="1" x14ac:dyDescent="0.2">
      <c r="B246" s="22"/>
      <c r="C246" s="21"/>
      <c r="D246" s="21"/>
      <c r="E246" s="21"/>
      <c r="F246" s="21"/>
      <c r="G246" s="21"/>
      <c r="H246" s="21"/>
      <c r="I246" s="21"/>
      <c r="J246" s="21"/>
      <c r="K246" s="21"/>
      <c r="L246" s="21"/>
      <c r="M246" s="21"/>
      <c r="N246" s="21"/>
      <c r="O246" s="21"/>
      <c r="P246" s="21"/>
      <c r="Q246" s="21"/>
      <c r="R246" s="21"/>
      <c r="S246" s="21"/>
      <c r="T246" s="21"/>
      <c r="U246" s="21"/>
      <c r="V246" s="21"/>
      <c r="W246" s="21"/>
      <c r="X246" s="21"/>
      <c r="Y246" s="23"/>
      <c r="AA246" s="2"/>
    </row>
    <row r="247" spans="1:27" ht="21" hidden="1" customHeight="1" x14ac:dyDescent="0.2">
      <c r="B247" s="14"/>
      <c r="D247" s="93" t="s">
        <v>230</v>
      </c>
      <c r="G247" s="104" t="s">
        <v>65</v>
      </c>
      <c r="H247" s="106"/>
      <c r="I247" s="104" t="s">
        <v>65</v>
      </c>
      <c r="J247" s="104" t="s">
        <v>65</v>
      </c>
      <c r="K247" s="106"/>
      <c r="L247" s="104" t="s">
        <v>65</v>
      </c>
      <c r="M247" s="104" t="s">
        <v>65</v>
      </c>
      <c r="N247" s="106"/>
      <c r="O247" s="104" t="s">
        <v>65</v>
      </c>
      <c r="P247" s="104" t="s">
        <v>65</v>
      </c>
      <c r="Q247" s="106"/>
      <c r="R247" s="104" t="s">
        <v>65</v>
      </c>
      <c r="S247" s="104" t="s">
        <v>65</v>
      </c>
      <c r="T247" s="106"/>
      <c r="U247" s="104" t="s">
        <v>65</v>
      </c>
      <c r="V247" s="104" t="s">
        <v>65</v>
      </c>
      <c r="W247" s="106"/>
      <c r="X247" s="104" t="s">
        <v>65</v>
      </c>
      <c r="Y247" s="15"/>
      <c r="AA247" s="2"/>
    </row>
    <row r="248" spans="1:27" ht="6.75" hidden="1" customHeight="1" x14ac:dyDescent="0.2">
      <c r="B248" s="14"/>
      <c r="H248" s="96"/>
      <c r="K248" s="96"/>
      <c r="N248" s="96"/>
      <c r="Q248" s="96"/>
      <c r="T248" s="96"/>
      <c r="W248" s="96"/>
      <c r="Y248" s="15"/>
      <c r="AA248" s="2"/>
    </row>
    <row r="249" spans="1:27" ht="21" hidden="1" customHeight="1" x14ac:dyDescent="0.2">
      <c r="B249" s="14"/>
      <c r="D249" s="93" t="s">
        <v>198</v>
      </c>
      <c r="E249" s="96" t="s">
        <v>199</v>
      </c>
      <c r="F249" s="96" t="s">
        <v>199</v>
      </c>
      <c r="G249" s="94"/>
      <c r="H249" s="91"/>
      <c r="J249" s="94"/>
      <c r="K249" s="91"/>
      <c r="M249" s="94"/>
      <c r="N249" s="91"/>
      <c r="P249" s="94"/>
      <c r="Q249" s="91"/>
      <c r="S249" s="94"/>
      <c r="T249" s="91"/>
      <c r="V249" s="94"/>
      <c r="W249" s="91"/>
      <c r="Y249" s="15"/>
      <c r="AA249" s="2"/>
    </row>
    <row r="250" spans="1:27" ht="21" hidden="1" customHeight="1" x14ac:dyDescent="0.2">
      <c r="B250" s="14"/>
      <c r="D250" s="93" t="s">
        <v>208</v>
      </c>
      <c r="E250" s="96" t="s">
        <v>199</v>
      </c>
      <c r="F250" s="96" t="s">
        <v>199</v>
      </c>
      <c r="G250" s="94"/>
      <c r="H250" s="92"/>
      <c r="J250" s="94"/>
      <c r="K250" s="92"/>
      <c r="M250" s="94"/>
      <c r="N250" s="92"/>
      <c r="P250" s="94"/>
      <c r="Q250" s="92"/>
      <c r="S250" s="94"/>
      <c r="T250" s="92"/>
      <c r="V250" s="94"/>
      <c r="W250" s="92"/>
      <c r="Y250" s="15"/>
      <c r="AA250" s="2"/>
    </row>
    <row r="251" spans="1:27" ht="6.75" hidden="1" customHeight="1" x14ac:dyDescent="0.2">
      <c r="B251" s="14"/>
      <c r="E251" s="96" t="s">
        <v>199</v>
      </c>
      <c r="F251" s="96" t="s">
        <v>199</v>
      </c>
      <c r="Y251" s="15"/>
      <c r="AA251" s="2"/>
    </row>
    <row r="252" spans="1:27" ht="21" hidden="1" customHeight="1" x14ac:dyDescent="0.2">
      <c r="B252" s="89" t="s">
        <v>202</v>
      </c>
      <c r="C252" s="87"/>
      <c r="D252" s="17"/>
      <c r="E252" s="96" t="s">
        <v>199</v>
      </c>
      <c r="F252" s="96" t="s">
        <v>199</v>
      </c>
      <c r="G252" s="17"/>
      <c r="H252" s="203"/>
      <c r="I252" s="2"/>
      <c r="J252" s="17"/>
      <c r="K252" s="203"/>
      <c r="L252" s="2"/>
      <c r="M252" s="17"/>
      <c r="N252" s="203"/>
      <c r="O252" s="2"/>
      <c r="P252" s="17"/>
      <c r="Q252" s="203"/>
      <c r="R252" s="2"/>
      <c r="S252" s="17"/>
      <c r="T252" s="203"/>
      <c r="U252" s="2"/>
      <c r="V252" s="17"/>
      <c r="W252" s="203"/>
      <c r="X252" s="2"/>
      <c r="Y252" s="15"/>
      <c r="AA252" s="2"/>
    </row>
    <row r="253" spans="1:27" ht="21" hidden="1" customHeight="1" x14ac:dyDescent="0.2">
      <c r="B253" s="89" t="s">
        <v>192</v>
      </c>
      <c r="C253" s="87"/>
      <c r="D253" s="17"/>
      <c r="E253" s="96" t="s">
        <v>199</v>
      </c>
      <c r="F253" s="96" t="s">
        <v>199</v>
      </c>
      <c r="G253" s="24" t="s">
        <v>9</v>
      </c>
      <c r="H253" s="209"/>
      <c r="I253" s="25" t="s">
        <v>10</v>
      </c>
      <c r="J253" s="24" t="s">
        <v>9</v>
      </c>
      <c r="K253" s="209"/>
      <c r="L253" s="25" t="s">
        <v>10</v>
      </c>
      <c r="M253" s="24" t="s">
        <v>9</v>
      </c>
      <c r="N253" s="209"/>
      <c r="O253" s="25" t="s">
        <v>10</v>
      </c>
      <c r="P253" s="24" t="s">
        <v>9</v>
      </c>
      <c r="Q253" s="209"/>
      <c r="R253" s="25" t="s">
        <v>10</v>
      </c>
      <c r="S253" s="24" t="s">
        <v>9</v>
      </c>
      <c r="T253" s="209"/>
      <c r="U253" s="25" t="s">
        <v>10</v>
      </c>
      <c r="V253" s="24" t="s">
        <v>9</v>
      </c>
      <c r="W253" s="209"/>
      <c r="X253" s="25" t="s">
        <v>10</v>
      </c>
      <c r="Y253" s="15"/>
      <c r="AA253" s="2"/>
    </row>
    <row r="254" spans="1:27" ht="21" hidden="1" customHeight="1" x14ac:dyDescent="0.2">
      <c r="B254" s="89" t="s">
        <v>193</v>
      </c>
      <c r="C254" s="87"/>
      <c r="D254" s="17"/>
      <c r="E254" s="96">
        <f>IF(MONTH(W249)=MONTH(W250),((YEAR(W250)-YEAR(W249))*12)-12+(12-MONTH(W249))+MONTH(W250)-1+(EOMONTH(W249,0)-W249+1)/DAY(EOMONTH(W249,0))+(1-(EOMONTH(W250,0)-W250)/DAY(EOMONTH(W250,0))),((YEAR(W250)-YEAR(W249))*12)-12+(12-MONTH(W249))+MONTH(W250)-1+(EOMONTH(W249,0)-W249+1)/DAY(EOMONTH(W249,0))+(1-(EOMONTH(W250,0)-W250)/DAY(EOMONTH(W250,0))))</f>
        <v>3.2258064516129004E-2</v>
      </c>
      <c r="F254" s="96">
        <f>ROUND(IF(AND(W249&lt;&gt;"",W250&lt;&gt;""),IF(E254&lt;=1,1,E254),0),2)</f>
        <v>0</v>
      </c>
      <c r="G254" s="17"/>
      <c r="H254" s="204"/>
      <c r="I254" s="2"/>
      <c r="J254" s="17"/>
      <c r="K254" s="204"/>
      <c r="L254" s="2"/>
      <c r="M254" s="17"/>
      <c r="N254" s="204"/>
      <c r="O254" s="2"/>
      <c r="P254" s="17"/>
      <c r="Q254" s="204"/>
      <c r="R254" s="2"/>
      <c r="S254" s="17"/>
      <c r="T254" s="204"/>
      <c r="U254" s="2"/>
      <c r="V254" s="17"/>
      <c r="W254" s="204"/>
      <c r="X254" s="2"/>
      <c r="Y254" s="15"/>
      <c r="AA254" s="2"/>
    </row>
    <row r="255" spans="1:27" ht="21" hidden="1" customHeight="1" x14ac:dyDescent="0.2">
      <c r="B255" s="89" t="s">
        <v>197</v>
      </c>
      <c r="C255" s="87"/>
      <c r="D255" s="17"/>
      <c r="E255" s="96">
        <f>IF(MONTH(T249)=MONTH(T250),((YEAR(T250)-YEAR(T249))*12)-12+(12-MONTH(T249))+MONTH(T250)-1+(EOMONTH(T249,0)-T249+1)/DAY(EOMONTH(T249,0))+(1-(EOMONTH(T250,0)-T250)/DAY(EOMONTH(T250,0))),((YEAR(T250)-YEAR(T249))*12)-12+(12-MONTH(T249))+MONTH(T250)-1+(EOMONTH(T249,0)-T249+1)/DAY(EOMONTH(T249,0))+(1-(EOMONTH(T250,0)-T250)/DAY(EOMONTH(T250,0))))</f>
        <v>3.2258064516129004E-2</v>
      </c>
      <c r="F255" s="96">
        <f>ROUND(IF(AND(T249&lt;&gt;"",T250&lt;&gt;""),IF(E255&lt;=1,1,E255),0),2)</f>
        <v>0</v>
      </c>
      <c r="G255" s="17"/>
      <c r="H255" s="204"/>
      <c r="I255" s="2"/>
      <c r="J255" s="17"/>
      <c r="K255" s="204"/>
      <c r="L255" s="2"/>
      <c r="M255" s="17"/>
      <c r="N255" s="204"/>
      <c r="O255" s="2"/>
      <c r="P255" s="17"/>
      <c r="Q255" s="204"/>
      <c r="R255" s="2"/>
      <c r="S255" s="17"/>
      <c r="T255" s="204"/>
      <c r="U255" s="2"/>
      <c r="V255" s="17"/>
      <c r="W255" s="204"/>
      <c r="X255" s="2"/>
      <c r="Y255" s="15"/>
      <c r="AA255" s="2"/>
    </row>
    <row r="256" spans="1:27" ht="21" hidden="1" customHeight="1" x14ac:dyDescent="0.2">
      <c r="B256" s="89" t="s">
        <v>194</v>
      </c>
      <c r="C256" s="87"/>
      <c r="D256" s="17"/>
      <c r="E256" s="105">
        <f>IF(MONTH(Q249)=MONTH(Q250),((YEAR(Q250)-YEAR(Q249))*12)-12+(12-MONTH(Q249))+MONTH(Q250)-1+(EOMONTH(Q249,0)-Q249+1)/DAY(EOMONTH(Q249,0))+(1-(EOMONTH(Q250,0)-Q250)/DAY(EOMONTH(Q250,0))),((YEAR(Q250)-YEAR(Q249))*12)-12+(12-MONTH(Q249))+MONTH(Q250)-1+(EOMONTH(Q249,0)-Q249+1)/DAY(EOMONTH(Q249,0))+(1-(EOMONTH(Q250,0)-Q250)/DAY(EOMONTH(Q250,0))))</f>
        <v>3.2258064516129004E-2</v>
      </c>
      <c r="F256" s="105">
        <f>ROUND(IF(AND(Q249&lt;&gt;"",Q250&lt;&gt;""),IF(E256&lt;=1,1,E256),0),2)</f>
        <v>0</v>
      </c>
      <c r="G256" s="17"/>
      <c r="H256" s="204"/>
      <c r="I256" s="2"/>
      <c r="J256" s="17"/>
      <c r="K256" s="204"/>
      <c r="L256" s="2"/>
      <c r="M256" s="17"/>
      <c r="N256" s="204"/>
      <c r="O256" s="2"/>
      <c r="P256" s="17"/>
      <c r="Q256" s="204"/>
      <c r="R256" s="2"/>
      <c r="S256" s="17"/>
      <c r="T256" s="204"/>
      <c r="U256" s="2"/>
      <c r="V256" s="17"/>
      <c r="W256" s="204"/>
      <c r="X256" s="2"/>
      <c r="Y256" s="15"/>
      <c r="AA256" s="2"/>
    </row>
    <row r="257" spans="1:27" ht="21" hidden="1" customHeight="1" x14ac:dyDescent="0.2">
      <c r="B257" s="89" t="s">
        <v>195</v>
      </c>
      <c r="C257" s="87"/>
      <c r="D257" s="17"/>
      <c r="E257" s="96">
        <f>IF(MONTH(N249)=MONTH(N250),((YEAR(N250)-YEAR(N249))*12)-12+(12-MONTH(N249))+MONTH(N250)-1+(EOMONTH(N249,0)-N249+1)/DAY(EOMONTH(N249,0))+(1-(EOMONTH(N250,0)-N250)/DAY(EOMONTH(N250,0))),((YEAR(N250)-YEAR(N249))*12)-12+(12-MONTH(N249))+MONTH(N250)-1+(EOMONTH(N249,0)-N249+1)/DAY(EOMONTH(N249,0))+(1-(EOMONTH(N250,0)-N250)/DAY(EOMONTH(N250,0))))</f>
        <v>3.2258064516129004E-2</v>
      </c>
      <c r="F257" s="96">
        <f>ROUND(IF(AND(N249&lt;&gt;"",N250&lt;&gt;""),IF(E257&lt;=1,1,E257),0),2)</f>
        <v>0</v>
      </c>
      <c r="G257" s="17"/>
      <c r="H257" s="204"/>
      <c r="I257" s="2"/>
      <c r="J257" s="17"/>
      <c r="K257" s="204"/>
      <c r="L257" s="2"/>
      <c r="M257" s="17"/>
      <c r="N257" s="204"/>
      <c r="O257" s="2"/>
      <c r="P257" s="17"/>
      <c r="Q257" s="204"/>
      <c r="R257" s="2"/>
      <c r="S257" s="17"/>
      <c r="T257" s="204"/>
      <c r="U257" s="2"/>
      <c r="V257" s="17"/>
      <c r="W257" s="204"/>
      <c r="X257" s="2"/>
      <c r="Y257" s="15"/>
      <c r="AA257" s="2"/>
    </row>
    <row r="258" spans="1:27" ht="21" hidden="1" customHeight="1" x14ac:dyDescent="0.2">
      <c r="B258" s="89" t="s">
        <v>196</v>
      </c>
      <c r="C258" s="87"/>
      <c r="D258" s="107"/>
      <c r="E258" s="96">
        <f>IF(MONTH(K249)=MONTH(K250),((YEAR(K250)-YEAR(K249))*12)-12+(12-MONTH(K249))+MONTH(K250)-1+(EOMONTH(K249,0)-K249+1)/DAY(EOMONTH(K249,0))+(1-(EOMONTH(K250,0)-K250)/DAY(EOMONTH(K250,0))),((YEAR(K250)-YEAR(K249))*12)-12+(12-MONTH(K249))+MONTH(K250)-1+(EOMONTH(K249,0)-K249+1)/DAY(EOMONTH(K249,0))+(1-(EOMONTH(K250,0)-K250)/DAY(EOMONTH(K250,0))))</f>
        <v>3.2258064516129004E-2</v>
      </c>
      <c r="F258" s="96">
        <f>ROUND(IF(AND(K249&lt;&gt;"",K250&lt;&gt;""),IF(E258&lt;=1,1,E258),0),2)</f>
        <v>0</v>
      </c>
      <c r="G258" s="103" t="s">
        <v>65</v>
      </c>
      <c r="H258" s="206"/>
      <c r="I258" s="2"/>
      <c r="J258" s="2"/>
      <c r="K258" s="206"/>
      <c r="L258" s="2"/>
      <c r="M258" s="2"/>
      <c r="N258" s="206"/>
      <c r="O258" s="2"/>
      <c r="P258" s="2"/>
      <c r="Q258" s="206"/>
      <c r="R258" s="2"/>
      <c r="S258" s="2"/>
      <c r="T258" s="206"/>
      <c r="U258" s="2"/>
      <c r="V258" s="2"/>
      <c r="W258" s="206"/>
      <c r="X258" s="2"/>
      <c r="Y258" s="15"/>
      <c r="AA258" s="2"/>
    </row>
    <row r="259" spans="1:27" ht="13.25" hidden="1" customHeight="1" x14ac:dyDescent="0.2">
      <c r="B259" s="89"/>
      <c r="C259" s="87"/>
      <c r="D259" s="17"/>
      <c r="E259" s="96" t="s">
        <v>199</v>
      </c>
      <c r="F259" s="96" t="s">
        <v>199</v>
      </c>
      <c r="G259" s="24"/>
      <c r="H259" s="27"/>
      <c r="I259" s="2"/>
      <c r="J259" s="24"/>
      <c r="K259" s="27"/>
      <c r="L259" s="2"/>
      <c r="M259" s="24"/>
      <c r="N259" s="27"/>
      <c r="O259" s="2"/>
      <c r="P259" s="24"/>
      <c r="Q259" s="27"/>
      <c r="R259" s="2"/>
      <c r="S259" s="24"/>
      <c r="T259" s="27"/>
      <c r="U259" s="2"/>
      <c r="V259" s="24"/>
      <c r="W259" s="27"/>
      <c r="X259" s="2"/>
      <c r="Y259" s="15"/>
      <c r="AA259" s="2"/>
    </row>
    <row r="260" spans="1:27" ht="21" hidden="1" customHeight="1" x14ac:dyDescent="0.2">
      <c r="B260" s="89" t="s">
        <v>3</v>
      </c>
      <c r="C260" s="87"/>
      <c r="D260" s="17"/>
      <c r="E260" s="96"/>
      <c r="F260" s="96"/>
      <c r="G260" s="24"/>
      <c r="H260" s="222">
        <f>IFERROR(SUM(H254:H258)-H253+H252,0)</f>
        <v>0</v>
      </c>
      <c r="I260" s="2"/>
      <c r="J260" s="24"/>
      <c r="K260" s="222">
        <f>IFERROR(SUM(K254:K258)-K253+K252,0)</f>
        <v>0</v>
      </c>
      <c r="L260" s="2"/>
      <c r="M260" s="24"/>
      <c r="N260" s="222">
        <f>IFERROR(SUM(N254:N258)-N253+N252,0)</f>
        <v>0</v>
      </c>
      <c r="O260" s="2"/>
      <c r="P260" s="24"/>
      <c r="Q260" s="222">
        <f>IFERROR(SUM(Q254:Q258)-Q253+Q252,0)</f>
        <v>0</v>
      </c>
      <c r="R260" s="2"/>
      <c r="S260" s="24"/>
      <c r="T260" s="222">
        <f>IFERROR(SUM(T254:T258)-T253+T252,0)</f>
        <v>0</v>
      </c>
      <c r="U260" s="2"/>
      <c r="V260" s="24"/>
      <c r="W260" s="222">
        <f>IFERROR(SUM(W254:W258)-W253+W252,0)</f>
        <v>0</v>
      </c>
      <c r="X260" s="2"/>
      <c r="Y260" s="15"/>
      <c r="AA260" s="2"/>
    </row>
    <row r="261" spans="1:27" ht="21" hidden="1" customHeight="1" x14ac:dyDescent="0.2">
      <c r="B261" s="89" t="s">
        <v>213</v>
      </c>
      <c r="C261" s="87"/>
      <c r="D261" s="17"/>
      <c r="E261" s="96"/>
      <c r="F261" s="96"/>
      <c r="G261" s="24"/>
      <c r="H261" s="54"/>
      <c r="I261" s="2"/>
      <c r="J261" s="24"/>
      <c r="K261" s="54"/>
      <c r="L261" s="2"/>
      <c r="M261" s="24"/>
      <c r="N261" s="54"/>
      <c r="O261" s="2"/>
      <c r="P261" s="24"/>
      <c r="Q261" s="54"/>
      <c r="R261" s="2"/>
      <c r="S261" s="24"/>
      <c r="T261" s="54"/>
      <c r="U261" s="2"/>
      <c r="V261" s="24"/>
      <c r="W261" s="54"/>
      <c r="X261" s="2"/>
      <c r="Y261" s="15"/>
      <c r="AA261" s="2"/>
    </row>
    <row r="262" spans="1:27" ht="21" hidden="1" customHeight="1" x14ac:dyDescent="0.2">
      <c r="B262" s="89" t="s">
        <v>215</v>
      </c>
      <c r="C262" s="87"/>
      <c r="D262" s="17"/>
      <c r="E262" s="96"/>
      <c r="F262" s="96"/>
      <c r="G262" s="24"/>
      <c r="H262" s="210">
        <f>ROUND(IFERROR(H260*H261,0),2)</f>
        <v>0</v>
      </c>
      <c r="I262" s="2"/>
      <c r="J262" s="24"/>
      <c r="K262" s="210">
        <f>ROUND(IFERROR(K260*K261,0),2)</f>
        <v>0</v>
      </c>
      <c r="L262" s="2"/>
      <c r="M262" s="24"/>
      <c r="N262" s="210">
        <f>ROUND(IFERROR(N260*N261,0),2)</f>
        <v>0</v>
      </c>
      <c r="O262" s="2"/>
      <c r="P262" s="24"/>
      <c r="Q262" s="210">
        <f>ROUND(IFERROR(Q260*Q261,0),2)</f>
        <v>0</v>
      </c>
      <c r="R262" s="2"/>
      <c r="S262" s="24"/>
      <c r="T262" s="210">
        <f>ROUND(IFERROR(T260*T261,0),2)</f>
        <v>0</v>
      </c>
      <c r="U262" s="2"/>
      <c r="V262" s="24"/>
      <c r="W262" s="210">
        <f>ROUND(IFERROR(W260*W261,0),2)</f>
        <v>0</v>
      </c>
      <c r="X262" s="2"/>
      <c r="Y262" s="15"/>
      <c r="AA262" s="2"/>
    </row>
    <row r="263" spans="1:27" ht="10.25" hidden="1" customHeight="1" x14ac:dyDescent="0.2">
      <c r="B263" s="89"/>
      <c r="C263" s="87"/>
      <c r="D263" s="17"/>
      <c r="E263" s="96"/>
      <c r="F263" s="96"/>
      <c r="G263" s="24"/>
      <c r="H263" s="27"/>
      <c r="I263" s="2"/>
      <c r="J263" s="24"/>
      <c r="K263" s="27"/>
      <c r="L263" s="2"/>
      <c r="M263" s="24"/>
      <c r="N263" s="27"/>
      <c r="O263" s="2"/>
      <c r="P263" s="24"/>
      <c r="Q263" s="27"/>
      <c r="R263" s="2"/>
      <c r="S263" s="24"/>
      <c r="T263" s="27"/>
      <c r="U263" s="2"/>
      <c r="V263" s="24"/>
      <c r="W263" s="27"/>
      <c r="X263" s="2"/>
      <c r="Y263" s="15"/>
      <c r="AA263" s="2"/>
    </row>
    <row r="264" spans="1:27" ht="21" hidden="1" customHeight="1" x14ac:dyDescent="0.2">
      <c r="B264" s="89" t="s">
        <v>204</v>
      </c>
      <c r="C264" s="87"/>
      <c r="D264" s="17"/>
      <c r="E264" s="96"/>
      <c r="F264" s="96"/>
      <c r="G264" s="24"/>
      <c r="H264" s="208"/>
      <c r="I264" s="2"/>
      <c r="J264" s="24"/>
      <c r="K264" s="208"/>
      <c r="L264" s="2"/>
      <c r="M264" s="24"/>
      <c r="N264" s="208"/>
      <c r="O264" s="2"/>
      <c r="P264" s="24"/>
      <c r="Q264" s="208"/>
      <c r="R264" s="2"/>
      <c r="S264" s="24"/>
      <c r="T264" s="208"/>
      <c r="U264" s="2"/>
      <c r="V264" s="24"/>
      <c r="W264" s="208"/>
      <c r="X264" s="2"/>
      <c r="Y264" s="15"/>
      <c r="AA264" s="2"/>
    </row>
    <row r="265" spans="1:27" ht="6.5" hidden="1" customHeight="1" x14ac:dyDescent="0.2">
      <c r="B265" s="89"/>
      <c r="C265" s="87"/>
      <c r="D265" s="17"/>
      <c r="E265" s="96"/>
      <c r="F265" s="96"/>
      <c r="G265" s="24"/>
      <c r="H265" s="27"/>
      <c r="I265" s="2"/>
      <c r="J265" s="24"/>
      <c r="K265" s="27"/>
      <c r="L265" s="2"/>
      <c r="M265" s="24"/>
      <c r="N265" s="27"/>
      <c r="O265" s="2"/>
      <c r="P265" s="24"/>
      <c r="Q265" s="27"/>
      <c r="R265" s="2"/>
      <c r="S265" s="24"/>
      <c r="T265" s="27"/>
      <c r="U265" s="2"/>
      <c r="V265" s="24"/>
      <c r="W265" s="27"/>
      <c r="X265" s="2"/>
      <c r="Y265" s="15"/>
      <c r="AA265" s="2"/>
    </row>
    <row r="266" spans="1:27" ht="21" hidden="1" customHeight="1" x14ac:dyDescent="0.2">
      <c r="B266" s="90"/>
      <c r="C266" s="88"/>
      <c r="D266" s="99" t="s">
        <v>209</v>
      </c>
      <c r="E266" s="96" t="s">
        <v>199</v>
      </c>
      <c r="F266" s="96" t="s">
        <v>199</v>
      </c>
      <c r="G266" s="80"/>
      <c r="H266" s="210">
        <f>IFERROR(H262+H264,0)</f>
        <v>0</v>
      </c>
      <c r="I266" s="2"/>
      <c r="J266" s="80"/>
      <c r="K266" s="210">
        <f>IFERROR(K262+K264,0)</f>
        <v>0</v>
      </c>
      <c r="L266" s="2"/>
      <c r="M266" s="80"/>
      <c r="N266" s="210">
        <f>IFERROR(N262+N264,0)</f>
        <v>0</v>
      </c>
      <c r="O266" s="2"/>
      <c r="P266" s="80"/>
      <c r="Q266" s="210">
        <f>IFERROR(Q262+Q264,0)</f>
        <v>0</v>
      </c>
      <c r="R266" s="2"/>
      <c r="S266" s="80"/>
      <c r="T266" s="210">
        <f>IFERROR(T262+T264,0)</f>
        <v>0</v>
      </c>
      <c r="U266" s="2"/>
      <c r="V266" s="80"/>
      <c r="W266" s="210">
        <f>IFERROR(W262+W264,0)</f>
        <v>0</v>
      </c>
      <c r="X266" s="2"/>
      <c r="Y266" s="15"/>
      <c r="AA266" s="2"/>
    </row>
    <row r="267" spans="1:27" ht="21" hidden="1" customHeight="1" x14ac:dyDescent="0.2">
      <c r="B267" s="90"/>
      <c r="C267" s="88"/>
      <c r="D267" s="93" t="s">
        <v>210</v>
      </c>
      <c r="E267" s="96">
        <f>IF(MONTH(H249)=MONTH(H250),((YEAR(H250)-YEAR(H249))*12)-12+(12-MONTH(H249))+MONTH(H250)-1+(EOMONTH(H249,0)-H249+1)/DAY(EOMONTH(H249,0))+(1-(EOMONTH(H250,0)-H250)/DAY(EOMONTH(H250,0))),((YEAR(H250)-YEAR(H249))*12)-12+(12-MONTH(H249))+MONTH(H250)-1+(EOMONTH(H249,0)-H249+1)/DAY(EOMONTH(H249,0))+(1-(EOMONTH(H250,0)-H250)/DAY(EOMONTH(H250,0))))</f>
        <v>3.2258064516129004E-2</v>
      </c>
      <c r="F267" s="96">
        <f>ROUND(IF(AND(H249&lt;&gt;"",H250&lt;&gt;""),IF(E267&lt;=1,1,E267),0),2)</f>
        <v>0</v>
      </c>
      <c r="G267" s="17"/>
      <c r="H267" s="210">
        <f>ROUND(IFERROR(H266/F267,0),2)</f>
        <v>0</v>
      </c>
      <c r="I267" s="2"/>
      <c r="J267" s="17"/>
      <c r="K267" s="210">
        <f>ROUND(IFERROR(K266/F258,0),2)</f>
        <v>0</v>
      </c>
      <c r="L267" s="2"/>
      <c r="M267" s="17"/>
      <c r="N267" s="210">
        <f>ROUND(IFERROR(N266/F257,0),2)</f>
        <v>0</v>
      </c>
      <c r="O267" s="2"/>
      <c r="P267" s="17"/>
      <c r="Q267" s="210">
        <f>ROUND(IFERROR(Q266/F256,0),2)</f>
        <v>0</v>
      </c>
      <c r="R267" s="2"/>
      <c r="S267" s="17"/>
      <c r="T267" s="210">
        <f>ROUND(IFERROR(T266/F255,0),2)</f>
        <v>0</v>
      </c>
      <c r="U267" s="2"/>
      <c r="V267" s="17"/>
      <c r="W267" s="210">
        <f>ROUND(IFERROR(W266/F254,0),2)</f>
        <v>0</v>
      </c>
      <c r="X267" s="2"/>
      <c r="Y267" s="15"/>
      <c r="AA267" s="2"/>
    </row>
    <row r="268" spans="1:27" ht="8.25" hidden="1" customHeight="1" thickBot="1" x14ac:dyDescent="0.25">
      <c r="B268" s="18"/>
      <c r="C268" s="19"/>
      <c r="D268" s="19"/>
      <c r="E268" s="19"/>
      <c r="F268" s="19"/>
      <c r="G268" s="19"/>
      <c r="H268" s="19"/>
      <c r="I268" s="19"/>
      <c r="J268" s="19"/>
      <c r="K268" s="19"/>
      <c r="L268" s="19"/>
      <c r="M268" s="19"/>
      <c r="N268" s="19"/>
      <c r="O268" s="19"/>
      <c r="P268" s="19"/>
      <c r="Q268" s="19"/>
      <c r="R268" s="19"/>
      <c r="S268" s="19"/>
      <c r="T268" s="19"/>
      <c r="U268" s="19"/>
      <c r="V268" s="19"/>
      <c r="W268" s="19"/>
      <c r="X268" s="19"/>
      <c r="Y268" s="20"/>
      <c r="AA268" s="2"/>
    </row>
    <row r="269" spans="1:27" ht="14" customHeight="1" thickBot="1" x14ac:dyDescent="0.25">
      <c r="B269" s="3"/>
      <c r="E269" s="21"/>
      <c r="F269" s="21"/>
      <c r="I269" s="21"/>
      <c r="J269" s="21"/>
      <c r="K269" s="21"/>
      <c r="L269" s="21"/>
      <c r="M269" s="21"/>
      <c r="N269" s="21"/>
      <c r="O269" s="21"/>
      <c r="P269" s="21"/>
      <c r="Q269" s="21"/>
      <c r="R269" s="21"/>
      <c r="S269" s="21"/>
      <c r="T269" s="21"/>
      <c r="U269" s="21"/>
      <c r="V269" s="21"/>
      <c r="W269" s="21"/>
      <c r="X269" s="21"/>
    </row>
    <row r="270" spans="1:27" ht="21" customHeight="1" thickBot="1" x14ac:dyDescent="0.25">
      <c r="A270" s="2"/>
      <c r="B270" s="7" t="s">
        <v>2</v>
      </c>
      <c r="C270" s="86" t="s">
        <v>214</v>
      </c>
      <c r="D270" s="32"/>
      <c r="E270" s="32"/>
      <c r="F270" s="32"/>
      <c r="G270" s="295" t="str">
        <f>IF(OR(SAM!E338=0,SAM!E338=""),"",SAM!E338)</f>
        <v/>
      </c>
      <c r="H270" s="295"/>
      <c r="I270" s="295"/>
      <c r="J270" s="295"/>
      <c r="K270" s="295"/>
      <c r="L270" s="295"/>
      <c r="M270" s="9"/>
      <c r="N270" s="9"/>
      <c r="O270" s="9"/>
      <c r="P270" s="9"/>
      <c r="Q270" s="9"/>
      <c r="R270" s="9"/>
      <c r="S270" s="9"/>
      <c r="T270" s="9"/>
      <c r="U270" s="9"/>
      <c r="V270" s="9"/>
      <c r="W270" s="9"/>
      <c r="X270" s="9"/>
      <c r="Y270" s="11"/>
      <c r="AA270" s="2"/>
    </row>
    <row r="271" spans="1:27" ht="6.75" hidden="1" customHeight="1" x14ac:dyDescent="0.2">
      <c r="B271" s="22"/>
      <c r="C271" s="21"/>
      <c r="D271" s="21"/>
      <c r="E271" s="21"/>
      <c r="F271" s="21"/>
      <c r="G271" s="21"/>
      <c r="H271" s="21"/>
      <c r="I271" s="21"/>
      <c r="J271" s="21"/>
      <c r="K271" s="21"/>
      <c r="L271" s="21"/>
      <c r="M271" s="21"/>
      <c r="N271" s="21"/>
      <c r="O271" s="21"/>
      <c r="P271" s="21"/>
      <c r="Q271" s="21"/>
      <c r="R271" s="21"/>
      <c r="S271" s="21"/>
      <c r="T271" s="21"/>
      <c r="U271" s="21"/>
      <c r="V271" s="21"/>
      <c r="W271" s="21"/>
      <c r="X271" s="21"/>
      <c r="Y271" s="23"/>
      <c r="AA271" s="2"/>
    </row>
    <row r="272" spans="1:27" ht="21" hidden="1" customHeight="1" x14ac:dyDescent="0.2">
      <c r="B272" s="14"/>
      <c r="D272" s="93" t="s">
        <v>230</v>
      </c>
      <c r="G272" s="104" t="s">
        <v>65</v>
      </c>
      <c r="H272" s="106"/>
      <c r="I272" s="104" t="s">
        <v>65</v>
      </c>
      <c r="J272" s="104" t="s">
        <v>65</v>
      </c>
      <c r="K272" s="106"/>
      <c r="L272" s="104" t="s">
        <v>65</v>
      </c>
      <c r="M272" s="104" t="s">
        <v>65</v>
      </c>
      <c r="N272" s="106"/>
      <c r="O272" s="104" t="s">
        <v>65</v>
      </c>
      <c r="P272" s="104" t="s">
        <v>65</v>
      </c>
      <c r="Q272" s="106"/>
      <c r="R272" s="104" t="s">
        <v>65</v>
      </c>
      <c r="S272" s="104" t="s">
        <v>65</v>
      </c>
      <c r="T272" s="106"/>
      <c r="U272" s="104" t="s">
        <v>65</v>
      </c>
      <c r="V272" s="104" t="s">
        <v>65</v>
      </c>
      <c r="W272" s="106"/>
      <c r="X272" s="104" t="s">
        <v>65</v>
      </c>
      <c r="Y272" s="15"/>
      <c r="AA272" s="2"/>
    </row>
    <row r="273" spans="2:27" ht="6.75" hidden="1" customHeight="1" x14ac:dyDescent="0.2">
      <c r="B273" s="14"/>
      <c r="H273" s="96"/>
      <c r="K273" s="96"/>
      <c r="N273" s="96"/>
      <c r="Q273" s="96"/>
      <c r="T273" s="96"/>
      <c r="W273" s="96"/>
      <c r="Y273" s="15"/>
      <c r="AA273" s="2"/>
    </row>
    <row r="274" spans="2:27" ht="21" hidden="1" customHeight="1" x14ac:dyDescent="0.2">
      <c r="B274" s="14"/>
      <c r="D274" s="93" t="s">
        <v>198</v>
      </c>
      <c r="E274" s="96" t="s">
        <v>199</v>
      </c>
      <c r="F274" s="96" t="s">
        <v>199</v>
      </c>
      <c r="G274" s="94"/>
      <c r="H274" s="91"/>
      <c r="J274" s="94"/>
      <c r="K274" s="91"/>
      <c r="M274" s="94"/>
      <c r="N274" s="91"/>
      <c r="P274" s="94"/>
      <c r="Q274" s="91"/>
      <c r="S274" s="94"/>
      <c r="T274" s="91"/>
      <c r="V274" s="94"/>
      <c r="W274" s="91"/>
      <c r="Y274" s="15"/>
      <c r="AA274" s="2"/>
    </row>
    <row r="275" spans="2:27" ht="21" hidden="1" customHeight="1" x14ac:dyDescent="0.2">
      <c r="B275" s="14"/>
      <c r="D275" s="93" t="s">
        <v>208</v>
      </c>
      <c r="E275" s="96" t="s">
        <v>199</v>
      </c>
      <c r="F275" s="96" t="s">
        <v>199</v>
      </c>
      <c r="G275" s="94"/>
      <c r="H275" s="92"/>
      <c r="J275" s="94"/>
      <c r="K275" s="92"/>
      <c r="M275" s="94"/>
      <c r="N275" s="92"/>
      <c r="P275" s="94"/>
      <c r="Q275" s="92"/>
      <c r="S275" s="94"/>
      <c r="T275" s="92"/>
      <c r="V275" s="94"/>
      <c r="W275" s="92"/>
      <c r="Y275" s="15"/>
      <c r="AA275" s="2"/>
    </row>
    <row r="276" spans="2:27" ht="6.75" hidden="1" customHeight="1" x14ac:dyDescent="0.2">
      <c r="B276" s="14"/>
      <c r="E276" s="96" t="s">
        <v>199</v>
      </c>
      <c r="F276" s="96" t="s">
        <v>199</v>
      </c>
      <c r="Y276" s="15"/>
      <c r="AA276" s="2"/>
    </row>
    <row r="277" spans="2:27" ht="21" hidden="1" customHeight="1" x14ac:dyDescent="0.2">
      <c r="B277" s="89" t="s">
        <v>202</v>
      </c>
      <c r="C277" s="87"/>
      <c r="D277" s="17"/>
      <c r="E277" s="96" t="s">
        <v>199</v>
      </c>
      <c r="F277" s="96" t="s">
        <v>199</v>
      </c>
      <c r="G277" s="17"/>
      <c r="H277" s="203"/>
      <c r="I277" s="2"/>
      <c r="J277" s="17"/>
      <c r="K277" s="203"/>
      <c r="L277" s="2"/>
      <c r="M277" s="17"/>
      <c r="N277" s="203"/>
      <c r="O277" s="2"/>
      <c r="P277" s="17"/>
      <c r="Q277" s="203"/>
      <c r="R277" s="2"/>
      <c r="S277" s="17"/>
      <c r="T277" s="203"/>
      <c r="U277" s="2"/>
      <c r="V277" s="17"/>
      <c r="W277" s="203"/>
      <c r="X277" s="2"/>
      <c r="Y277" s="15"/>
      <c r="AA277" s="2"/>
    </row>
    <row r="278" spans="2:27" ht="21" hidden="1" customHeight="1" x14ac:dyDescent="0.2">
      <c r="B278" s="89" t="s">
        <v>192</v>
      </c>
      <c r="C278" s="87"/>
      <c r="D278" s="17"/>
      <c r="E278" s="96" t="s">
        <v>199</v>
      </c>
      <c r="F278" s="96" t="s">
        <v>199</v>
      </c>
      <c r="G278" s="24" t="s">
        <v>9</v>
      </c>
      <c r="H278" s="209"/>
      <c r="I278" s="25" t="s">
        <v>10</v>
      </c>
      <c r="J278" s="24" t="s">
        <v>9</v>
      </c>
      <c r="K278" s="209"/>
      <c r="L278" s="25" t="s">
        <v>10</v>
      </c>
      <c r="M278" s="24" t="s">
        <v>9</v>
      </c>
      <c r="N278" s="209"/>
      <c r="O278" s="25" t="s">
        <v>10</v>
      </c>
      <c r="P278" s="24" t="s">
        <v>9</v>
      </c>
      <c r="Q278" s="209"/>
      <c r="R278" s="25" t="s">
        <v>10</v>
      </c>
      <c r="S278" s="24" t="s">
        <v>9</v>
      </c>
      <c r="T278" s="209"/>
      <c r="U278" s="25" t="s">
        <v>10</v>
      </c>
      <c r="V278" s="24" t="s">
        <v>9</v>
      </c>
      <c r="W278" s="209"/>
      <c r="X278" s="25" t="s">
        <v>10</v>
      </c>
      <c r="Y278" s="15"/>
      <c r="AA278" s="2"/>
    </row>
    <row r="279" spans="2:27" ht="21" hidden="1" customHeight="1" x14ac:dyDescent="0.2">
      <c r="B279" s="89" t="s">
        <v>193</v>
      </c>
      <c r="C279" s="87"/>
      <c r="D279" s="17"/>
      <c r="E279" s="96">
        <f>IF(MONTH(W274)=MONTH(W275),((YEAR(W275)-YEAR(W274))*12)-12+(12-MONTH(W274))+MONTH(W275)-1+(EOMONTH(W274,0)-W274+1)/DAY(EOMONTH(W274,0))+(1-(EOMONTH(W275,0)-W275)/DAY(EOMONTH(W275,0))),((YEAR(W275)-YEAR(W274))*12)-12+(12-MONTH(W274))+MONTH(W275)-1+(EOMONTH(W274,0)-W274+1)/DAY(EOMONTH(W274,0))+(1-(EOMONTH(W275,0)-W275)/DAY(EOMONTH(W275,0))))</f>
        <v>3.2258064516129004E-2</v>
      </c>
      <c r="F279" s="96">
        <f>ROUND(IF(AND(W274&lt;&gt;"",W275&lt;&gt;""),IF(E279&lt;=1,1,E279),0),2)</f>
        <v>0</v>
      </c>
      <c r="G279" s="17"/>
      <c r="H279" s="204"/>
      <c r="I279" s="2"/>
      <c r="J279" s="17"/>
      <c r="K279" s="204"/>
      <c r="L279" s="2"/>
      <c r="M279" s="17"/>
      <c r="N279" s="204"/>
      <c r="O279" s="2"/>
      <c r="P279" s="17"/>
      <c r="Q279" s="204"/>
      <c r="R279" s="2"/>
      <c r="S279" s="17"/>
      <c r="T279" s="204"/>
      <c r="U279" s="2"/>
      <c r="V279" s="17"/>
      <c r="W279" s="204"/>
      <c r="X279" s="2"/>
      <c r="Y279" s="15"/>
      <c r="AA279" s="2"/>
    </row>
    <row r="280" spans="2:27" ht="21" hidden="1" customHeight="1" x14ac:dyDescent="0.2">
      <c r="B280" s="89" t="s">
        <v>197</v>
      </c>
      <c r="C280" s="87"/>
      <c r="D280" s="17"/>
      <c r="E280" s="96">
        <f>IF(MONTH(T274)=MONTH(T275),((YEAR(T275)-YEAR(T274))*12)-12+(12-MONTH(T274))+MONTH(T275)-1+(EOMONTH(T274,0)-T274+1)/DAY(EOMONTH(T274,0))+(1-(EOMONTH(T275,0)-T275)/DAY(EOMONTH(T275,0))),((YEAR(T275)-YEAR(T274))*12)-12+(12-MONTH(T274))+MONTH(T275)-1+(EOMONTH(T274,0)-T274+1)/DAY(EOMONTH(T274,0))+(1-(EOMONTH(T275,0)-T275)/DAY(EOMONTH(T275,0))))</f>
        <v>3.2258064516129004E-2</v>
      </c>
      <c r="F280" s="96">
        <f>ROUND(IF(AND(T274&lt;&gt;"",T275&lt;&gt;""),IF(E280&lt;=1,1,E280),0),2)</f>
        <v>0</v>
      </c>
      <c r="G280" s="17"/>
      <c r="H280" s="204"/>
      <c r="I280" s="2"/>
      <c r="J280" s="17"/>
      <c r="K280" s="204"/>
      <c r="L280" s="2"/>
      <c r="M280" s="17"/>
      <c r="N280" s="204"/>
      <c r="O280" s="2"/>
      <c r="P280" s="17"/>
      <c r="Q280" s="204"/>
      <c r="R280" s="2"/>
      <c r="S280" s="17"/>
      <c r="T280" s="204"/>
      <c r="U280" s="2"/>
      <c r="V280" s="17"/>
      <c r="W280" s="204"/>
      <c r="X280" s="2"/>
      <c r="Y280" s="15"/>
      <c r="AA280" s="2"/>
    </row>
    <row r="281" spans="2:27" ht="21" hidden="1" customHeight="1" x14ac:dyDescent="0.2">
      <c r="B281" s="89" t="s">
        <v>194</v>
      </c>
      <c r="C281" s="87"/>
      <c r="D281" s="17"/>
      <c r="E281" s="105">
        <f>IF(MONTH(Q274)=MONTH(Q275),((YEAR(Q275)-YEAR(Q274))*12)-12+(12-MONTH(Q274))+MONTH(Q275)-1+(EOMONTH(Q274,0)-Q274+1)/DAY(EOMONTH(Q274,0))+(1-(EOMONTH(Q275,0)-Q275)/DAY(EOMONTH(Q275,0))),((YEAR(Q275)-YEAR(Q274))*12)-12+(12-MONTH(Q274))+MONTH(Q275)-1+(EOMONTH(Q274,0)-Q274+1)/DAY(EOMONTH(Q274,0))+(1-(EOMONTH(Q275,0)-Q275)/DAY(EOMONTH(Q275,0))))</f>
        <v>3.2258064516129004E-2</v>
      </c>
      <c r="F281" s="105">
        <f>ROUND(IF(AND(Q274&lt;&gt;"",Q275&lt;&gt;""),IF(E281&lt;=1,1,E281),0),2)</f>
        <v>0</v>
      </c>
      <c r="G281" s="17"/>
      <c r="H281" s="204"/>
      <c r="I281" s="2"/>
      <c r="J281" s="17"/>
      <c r="K281" s="204"/>
      <c r="L281" s="2"/>
      <c r="M281" s="17"/>
      <c r="N281" s="204"/>
      <c r="O281" s="2"/>
      <c r="P281" s="17"/>
      <c r="Q281" s="204"/>
      <c r="R281" s="2"/>
      <c r="S281" s="17"/>
      <c r="T281" s="204"/>
      <c r="U281" s="2"/>
      <c r="V281" s="17"/>
      <c r="W281" s="204"/>
      <c r="X281" s="2"/>
      <c r="Y281" s="15"/>
      <c r="AA281" s="2"/>
    </row>
    <row r="282" spans="2:27" ht="21" hidden="1" customHeight="1" x14ac:dyDescent="0.2">
      <c r="B282" s="89" t="s">
        <v>195</v>
      </c>
      <c r="C282" s="87"/>
      <c r="D282" s="17"/>
      <c r="E282" s="96">
        <f>IF(MONTH(N274)=MONTH(N275),((YEAR(N275)-YEAR(N274))*12)-12+(12-MONTH(N274))+MONTH(N275)-1+(EOMONTH(N274,0)-N274+1)/DAY(EOMONTH(N274,0))+(1-(EOMONTH(N275,0)-N275)/DAY(EOMONTH(N275,0))),((YEAR(N275)-YEAR(N274))*12)-12+(12-MONTH(N274))+MONTH(N275)-1+(EOMONTH(N274,0)-N274+1)/DAY(EOMONTH(N274,0))+(1-(EOMONTH(N275,0)-N275)/DAY(EOMONTH(N275,0))))</f>
        <v>3.2258064516129004E-2</v>
      </c>
      <c r="F282" s="96">
        <f>ROUND(IF(AND(N274&lt;&gt;"",N275&lt;&gt;""),IF(E282&lt;=1,1,E282),0),2)</f>
        <v>0</v>
      </c>
      <c r="G282" s="17"/>
      <c r="H282" s="204"/>
      <c r="I282" s="2"/>
      <c r="J282" s="17"/>
      <c r="K282" s="204"/>
      <c r="L282" s="2"/>
      <c r="M282" s="17"/>
      <c r="N282" s="204"/>
      <c r="O282" s="2"/>
      <c r="P282" s="17"/>
      <c r="Q282" s="204"/>
      <c r="R282" s="2"/>
      <c r="S282" s="17"/>
      <c r="T282" s="204"/>
      <c r="U282" s="2"/>
      <c r="V282" s="17"/>
      <c r="W282" s="204"/>
      <c r="X282" s="2"/>
      <c r="Y282" s="15"/>
      <c r="AA282" s="2"/>
    </row>
    <row r="283" spans="2:27" ht="21" hidden="1" customHeight="1" x14ac:dyDescent="0.2">
      <c r="B283" s="89" t="s">
        <v>196</v>
      </c>
      <c r="C283" s="87"/>
      <c r="D283" s="107"/>
      <c r="E283" s="96">
        <f>IF(MONTH(K274)=MONTH(K275),((YEAR(K275)-YEAR(K274))*12)-12+(12-MONTH(K274))+MONTH(K275)-1+(EOMONTH(K274,0)-K274+1)/DAY(EOMONTH(K274,0))+(1-(EOMONTH(K275,0)-K275)/DAY(EOMONTH(K275,0))),((YEAR(K275)-YEAR(K274))*12)-12+(12-MONTH(K274))+MONTH(K275)-1+(EOMONTH(K274,0)-K274+1)/DAY(EOMONTH(K274,0))+(1-(EOMONTH(K275,0)-K275)/DAY(EOMONTH(K275,0))))</f>
        <v>3.2258064516129004E-2</v>
      </c>
      <c r="F283" s="96">
        <f>ROUND(IF(AND(K274&lt;&gt;"",K275&lt;&gt;""),IF(E283&lt;=1,1,E283),0),2)</f>
        <v>0</v>
      </c>
      <c r="G283" s="103" t="s">
        <v>65</v>
      </c>
      <c r="H283" s="206"/>
      <c r="I283" s="2"/>
      <c r="J283" s="2"/>
      <c r="K283" s="206"/>
      <c r="L283" s="2"/>
      <c r="M283" s="2"/>
      <c r="N283" s="206"/>
      <c r="O283" s="2"/>
      <c r="P283" s="2"/>
      <c r="Q283" s="206"/>
      <c r="R283" s="2"/>
      <c r="S283" s="2"/>
      <c r="T283" s="206"/>
      <c r="U283" s="2"/>
      <c r="V283" s="2"/>
      <c r="W283" s="206"/>
      <c r="X283" s="2"/>
      <c r="Y283" s="15"/>
      <c r="AA283" s="2"/>
    </row>
    <row r="284" spans="2:27" ht="13.25" hidden="1" customHeight="1" x14ac:dyDescent="0.2">
      <c r="B284" s="89"/>
      <c r="C284" s="87"/>
      <c r="D284" s="17"/>
      <c r="E284" s="96" t="s">
        <v>199</v>
      </c>
      <c r="F284" s="96" t="s">
        <v>199</v>
      </c>
      <c r="G284" s="24"/>
      <c r="H284" s="27"/>
      <c r="I284" s="2"/>
      <c r="J284" s="24"/>
      <c r="K284" s="27"/>
      <c r="L284" s="2"/>
      <c r="M284" s="24"/>
      <c r="N284" s="27"/>
      <c r="O284" s="2"/>
      <c r="P284" s="24"/>
      <c r="Q284" s="27"/>
      <c r="R284" s="2"/>
      <c r="S284" s="24"/>
      <c r="T284" s="27"/>
      <c r="U284" s="2"/>
      <c r="V284" s="24"/>
      <c r="W284" s="27"/>
      <c r="X284" s="2"/>
      <c r="Y284" s="15"/>
      <c r="AA284" s="2"/>
    </row>
    <row r="285" spans="2:27" ht="21" hidden="1" customHeight="1" x14ac:dyDescent="0.2">
      <c r="B285" s="89" t="s">
        <v>3</v>
      </c>
      <c r="C285" s="87"/>
      <c r="D285" s="17"/>
      <c r="E285" s="96"/>
      <c r="F285" s="96"/>
      <c r="G285" s="24"/>
      <c r="H285" s="222">
        <f>IFERROR(SUM(H279:H283)-H278+H277,0)</f>
        <v>0</v>
      </c>
      <c r="I285" s="2"/>
      <c r="J285" s="24"/>
      <c r="K285" s="222">
        <f>IFERROR(SUM(K279:K283)-K278+K277,0)</f>
        <v>0</v>
      </c>
      <c r="L285" s="2"/>
      <c r="M285" s="24"/>
      <c r="N285" s="222">
        <f>IFERROR(SUM(N279:N283)-N278+N277,0)</f>
        <v>0</v>
      </c>
      <c r="O285" s="2"/>
      <c r="P285" s="24"/>
      <c r="Q285" s="222">
        <f>IFERROR(SUM(Q279:Q283)-Q278+Q277,0)</f>
        <v>0</v>
      </c>
      <c r="R285" s="2"/>
      <c r="S285" s="24"/>
      <c r="T285" s="222">
        <f>IFERROR(SUM(T279:T283)-T278+T277,0)</f>
        <v>0</v>
      </c>
      <c r="U285" s="2"/>
      <c r="V285" s="24"/>
      <c r="W285" s="222">
        <f>IFERROR(SUM(W279:W283)-W278+W277,0)</f>
        <v>0</v>
      </c>
      <c r="X285" s="2"/>
      <c r="Y285" s="15"/>
      <c r="AA285" s="2"/>
    </row>
    <row r="286" spans="2:27" ht="21" hidden="1" customHeight="1" x14ac:dyDescent="0.2">
      <c r="B286" s="89" t="s">
        <v>213</v>
      </c>
      <c r="C286" s="87"/>
      <c r="D286" s="17"/>
      <c r="E286" s="96"/>
      <c r="F286" s="96"/>
      <c r="G286" s="24"/>
      <c r="H286" s="54"/>
      <c r="I286" s="2"/>
      <c r="J286" s="24"/>
      <c r="K286" s="54"/>
      <c r="L286" s="2"/>
      <c r="M286" s="24"/>
      <c r="N286" s="54"/>
      <c r="O286" s="2"/>
      <c r="P286" s="24"/>
      <c r="Q286" s="54"/>
      <c r="R286" s="2"/>
      <c r="S286" s="24"/>
      <c r="T286" s="54"/>
      <c r="U286" s="2"/>
      <c r="V286" s="24"/>
      <c r="W286" s="54"/>
      <c r="X286" s="2"/>
      <c r="Y286" s="15"/>
      <c r="AA286" s="2"/>
    </row>
    <row r="287" spans="2:27" ht="21" hidden="1" customHeight="1" x14ac:dyDescent="0.2">
      <c r="B287" s="89" t="s">
        <v>215</v>
      </c>
      <c r="C287" s="87"/>
      <c r="D287" s="17"/>
      <c r="E287" s="96"/>
      <c r="F287" s="96"/>
      <c r="G287" s="24"/>
      <c r="H287" s="210">
        <f>ROUND(IFERROR(H285*H286,0),2)</f>
        <v>0</v>
      </c>
      <c r="I287" s="2"/>
      <c r="J287" s="24"/>
      <c r="K287" s="210">
        <f>ROUND(IFERROR(K285*K286,0),2)</f>
        <v>0</v>
      </c>
      <c r="L287" s="2"/>
      <c r="M287" s="24"/>
      <c r="N287" s="210">
        <f>ROUND(IFERROR(N285*N286,0),2)</f>
        <v>0</v>
      </c>
      <c r="O287" s="2"/>
      <c r="P287" s="24"/>
      <c r="Q287" s="210">
        <f>ROUND(IFERROR(Q285*Q286,0),2)</f>
        <v>0</v>
      </c>
      <c r="R287" s="2"/>
      <c r="S287" s="24"/>
      <c r="T287" s="210">
        <f>ROUND(IFERROR(T285*T286,0),2)</f>
        <v>0</v>
      </c>
      <c r="U287" s="2"/>
      <c r="V287" s="24"/>
      <c r="W287" s="210">
        <f>ROUND(IFERROR(W285*W286,0),2)</f>
        <v>0</v>
      </c>
      <c r="X287" s="2"/>
      <c r="Y287" s="15"/>
      <c r="AA287" s="2"/>
    </row>
    <row r="288" spans="2:27" ht="10.25" hidden="1" customHeight="1" x14ac:dyDescent="0.2">
      <c r="B288" s="89"/>
      <c r="C288" s="87"/>
      <c r="D288" s="17"/>
      <c r="E288" s="96"/>
      <c r="F288" s="96"/>
      <c r="G288" s="24"/>
      <c r="H288" s="27"/>
      <c r="I288" s="2"/>
      <c r="J288" s="24"/>
      <c r="K288" s="27"/>
      <c r="L288" s="2"/>
      <c r="M288" s="24"/>
      <c r="N288" s="27"/>
      <c r="O288" s="2"/>
      <c r="P288" s="24"/>
      <c r="Q288" s="27"/>
      <c r="R288" s="2"/>
      <c r="S288" s="24"/>
      <c r="T288" s="27"/>
      <c r="U288" s="2"/>
      <c r="V288" s="24"/>
      <c r="W288" s="27"/>
      <c r="X288" s="2"/>
      <c r="Y288" s="15"/>
      <c r="AA288" s="2"/>
    </row>
    <row r="289" spans="1:27" ht="21" hidden="1" customHeight="1" x14ac:dyDescent="0.2">
      <c r="B289" s="89" t="s">
        <v>204</v>
      </c>
      <c r="C289" s="87"/>
      <c r="D289" s="17"/>
      <c r="E289" s="96"/>
      <c r="F289" s="96"/>
      <c r="G289" s="24"/>
      <c r="H289" s="208"/>
      <c r="I289" s="2"/>
      <c r="J289" s="24"/>
      <c r="K289" s="208"/>
      <c r="L289" s="2"/>
      <c r="M289" s="24"/>
      <c r="N289" s="208"/>
      <c r="O289" s="2"/>
      <c r="P289" s="24"/>
      <c r="Q289" s="208"/>
      <c r="R289" s="2"/>
      <c r="S289" s="24"/>
      <c r="T289" s="208"/>
      <c r="U289" s="2"/>
      <c r="V289" s="24"/>
      <c r="W289" s="208"/>
      <c r="X289" s="2"/>
      <c r="Y289" s="15"/>
      <c r="AA289" s="2"/>
    </row>
    <row r="290" spans="1:27" ht="6.5" hidden="1" customHeight="1" x14ac:dyDescent="0.2">
      <c r="B290" s="89"/>
      <c r="C290" s="87"/>
      <c r="D290" s="17"/>
      <c r="E290" s="96"/>
      <c r="F290" s="96"/>
      <c r="G290" s="24"/>
      <c r="H290" s="27"/>
      <c r="I290" s="2"/>
      <c r="J290" s="24"/>
      <c r="K290" s="27"/>
      <c r="L290" s="2"/>
      <c r="M290" s="24"/>
      <c r="N290" s="27"/>
      <c r="O290" s="2"/>
      <c r="P290" s="24"/>
      <c r="Q290" s="27"/>
      <c r="R290" s="2"/>
      <c r="S290" s="24"/>
      <c r="T290" s="27"/>
      <c r="U290" s="2"/>
      <c r="V290" s="24"/>
      <c r="W290" s="27"/>
      <c r="X290" s="2"/>
      <c r="Y290" s="15"/>
      <c r="AA290" s="2"/>
    </row>
    <row r="291" spans="1:27" ht="21" hidden="1" customHeight="1" x14ac:dyDescent="0.2">
      <c r="B291" s="90"/>
      <c r="C291" s="88"/>
      <c r="D291" s="99" t="s">
        <v>209</v>
      </c>
      <c r="E291" s="96" t="s">
        <v>199</v>
      </c>
      <c r="F291" s="96" t="s">
        <v>199</v>
      </c>
      <c r="G291" s="80"/>
      <c r="H291" s="210">
        <f>IFERROR(H287+H289,0)</f>
        <v>0</v>
      </c>
      <c r="I291" s="2"/>
      <c r="J291" s="80"/>
      <c r="K291" s="210">
        <f>IFERROR(K287+K289,0)</f>
        <v>0</v>
      </c>
      <c r="L291" s="2"/>
      <c r="M291" s="80"/>
      <c r="N291" s="210">
        <f>IFERROR(N287+N289,0)</f>
        <v>0</v>
      </c>
      <c r="O291" s="2"/>
      <c r="P291" s="80"/>
      <c r="Q291" s="210">
        <f>IFERROR(Q287+Q289,0)</f>
        <v>0</v>
      </c>
      <c r="R291" s="2"/>
      <c r="S291" s="80"/>
      <c r="T291" s="210">
        <f>IFERROR(T287+T289,0)</f>
        <v>0</v>
      </c>
      <c r="U291" s="2"/>
      <c r="V291" s="80"/>
      <c r="W291" s="210">
        <f>IFERROR(W287+W289,0)</f>
        <v>0</v>
      </c>
      <c r="X291" s="2"/>
      <c r="Y291" s="15"/>
      <c r="AA291" s="2"/>
    </row>
    <row r="292" spans="1:27" ht="21" hidden="1" customHeight="1" x14ac:dyDescent="0.2">
      <c r="B292" s="90"/>
      <c r="C292" s="88"/>
      <c r="D292" s="93" t="s">
        <v>210</v>
      </c>
      <c r="E292" s="96">
        <f>IF(MONTH(H274)=MONTH(H275),((YEAR(H275)-YEAR(H274))*12)-12+(12-MONTH(H274))+MONTH(H275)-1+(EOMONTH(H274,0)-H274+1)/DAY(EOMONTH(H274,0))+(1-(EOMONTH(H275,0)-H275)/DAY(EOMONTH(H275,0))),((YEAR(H275)-YEAR(H274))*12)-12+(12-MONTH(H274))+MONTH(H275)-1+(EOMONTH(H274,0)-H274+1)/DAY(EOMONTH(H274,0))+(1-(EOMONTH(H275,0)-H275)/DAY(EOMONTH(H275,0))))</f>
        <v>3.2258064516129004E-2</v>
      </c>
      <c r="F292" s="96">
        <f>ROUND(IF(AND(H274&lt;&gt;"",H275&lt;&gt;""),IF(E292&lt;=1,1,E292),0),2)</f>
        <v>0</v>
      </c>
      <c r="G292" s="17"/>
      <c r="H292" s="210">
        <f>ROUND(IFERROR(H291/F292,0),2)</f>
        <v>0</v>
      </c>
      <c r="I292" s="2"/>
      <c r="J292" s="17"/>
      <c r="K292" s="210">
        <f>ROUND(IFERROR(K291/F283,0),2)</f>
        <v>0</v>
      </c>
      <c r="L292" s="2"/>
      <c r="M292" s="17"/>
      <c r="N292" s="210">
        <f>ROUND(IFERROR(N291/F282,0),2)</f>
        <v>0</v>
      </c>
      <c r="O292" s="2"/>
      <c r="P292" s="17"/>
      <c r="Q292" s="210">
        <f>ROUND(IFERROR(Q291/F281,0),2)</f>
        <v>0</v>
      </c>
      <c r="R292" s="2"/>
      <c r="S292" s="17"/>
      <c r="T292" s="210">
        <f>ROUND(IFERROR(T291/F280,0),2)</f>
        <v>0</v>
      </c>
      <c r="U292" s="2"/>
      <c r="V292" s="17"/>
      <c r="W292" s="210">
        <f>ROUND(IFERROR(W291/F279,0),2)</f>
        <v>0</v>
      </c>
      <c r="X292" s="2"/>
      <c r="Y292" s="15"/>
      <c r="AA292" s="2"/>
    </row>
    <row r="293" spans="1:27" ht="8.25" hidden="1" customHeight="1" thickBot="1" x14ac:dyDescent="0.25">
      <c r="B293" s="18"/>
      <c r="C293" s="19"/>
      <c r="D293" s="19"/>
      <c r="E293" s="19"/>
      <c r="F293" s="19"/>
      <c r="G293" s="19"/>
      <c r="H293" s="19"/>
      <c r="I293" s="19"/>
      <c r="J293" s="19"/>
      <c r="K293" s="19"/>
      <c r="L293" s="19"/>
      <c r="M293" s="19"/>
      <c r="N293" s="19"/>
      <c r="O293" s="19"/>
      <c r="P293" s="19"/>
      <c r="Q293" s="19"/>
      <c r="R293" s="19"/>
      <c r="S293" s="19"/>
      <c r="T293" s="19"/>
      <c r="U293" s="19"/>
      <c r="V293" s="19"/>
      <c r="W293" s="19"/>
      <c r="X293" s="19"/>
      <c r="Y293" s="20"/>
      <c r="AA293" s="2"/>
    </row>
    <row r="294" spans="1:27" ht="14" customHeight="1" thickBot="1" x14ac:dyDescent="0.25">
      <c r="B294" s="3"/>
      <c r="E294" s="21"/>
      <c r="F294" s="21"/>
      <c r="I294" s="21"/>
      <c r="J294" s="21"/>
      <c r="K294" s="21"/>
      <c r="L294" s="21"/>
      <c r="M294" s="21"/>
      <c r="N294" s="21"/>
      <c r="O294" s="21"/>
      <c r="P294" s="21"/>
      <c r="Q294" s="21"/>
      <c r="R294" s="21"/>
      <c r="S294" s="21"/>
      <c r="T294" s="21"/>
      <c r="U294" s="21"/>
      <c r="V294" s="21"/>
      <c r="W294" s="21"/>
      <c r="X294" s="21"/>
    </row>
    <row r="295" spans="1:27" ht="21" customHeight="1" thickBot="1" x14ac:dyDescent="0.25">
      <c r="A295" s="2"/>
      <c r="B295" s="7" t="s">
        <v>2</v>
      </c>
      <c r="C295" s="86" t="s">
        <v>214</v>
      </c>
      <c r="D295" s="32"/>
      <c r="E295" s="32"/>
      <c r="F295" s="32"/>
      <c r="G295" s="295" t="str">
        <f>IF(OR(SAM!E368=0,SAM!E368=""),"",SAM!E368)</f>
        <v/>
      </c>
      <c r="H295" s="295"/>
      <c r="I295" s="295"/>
      <c r="J295" s="295"/>
      <c r="K295" s="295"/>
      <c r="L295" s="295"/>
      <c r="M295" s="9"/>
      <c r="N295" s="9"/>
      <c r="O295" s="9"/>
      <c r="P295" s="9"/>
      <c r="Q295" s="9"/>
      <c r="R295" s="9"/>
      <c r="S295" s="9"/>
      <c r="T295" s="9"/>
      <c r="U295" s="9"/>
      <c r="V295" s="9"/>
      <c r="W295" s="9"/>
      <c r="X295" s="9"/>
      <c r="Y295" s="11"/>
      <c r="AA295" s="2"/>
    </row>
    <row r="296" spans="1:27" ht="6.75" hidden="1" customHeight="1" x14ac:dyDescent="0.2">
      <c r="B296" s="22"/>
      <c r="C296" s="21"/>
      <c r="D296" s="21"/>
      <c r="E296" s="21"/>
      <c r="F296" s="21"/>
      <c r="G296" s="21"/>
      <c r="H296" s="21"/>
      <c r="I296" s="21"/>
      <c r="J296" s="21"/>
      <c r="K296" s="21"/>
      <c r="L296" s="21"/>
      <c r="M296" s="21"/>
      <c r="N296" s="21"/>
      <c r="O296" s="21"/>
      <c r="P296" s="21"/>
      <c r="Q296" s="21"/>
      <c r="R296" s="21"/>
      <c r="S296" s="21"/>
      <c r="T296" s="21"/>
      <c r="U296" s="21"/>
      <c r="V296" s="21"/>
      <c r="W296" s="21"/>
      <c r="X296" s="21"/>
      <c r="Y296" s="23"/>
      <c r="AA296" s="2"/>
    </row>
    <row r="297" spans="1:27" ht="21" hidden="1" customHeight="1" x14ac:dyDescent="0.2">
      <c r="B297" s="14"/>
      <c r="D297" s="93" t="s">
        <v>230</v>
      </c>
      <c r="G297" s="104" t="s">
        <v>65</v>
      </c>
      <c r="H297" s="106"/>
      <c r="I297" s="104" t="s">
        <v>65</v>
      </c>
      <c r="J297" s="104" t="s">
        <v>65</v>
      </c>
      <c r="K297" s="106"/>
      <c r="L297" s="104" t="s">
        <v>65</v>
      </c>
      <c r="M297" s="104" t="s">
        <v>65</v>
      </c>
      <c r="N297" s="106"/>
      <c r="O297" s="104" t="s">
        <v>65</v>
      </c>
      <c r="P297" s="104" t="s">
        <v>65</v>
      </c>
      <c r="Q297" s="106"/>
      <c r="R297" s="104" t="s">
        <v>65</v>
      </c>
      <c r="S297" s="104" t="s">
        <v>65</v>
      </c>
      <c r="T297" s="106"/>
      <c r="U297" s="104" t="s">
        <v>65</v>
      </c>
      <c r="V297" s="104" t="s">
        <v>65</v>
      </c>
      <c r="W297" s="106"/>
      <c r="X297" s="104" t="s">
        <v>65</v>
      </c>
      <c r="Y297" s="15"/>
      <c r="AA297" s="2"/>
    </row>
    <row r="298" spans="1:27" ht="6.75" hidden="1" customHeight="1" x14ac:dyDescent="0.2">
      <c r="B298" s="14"/>
      <c r="H298" s="96"/>
      <c r="K298" s="96"/>
      <c r="N298" s="96"/>
      <c r="Q298" s="96"/>
      <c r="T298" s="96"/>
      <c r="W298" s="96"/>
      <c r="Y298" s="15"/>
      <c r="AA298" s="2"/>
    </row>
    <row r="299" spans="1:27" ht="21" hidden="1" customHeight="1" x14ac:dyDescent="0.2">
      <c r="B299" s="14"/>
      <c r="D299" s="93" t="s">
        <v>198</v>
      </c>
      <c r="E299" s="96" t="s">
        <v>199</v>
      </c>
      <c r="F299" s="96" t="s">
        <v>199</v>
      </c>
      <c r="G299" s="94"/>
      <c r="H299" s="91"/>
      <c r="J299" s="94"/>
      <c r="K299" s="91"/>
      <c r="M299" s="94"/>
      <c r="N299" s="91"/>
      <c r="P299" s="94"/>
      <c r="Q299" s="91"/>
      <c r="S299" s="94"/>
      <c r="T299" s="91"/>
      <c r="V299" s="94"/>
      <c r="W299" s="91"/>
      <c r="Y299" s="15"/>
      <c r="AA299" s="2"/>
    </row>
    <row r="300" spans="1:27" ht="21" hidden="1" customHeight="1" x14ac:dyDescent="0.2">
      <c r="B300" s="14"/>
      <c r="D300" s="93" t="s">
        <v>208</v>
      </c>
      <c r="E300" s="96" t="s">
        <v>199</v>
      </c>
      <c r="F300" s="96" t="s">
        <v>199</v>
      </c>
      <c r="G300" s="94"/>
      <c r="H300" s="92"/>
      <c r="J300" s="94"/>
      <c r="K300" s="92"/>
      <c r="M300" s="94"/>
      <c r="N300" s="92"/>
      <c r="P300" s="94"/>
      <c r="Q300" s="92"/>
      <c r="S300" s="94"/>
      <c r="T300" s="92"/>
      <c r="V300" s="94"/>
      <c r="W300" s="92"/>
      <c r="Y300" s="15"/>
      <c r="AA300" s="2"/>
    </row>
    <row r="301" spans="1:27" ht="6.75" hidden="1" customHeight="1" x14ac:dyDescent="0.2">
      <c r="B301" s="14"/>
      <c r="E301" s="96" t="s">
        <v>199</v>
      </c>
      <c r="F301" s="96" t="s">
        <v>199</v>
      </c>
      <c r="Y301" s="15"/>
      <c r="AA301" s="2"/>
    </row>
    <row r="302" spans="1:27" ht="21" hidden="1" customHeight="1" x14ac:dyDescent="0.2">
      <c r="B302" s="89" t="s">
        <v>202</v>
      </c>
      <c r="C302" s="87"/>
      <c r="D302" s="17"/>
      <c r="E302" s="96" t="s">
        <v>199</v>
      </c>
      <c r="F302" s="96" t="s">
        <v>199</v>
      </c>
      <c r="G302" s="17"/>
      <c r="H302" s="203"/>
      <c r="I302" s="2"/>
      <c r="J302" s="17"/>
      <c r="K302" s="203"/>
      <c r="L302" s="2"/>
      <c r="M302" s="17"/>
      <c r="N302" s="203"/>
      <c r="O302" s="2"/>
      <c r="P302" s="17"/>
      <c r="Q302" s="203"/>
      <c r="R302" s="2"/>
      <c r="S302" s="17"/>
      <c r="T302" s="203"/>
      <c r="U302" s="2"/>
      <c r="V302" s="17"/>
      <c r="W302" s="203"/>
      <c r="X302" s="2"/>
      <c r="Y302" s="15"/>
      <c r="AA302" s="2"/>
    </row>
    <row r="303" spans="1:27" ht="21" hidden="1" customHeight="1" x14ac:dyDescent="0.2">
      <c r="B303" s="89" t="s">
        <v>192</v>
      </c>
      <c r="C303" s="87"/>
      <c r="D303" s="17"/>
      <c r="E303" s="96" t="s">
        <v>199</v>
      </c>
      <c r="F303" s="96" t="s">
        <v>199</v>
      </c>
      <c r="G303" s="24" t="s">
        <v>9</v>
      </c>
      <c r="H303" s="209"/>
      <c r="I303" s="25" t="s">
        <v>10</v>
      </c>
      <c r="J303" s="24" t="s">
        <v>9</v>
      </c>
      <c r="K303" s="209"/>
      <c r="L303" s="25" t="s">
        <v>10</v>
      </c>
      <c r="M303" s="24" t="s">
        <v>9</v>
      </c>
      <c r="N303" s="209"/>
      <c r="O303" s="25" t="s">
        <v>10</v>
      </c>
      <c r="P303" s="24" t="s">
        <v>9</v>
      </c>
      <c r="Q303" s="209"/>
      <c r="R303" s="25" t="s">
        <v>10</v>
      </c>
      <c r="S303" s="24" t="s">
        <v>9</v>
      </c>
      <c r="T303" s="209"/>
      <c r="U303" s="25" t="s">
        <v>10</v>
      </c>
      <c r="V303" s="24" t="s">
        <v>9</v>
      </c>
      <c r="W303" s="209"/>
      <c r="X303" s="25" t="s">
        <v>10</v>
      </c>
      <c r="Y303" s="15"/>
      <c r="AA303" s="2"/>
    </row>
    <row r="304" spans="1:27" ht="21" hidden="1" customHeight="1" x14ac:dyDescent="0.2">
      <c r="B304" s="89" t="s">
        <v>193</v>
      </c>
      <c r="C304" s="87"/>
      <c r="D304" s="17"/>
      <c r="E304" s="96">
        <f>IF(MONTH(W299)=MONTH(W300),((YEAR(W300)-YEAR(W299))*12)-12+(12-MONTH(W299))+MONTH(W300)-1+(EOMONTH(W299,0)-W299+1)/DAY(EOMONTH(W299,0))+(1-(EOMONTH(W300,0)-W300)/DAY(EOMONTH(W300,0))),((YEAR(W300)-YEAR(W299))*12)-12+(12-MONTH(W299))+MONTH(W300)-1+(EOMONTH(W299,0)-W299+1)/DAY(EOMONTH(W299,0))+(1-(EOMONTH(W300,0)-W300)/DAY(EOMONTH(W300,0))))</f>
        <v>3.2258064516129004E-2</v>
      </c>
      <c r="F304" s="96">
        <f>ROUND(IF(AND(W299&lt;&gt;"",W300&lt;&gt;""),IF(E304&lt;=1,1,E304),0),2)</f>
        <v>0</v>
      </c>
      <c r="G304" s="17"/>
      <c r="H304" s="204"/>
      <c r="I304" s="2"/>
      <c r="J304" s="17"/>
      <c r="K304" s="204"/>
      <c r="L304" s="2"/>
      <c r="M304" s="17"/>
      <c r="N304" s="204"/>
      <c r="O304" s="2"/>
      <c r="P304" s="17"/>
      <c r="Q304" s="204"/>
      <c r="R304" s="2"/>
      <c r="S304" s="17"/>
      <c r="T304" s="204"/>
      <c r="U304" s="2"/>
      <c r="V304" s="17"/>
      <c r="W304" s="204"/>
      <c r="X304" s="2"/>
      <c r="Y304" s="15"/>
      <c r="AA304" s="2"/>
    </row>
    <row r="305" spans="1:27" ht="21" hidden="1" customHeight="1" x14ac:dyDescent="0.2">
      <c r="B305" s="89" t="s">
        <v>197</v>
      </c>
      <c r="C305" s="87"/>
      <c r="D305" s="17"/>
      <c r="E305" s="96">
        <f>IF(MONTH(T299)=MONTH(T300),((YEAR(T300)-YEAR(T299))*12)-12+(12-MONTH(T299))+MONTH(T300)-1+(EOMONTH(T299,0)-T299+1)/DAY(EOMONTH(T299,0))+(1-(EOMONTH(T300,0)-T300)/DAY(EOMONTH(T300,0))),((YEAR(T300)-YEAR(T299))*12)-12+(12-MONTH(T299))+MONTH(T300)-1+(EOMONTH(T299,0)-T299+1)/DAY(EOMONTH(T299,0))+(1-(EOMONTH(T300,0)-T300)/DAY(EOMONTH(T300,0))))</f>
        <v>3.2258064516129004E-2</v>
      </c>
      <c r="F305" s="96">
        <f>ROUND(IF(AND(T299&lt;&gt;"",T300&lt;&gt;""),IF(E305&lt;=1,1,E305),0),2)</f>
        <v>0</v>
      </c>
      <c r="G305" s="17"/>
      <c r="H305" s="204"/>
      <c r="I305" s="2"/>
      <c r="J305" s="17"/>
      <c r="K305" s="204"/>
      <c r="L305" s="2"/>
      <c r="M305" s="17"/>
      <c r="N305" s="204"/>
      <c r="O305" s="2"/>
      <c r="P305" s="17"/>
      <c r="Q305" s="204"/>
      <c r="R305" s="2"/>
      <c r="S305" s="17"/>
      <c r="T305" s="204"/>
      <c r="U305" s="2"/>
      <c r="V305" s="17"/>
      <c r="W305" s="204"/>
      <c r="X305" s="2"/>
      <c r="Y305" s="15"/>
      <c r="AA305" s="2"/>
    </row>
    <row r="306" spans="1:27" ht="21" hidden="1" customHeight="1" x14ac:dyDescent="0.2">
      <c r="B306" s="89" t="s">
        <v>194</v>
      </c>
      <c r="C306" s="87"/>
      <c r="D306" s="17"/>
      <c r="E306" s="105">
        <f>IF(MONTH(Q299)=MONTH(Q300),((YEAR(Q300)-YEAR(Q299))*12)-12+(12-MONTH(Q299))+MONTH(Q300)-1+(EOMONTH(Q299,0)-Q299+1)/DAY(EOMONTH(Q299,0))+(1-(EOMONTH(Q300,0)-Q300)/DAY(EOMONTH(Q300,0))),((YEAR(Q300)-YEAR(Q299))*12)-12+(12-MONTH(Q299))+MONTH(Q300)-1+(EOMONTH(Q299,0)-Q299+1)/DAY(EOMONTH(Q299,0))+(1-(EOMONTH(Q300,0)-Q300)/DAY(EOMONTH(Q300,0))))</f>
        <v>3.2258064516129004E-2</v>
      </c>
      <c r="F306" s="105">
        <f>ROUND(IF(AND(Q299&lt;&gt;"",Q300&lt;&gt;""),IF(E306&lt;=1,1,E306),0),2)</f>
        <v>0</v>
      </c>
      <c r="G306" s="17"/>
      <c r="H306" s="204"/>
      <c r="I306" s="2"/>
      <c r="J306" s="17"/>
      <c r="K306" s="204"/>
      <c r="L306" s="2"/>
      <c r="M306" s="17"/>
      <c r="N306" s="204"/>
      <c r="O306" s="2"/>
      <c r="P306" s="17"/>
      <c r="Q306" s="204"/>
      <c r="R306" s="2"/>
      <c r="S306" s="17"/>
      <c r="T306" s="204"/>
      <c r="U306" s="2"/>
      <c r="V306" s="17"/>
      <c r="W306" s="204"/>
      <c r="X306" s="2"/>
      <c r="Y306" s="15"/>
      <c r="AA306" s="2"/>
    </row>
    <row r="307" spans="1:27" ht="21" hidden="1" customHeight="1" x14ac:dyDescent="0.2">
      <c r="B307" s="89" t="s">
        <v>195</v>
      </c>
      <c r="C307" s="87"/>
      <c r="D307" s="17"/>
      <c r="E307" s="96">
        <f>IF(MONTH(N299)=MONTH(N300),((YEAR(N300)-YEAR(N299))*12)-12+(12-MONTH(N299))+MONTH(N300)-1+(EOMONTH(N299,0)-N299+1)/DAY(EOMONTH(N299,0))+(1-(EOMONTH(N300,0)-N300)/DAY(EOMONTH(N300,0))),((YEAR(N300)-YEAR(N299))*12)-12+(12-MONTH(N299))+MONTH(N300)-1+(EOMONTH(N299,0)-N299+1)/DAY(EOMONTH(N299,0))+(1-(EOMONTH(N300,0)-N300)/DAY(EOMONTH(N300,0))))</f>
        <v>3.2258064516129004E-2</v>
      </c>
      <c r="F307" s="96">
        <f>ROUND(IF(AND(N299&lt;&gt;"",N300&lt;&gt;""),IF(E307&lt;=1,1,E307),0),2)</f>
        <v>0</v>
      </c>
      <c r="G307" s="17"/>
      <c r="H307" s="204"/>
      <c r="I307" s="2"/>
      <c r="J307" s="17"/>
      <c r="K307" s="204"/>
      <c r="L307" s="2"/>
      <c r="M307" s="17"/>
      <c r="N307" s="204"/>
      <c r="O307" s="2"/>
      <c r="P307" s="17"/>
      <c r="Q307" s="204"/>
      <c r="R307" s="2"/>
      <c r="S307" s="17"/>
      <c r="T307" s="204"/>
      <c r="U307" s="2"/>
      <c r="V307" s="17"/>
      <c r="W307" s="204"/>
      <c r="X307" s="2"/>
      <c r="Y307" s="15"/>
      <c r="AA307" s="2"/>
    </row>
    <row r="308" spans="1:27" ht="21" hidden="1" customHeight="1" x14ac:dyDescent="0.2">
      <c r="B308" s="89" t="s">
        <v>196</v>
      </c>
      <c r="C308" s="87"/>
      <c r="D308" s="107"/>
      <c r="E308" s="96">
        <f>IF(MONTH(K299)=MONTH(K300),((YEAR(K300)-YEAR(K299))*12)-12+(12-MONTH(K299))+MONTH(K300)-1+(EOMONTH(K299,0)-K299+1)/DAY(EOMONTH(K299,0))+(1-(EOMONTH(K300,0)-K300)/DAY(EOMONTH(K300,0))),((YEAR(K300)-YEAR(K299))*12)-12+(12-MONTH(K299))+MONTH(K300)-1+(EOMONTH(K299,0)-K299+1)/DAY(EOMONTH(K299,0))+(1-(EOMONTH(K300,0)-K300)/DAY(EOMONTH(K300,0))))</f>
        <v>3.2258064516129004E-2</v>
      </c>
      <c r="F308" s="96">
        <f>ROUND(IF(AND(K299&lt;&gt;"",K300&lt;&gt;""),IF(E308&lt;=1,1,E308),0),2)</f>
        <v>0</v>
      </c>
      <c r="G308" s="103" t="s">
        <v>65</v>
      </c>
      <c r="H308" s="206"/>
      <c r="I308" s="2"/>
      <c r="J308" s="2"/>
      <c r="K308" s="206"/>
      <c r="L308" s="2"/>
      <c r="M308" s="2"/>
      <c r="N308" s="206"/>
      <c r="O308" s="2"/>
      <c r="P308" s="2"/>
      <c r="Q308" s="206"/>
      <c r="R308" s="2"/>
      <c r="S308" s="2"/>
      <c r="T308" s="206"/>
      <c r="U308" s="2"/>
      <c r="V308" s="2"/>
      <c r="W308" s="206"/>
      <c r="X308" s="2"/>
      <c r="Y308" s="15"/>
      <c r="AA308" s="2"/>
    </row>
    <row r="309" spans="1:27" ht="13.25" hidden="1" customHeight="1" x14ac:dyDescent="0.2">
      <c r="B309" s="89"/>
      <c r="C309" s="87"/>
      <c r="D309" s="17"/>
      <c r="E309" s="96" t="s">
        <v>199</v>
      </c>
      <c r="F309" s="96" t="s">
        <v>199</v>
      </c>
      <c r="G309" s="24"/>
      <c r="H309" s="27"/>
      <c r="I309" s="2"/>
      <c r="J309" s="24"/>
      <c r="K309" s="27"/>
      <c r="L309" s="2"/>
      <c r="M309" s="24"/>
      <c r="N309" s="27"/>
      <c r="O309" s="2"/>
      <c r="P309" s="24"/>
      <c r="Q309" s="27"/>
      <c r="R309" s="2"/>
      <c r="S309" s="24"/>
      <c r="T309" s="27"/>
      <c r="U309" s="2"/>
      <c r="V309" s="24"/>
      <c r="W309" s="27"/>
      <c r="X309" s="2"/>
      <c r="Y309" s="15"/>
      <c r="AA309" s="2"/>
    </row>
    <row r="310" spans="1:27" ht="21" hidden="1" customHeight="1" x14ac:dyDescent="0.2">
      <c r="B310" s="89" t="s">
        <v>3</v>
      </c>
      <c r="C310" s="87"/>
      <c r="D310" s="17"/>
      <c r="E310" s="96"/>
      <c r="F310" s="96"/>
      <c r="G310" s="24"/>
      <c r="H310" s="222">
        <f>IFERROR(SUM(H304:H308)-H303+H302,0)</f>
        <v>0</v>
      </c>
      <c r="I310" s="2"/>
      <c r="J310" s="24"/>
      <c r="K310" s="222">
        <f>IFERROR(SUM(K304:K308)-K303+K302,0)</f>
        <v>0</v>
      </c>
      <c r="L310" s="2"/>
      <c r="M310" s="24"/>
      <c r="N310" s="222">
        <f>IFERROR(SUM(N304:N308)-N303+N302,0)</f>
        <v>0</v>
      </c>
      <c r="O310" s="2"/>
      <c r="P310" s="24"/>
      <c r="Q310" s="222">
        <f>IFERROR(SUM(Q304:Q308)-Q303+Q302,0)</f>
        <v>0</v>
      </c>
      <c r="R310" s="2"/>
      <c r="S310" s="24"/>
      <c r="T310" s="222">
        <f>IFERROR(SUM(T304:T308)-T303+T302,0)</f>
        <v>0</v>
      </c>
      <c r="U310" s="2"/>
      <c r="V310" s="24"/>
      <c r="W310" s="222">
        <f>IFERROR(SUM(W304:W308)-W303+W302,0)</f>
        <v>0</v>
      </c>
      <c r="X310" s="2"/>
      <c r="Y310" s="15"/>
      <c r="AA310" s="2"/>
    </row>
    <row r="311" spans="1:27" ht="21" hidden="1" customHeight="1" x14ac:dyDescent="0.2">
      <c r="B311" s="89" t="s">
        <v>213</v>
      </c>
      <c r="C311" s="87"/>
      <c r="D311" s="17"/>
      <c r="E311" s="96"/>
      <c r="F311" s="96"/>
      <c r="G311" s="24"/>
      <c r="H311" s="54"/>
      <c r="I311" s="2"/>
      <c r="J311" s="24"/>
      <c r="K311" s="54"/>
      <c r="L311" s="2"/>
      <c r="M311" s="24"/>
      <c r="N311" s="54"/>
      <c r="O311" s="2"/>
      <c r="P311" s="24"/>
      <c r="Q311" s="54"/>
      <c r="R311" s="2"/>
      <c r="S311" s="24"/>
      <c r="T311" s="54"/>
      <c r="U311" s="2"/>
      <c r="V311" s="24"/>
      <c r="W311" s="54"/>
      <c r="X311" s="2"/>
      <c r="Y311" s="15"/>
      <c r="AA311" s="2"/>
    </row>
    <row r="312" spans="1:27" ht="21" hidden="1" customHeight="1" x14ac:dyDescent="0.2">
      <c r="B312" s="89" t="s">
        <v>215</v>
      </c>
      <c r="C312" s="87"/>
      <c r="D312" s="17"/>
      <c r="E312" s="96"/>
      <c r="F312" s="96"/>
      <c r="G312" s="24"/>
      <c r="H312" s="210">
        <f>ROUND(IFERROR(H310*H311,0),2)</f>
        <v>0</v>
      </c>
      <c r="I312" s="2"/>
      <c r="J312" s="24"/>
      <c r="K312" s="210">
        <f>ROUND(IFERROR(K310*K311,0),2)</f>
        <v>0</v>
      </c>
      <c r="L312" s="2"/>
      <c r="M312" s="24"/>
      <c r="N312" s="210">
        <f>ROUND(IFERROR(N310*N311,0),2)</f>
        <v>0</v>
      </c>
      <c r="O312" s="2"/>
      <c r="P312" s="24"/>
      <c r="Q312" s="210">
        <f>ROUND(IFERROR(Q310*Q311,0),2)</f>
        <v>0</v>
      </c>
      <c r="R312" s="2"/>
      <c r="S312" s="24"/>
      <c r="T312" s="210">
        <f>ROUND(IFERROR(T310*T311,0),2)</f>
        <v>0</v>
      </c>
      <c r="U312" s="2"/>
      <c r="V312" s="24"/>
      <c r="W312" s="210">
        <f>ROUND(IFERROR(W310*W311,0),2)</f>
        <v>0</v>
      </c>
      <c r="X312" s="2"/>
      <c r="Y312" s="15"/>
      <c r="AA312" s="2"/>
    </row>
    <row r="313" spans="1:27" ht="10.25" hidden="1" customHeight="1" x14ac:dyDescent="0.2">
      <c r="B313" s="89"/>
      <c r="C313" s="87"/>
      <c r="D313" s="17"/>
      <c r="E313" s="96"/>
      <c r="F313" s="96"/>
      <c r="G313" s="24"/>
      <c r="H313" s="27"/>
      <c r="I313" s="2"/>
      <c r="J313" s="24"/>
      <c r="K313" s="27"/>
      <c r="L313" s="2"/>
      <c r="M313" s="24"/>
      <c r="N313" s="27"/>
      <c r="O313" s="2"/>
      <c r="P313" s="24"/>
      <c r="Q313" s="27"/>
      <c r="R313" s="2"/>
      <c r="S313" s="24"/>
      <c r="T313" s="27"/>
      <c r="U313" s="2"/>
      <c r="V313" s="24"/>
      <c r="W313" s="27"/>
      <c r="X313" s="2"/>
      <c r="Y313" s="15"/>
      <c r="AA313" s="2"/>
    </row>
    <row r="314" spans="1:27" ht="21" hidden="1" customHeight="1" x14ac:dyDescent="0.2">
      <c r="B314" s="89" t="s">
        <v>204</v>
      </c>
      <c r="C314" s="87"/>
      <c r="D314" s="17"/>
      <c r="E314" s="96"/>
      <c r="F314" s="96"/>
      <c r="G314" s="24"/>
      <c r="H314" s="208"/>
      <c r="I314" s="2"/>
      <c r="J314" s="24"/>
      <c r="K314" s="208"/>
      <c r="L314" s="2"/>
      <c r="M314" s="24"/>
      <c r="N314" s="208"/>
      <c r="O314" s="2"/>
      <c r="P314" s="24"/>
      <c r="Q314" s="208"/>
      <c r="R314" s="2"/>
      <c r="S314" s="24"/>
      <c r="T314" s="208"/>
      <c r="U314" s="2"/>
      <c r="V314" s="24"/>
      <c r="W314" s="208"/>
      <c r="X314" s="2"/>
      <c r="Y314" s="15"/>
      <c r="AA314" s="2"/>
    </row>
    <row r="315" spans="1:27" ht="6.5" hidden="1" customHeight="1" x14ac:dyDescent="0.2">
      <c r="B315" s="89"/>
      <c r="C315" s="87"/>
      <c r="D315" s="17"/>
      <c r="E315" s="96"/>
      <c r="F315" s="96"/>
      <c r="G315" s="24"/>
      <c r="H315" s="27"/>
      <c r="I315" s="2"/>
      <c r="J315" s="24"/>
      <c r="K315" s="27"/>
      <c r="L315" s="2"/>
      <c r="M315" s="24"/>
      <c r="N315" s="27"/>
      <c r="O315" s="2"/>
      <c r="P315" s="24"/>
      <c r="Q315" s="27"/>
      <c r="R315" s="2"/>
      <c r="S315" s="24"/>
      <c r="T315" s="27"/>
      <c r="U315" s="2"/>
      <c r="V315" s="24"/>
      <c r="W315" s="27"/>
      <c r="X315" s="2"/>
      <c r="Y315" s="15"/>
      <c r="AA315" s="2"/>
    </row>
    <row r="316" spans="1:27" ht="21" hidden="1" customHeight="1" x14ac:dyDescent="0.2">
      <c r="B316" s="90"/>
      <c r="C316" s="88"/>
      <c r="D316" s="99" t="s">
        <v>209</v>
      </c>
      <c r="E316" s="96" t="s">
        <v>199</v>
      </c>
      <c r="F316" s="96" t="s">
        <v>199</v>
      </c>
      <c r="G316" s="80"/>
      <c r="H316" s="210">
        <f>IFERROR(H312+H314,0)</f>
        <v>0</v>
      </c>
      <c r="I316" s="2"/>
      <c r="J316" s="80"/>
      <c r="K316" s="210">
        <f>IFERROR(K312+K314,0)</f>
        <v>0</v>
      </c>
      <c r="L316" s="2"/>
      <c r="M316" s="80"/>
      <c r="N316" s="210">
        <f>IFERROR(N312+N314,0)</f>
        <v>0</v>
      </c>
      <c r="O316" s="2"/>
      <c r="P316" s="80"/>
      <c r="Q316" s="210">
        <f>IFERROR(Q312+Q314,0)</f>
        <v>0</v>
      </c>
      <c r="R316" s="2"/>
      <c r="S316" s="80"/>
      <c r="T316" s="210">
        <f>IFERROR(T312+T314,0)</f>
        <v>0</v>
      </c>
      <c r="U316" s="2"/>
      <c r="V316" s="80"/>
      <c r="W316" s="210">
        <f>IFERROR(W312+W314,0)</f>
        <v>0</v>
      </c>
      <c r="X316" s="2"/>
      <c r="Y316" s="15"/>
      <c r="AA316" s="2"/>
    </row>
    <row r="317" spans="1:27" ht="21" hidden="1" customHeight="1" x14ac:dyDescent="0.2">
      <c r="B317" s="90"/>
      <c r="C317" s="88"/>
      <c r="D317" s="93" t="s">
        <v>210</v>
      </c>
      <c r="E317" s="96">
        <f>IF(MONTH(H299)=MONTH(H300),((YEAR(H300)-YEAR(H299))*12)-12+(12-MONTH(H299))+MONTH(H300)-1+(EOMONTH(H299,0)-H299+1)/DAY(EOMONTH(H299,0))+(1-(EOMONTH(H300,0)-H300)/DAY(EOMONTH(H300,0))),((YEAR(H300)-YEAR(H299))*12)-12+(12-MONTH(H299))+MONTH(H300)-1+(EOMONTH(H299,0)-H299+1)/DAY(EOMONTH(H299,0))+(1-(EOMONTH(H300,0)-H300)/DAY(EOMONTH(H300,0))))</f>
        <v>3.2258064516129004E-2</v>
      </c>
      <c r="F317" s="96">
        <f>ROUND(IF(AND(H299&lt;&gt;"",H300&lt;&gt;""),IF(E317&lt;=1,1,E317),0),2)</f>
        <v>0</v>
      </c>
      <c r="G317" s="17"/>
      <c r="H317" s="210">
        <f>ROUND(IFERROR(H316/F317,0),2)</f>
        <v>0</v>
      </c>
      <c r="I317" s="2"/>
      <c r="J317" s="17"/>
      <c r="K317" s="210">
        <f>ROUND(IFERROR(K316/F308,0),2)</f>
        <v>0</v>
      </c>
      <c r="L317" s="2"/>
      <c r="M317" s="17"/>
      <c r="N317" s="210">
        <f>ROUND(IFERROR(N316/F307,0),2)</f>
        <v>0</v>
      </c>
      <c r="O317" s="2"/>
      <c r="P317" s="17"/>
      <c r="Q317" s="210">
        <f>ROUND(IFERROR(Q316/F306,0),2)</f>
        <v>0</v>
      </c>
      <c r="R317" s="2"/>
      <c r="S317" s="17"/>
      <c r="T317" s="210">
        <f>ROUND(IFERROR(T316/F305,0),2)</f>
        <v>0</v>
      </c>
      <c r="U317" s="2"/>
      <c r="V317" s="17"/>
      <c r="W317" s="210">
        <f>ROUND(IFERROR(W316/F304,0),2)</f>
        <v>0</v>
      </c>
      <c r="X317" s="2"/>
      <c r="Y317" s="15"/>
      <c r="AA317" s="2"/>
    </row>
    <row r="318" spans="1:27" ht="8.25" hidden="1" customHeight="1" thickBot="1" x14ac:dyDescent="0.25">
      <c r="B318" s="18"/>
      <c r="C318" s="19"/>
      <c r="D318" s="19"/>
      <c r="E318" s="19"/>
      <c r="F318" s="19"/>
      <c r="G318" s="19"/>
      <c r="H318" s="19"/>
      <c r="I318" s="19"/>
      <c r="J318" s="19"/>
      <c r="K318" s="19"/>
      <c r="L318" s="19"/>
      <c r="M318" s="19"/>
      <c r="N318" s="19"/>
      <c r="O318" s="19"/>
      <c r="P318" s="19"/>
      <c r="Q318" s="19"/>
      <c r="R318" s="19"/>
      <c r="S318" s="19"/>
      <c r="T318" s="19"/>
      <c r="U318" s="19"/>
      <c r="V318" s="19"/>
      <c r="W318" s="19"/>
      <c r="X318" s="19"/>
      <c r="Y318" s="20"/>
      <c r="AA318" s="2"/>
    </row>
    <row r="319" spans="1:27" ht="14" customHeight="1" thickBot="1" x14ac:dyDescent="0.25">
      <c r="B319" s="3"/>
      <c r="E319" s="21"/>
      <c r="F319" s="21"/>
      <c r="I319" s="21"/>
      <c r="J319" s="21"/>
      <c r="K319" s="21"/>
      <c r="L319" s="21"/>
      <c r="M319" s="21"/>
      <c r="N319" s="21"/>
      <c r="O319" s="21"/>
      <c r="P319" s="21"/>
      <c r="Q319" s="21"/>
      <c r="R319" s="21"/>
      <c r="S319" s="21"/>
      <c r="T319" s="21"/>
      <c r="U319" s="21"/>
      <c r="V319" s="21"/>
      <c r="W319" s="21"/>
      <c r="X319" s="21"/>
    </row>
    <row r="320" spans="1:27" ht="21" customHeight="1" thickBot="1" x14ac:dyDescent="0.25">
      <c r="A320" s="2"/>
      <c r="B320" s="7" t="s">
        <v>2</v>
      </c>
      <c r="C320" s="86" t="s">
        <v>214</v>
      </c>
      <c r="D320" s="32"/>
      <c r="E320" s="32"/>
      <c r="F320" s="32"/>
      <c r="G320" s="295" t="str">
        <f>IF(OR(SAM!E398=0,SAM!E398=""),"",SAM!E398)</f>
        <v/>
      </c>
      <c r="H320" s="295"/>
      <c r="I320" s="295"/>
      <c r="J320" s="295"/>
      <c r="K320" s="295"/>
      <c r="L320" s="295"/>
      <c r="M320" s="9"/>
      <c r="N320" s="9"/>
      <c r="O320" s="9"/>
      <c r="P320" s="9"/>
      <c r="Q320" s="9"/>
      <c r="R320" s="9"/>
      <c r="S320" s="9"/>
      <c r="T320" s="9"/>
      <c r="U320" s="9"/>
      <c r="V320" s="9"/>
      <c r="W320" s="9"/>
      <c r="X320" s="9"/>
      <c r="Y320" s="11"/>
      <c r="AA320" s="2"/>
    </row>
    <row r="321" spans="2:27" ht="6.75" hidden="1" customHeight="1" x14ac:dyDescent="0.2">
      <c r="B321" s="22"/>
      <c r="C321" s="21"/>
      <c r="D321" s="21"/>
      <c r="E321" s="21"/>
      <c r="F321" s="21"/>
      <c r="G321" s="21"/>
      <c r="H321" s="21"/>
      <c r="I321" s="21"/>
      <c r="J321" s="21"/>
      <c r="K321" s="21"/>
      <c r="L321" s="21"/>
      <c r="M321" s="21"/>
      <c r="N321" s="21"/>
      <c r="O321" s="21"/>
      <c r="P321" s="21"/>
      <c r="Q321" s="21"/>
      <c r="R321" s="21"/>
      <c r="S321" s="21"/>
      <c r="T321" s="21"/>
      <c r="U321" s="21"/>
      <c r="V321" s="21"/>
      <c r="W321" s="21"/>
      <c r="X321" s="21"/>
      <c r="Y321" s="23"/>
      <c r="AA321" s="2"/>
    </row>
    <row r="322" spans="2:27" ht="21" hidden="1" customHeight="1" x14ac:dyDescent="0.2">
      <c r="B322" s="14"/>
      <c r="D322" s="93" t="s">
        <v>230</v>
      </c>
      <c r="G322" s="104" t="s">
        <v>65</v>
      </c>
      <c r="H322" s="106"/>
      <c r="I322" s="104" t="s">
        <v>65</v>
      </c>
      <c r="J322" s="104" t="s">
        <v>65</v>
      </c>
      <c r="K322" s="106"/>
      <c r="L322" s="104" t="s">
        <v>65</v>
      </c>
      <c r="M322" s="104" t="s">
        <v>65</v>
      </c>
      <c r="N322" s="106"/>
      <c r="O322" s="104" t="s">
        <v>65</v>
      </c>
      <c r="P322" s="104" t="s">
        <v>65</v>
      </c>
      <c r="Q322" s="106"/>
      <c r="R322" s="104" t="s">
        <v>65</v>
      </c>
      <c r="S322" s="104" t="s">
        <v>65</v>
      </c>
      <c r="T322" s="106"/>
      <c r="U322" s="104" t="s">
        <v>65</v>
      </c>
      <c r="V322" s="104" t="s">
        <v>65</v>
      </c>
      <c r="W322" s="106"/>
      <c r="X322" s="104" t="s">
        <v>65</v>
      </c>
      <c r="Y322" s="15"/>
      <c r="AA322" s="2"/>
    </row>
    <row r="323" spans="2:27" ht="6.75" hidden="1" customHeight="1" x14ac:dyDescent="0.2">
      <c r="B323" s="14"/>
      <c r="H323" s="96"/>
      <c r="K323" s="96"/>
      <c r="N323" s="96"/>
      <c r="Q323" s="96"/>
      <c r="T323" s="96"/>
      <c r="W323" s="96"/>
      <c r="Y323" s="15"/>
      <c r="AA323" s="2"/>
    </row>
    <row r="324" spans="2:27" ht="21" hidden="1" customHeight="1" x14ac:dyDescent="0.2">
      <c r="B324" s="14"/>
      <c r="D324" s="93" t="s">
        <v>198</v>
      </c>
      <c r="E324" s="96" t="s">
        <v>199</v>
      </c>
      <c r="F324" s="96" t="s">
        <v>199</v>
      </c>
      <c r="G324" s="94"/>
      <c r="H324" s="91"/>
      <c r="J324" s="94"/>
      <c r="K324" s="91"/>
      <c r="M324" s="94"/>
      <c r="N324" s="91"/>
      <c r="P324" s="94"/>
      <c r="Q324" s="91"/>
      <c r="S324" s="94"/>
      <c r="T324" s="91"/>
      <c r="V324" s="94"/>
      <c r="W324" s="91"/>
      <c r="Y324" s="15"/>
      <c r="AA324" s="2"/>
    </row>
    <row r="325" spans="2:27" ht="21" hidden="1" customHeight="1" x14ac:dyDescent="0.2">
      <c r="B325" s="14"/>
      <c r="D325" s="93" t="s">
        <v>208</v>
      </c>
      <c r="E325" s="96" t="s">
        <v>199</v>
      </c>
      <c r="F325" s="96" t="s">
        <v>199</v>
      </c>
      <c r="G325" s="94"/>
      <c r="H325" s="92"/>
      <c r="J325" s="94"/>
      <c r="K325" s="92"/>
      <c r="M325" s="94"/>
      <c r="N325" s="92"/>
      <c r="P325" s="94"/>
      <c r="Q325" s="92"/>
      <c r="S325" s="94"/>
      <c r="T325" s="92"/>
      <c r="V325" s="94"/>
      <c r="W325" s="92"/>
      <c r="Y325" s="15"/>
      <c r="AA325" s="2"/>
    </row>
    <row r="326" spans="2:27" ht="6.75" hidden="1" customHeight="1" x14ac:dyDescent="0.2">
      <c r="B326" s="14"/>
      <c r="E326" s="96" t="s">
        <v>199</v>
      </c>
      <c r="F326" s="96" t="s">
        <v>199</v>
      </c>
      <c r="Y326" s="15"/>
      <c r="AA326" s="2"/>
    </row>
    <row r="327" spans="2:27" ht="21" hidden="1" customHeight="1" x14ac:dyDescent="0.2">
      <c r="B327" s="89" t="s">
        <v>202</v>
      </c>
      <c r="C327" s="87"/>
      <c r="D327" s="17"/>
      <c r="E327" s="96" t="s">
        <v>199</v>
      </c>
      <c r="F327" s="96" t="s">
        <v>199</v>
      </c>
      <c r="G327" s="17"/>
      <c r="H327" s="203"/>
      <c r="I327" s="2"/>
      <c r="J327" s="17"/>
      <c r="K327" s="203"/>
      <c r="L327" s="2"/>
      <c r="M327" s="17"/>
      <c r="N327" s="203"/>
      <c r="O327" s="2"/>
      <c r="P327" s="17"/>
      <c r="Q327" s="203"/>
      <c r="R327" s="2"/>
      <c r="S327" s="17"/>
      <c r="T327" s="203"/>
      <c r="U327" s="2"/>
      <c r="V327" s="17"/>
      <c r="W327" s="203"/>
      <c r="X327" s="2"/>
      <c r="Y327" s="15"/>
      <c r="AA327" s="2"/>
    </row>
    <row r="328" spans="2:27" ht="21" hidden="1" customHeight="1" x14ac:dyDescent="0.2">
      <c r="B328" s="89" t="s">
        <v>192</v>
      </c>
      <c r="C328" s="87"/>
      <c r="D328" s="17"/>
      <c r="E328" s="96" t="s">
        <v>199</v>
      </c>
      <c r="F328" s="96" t="s">
        <v>199</v>
      </c>
      <c r="G328" s="24" t="s">
        <v>9</v>
      </c>
      <c r="H328" s="209"/>
      <c r="I328" s="25" t="s">
        <v>10</v>
      </c>
      <c r="J328" s="24" t="s">
        <v>9</v>
      </c>
      <c r="K328" s="209"/>
      <c r="L328" s="25" t="s">
        <v>10</v>
      </c>
      <c r="M328" s="24" t="s">
        <v>9</v>
      </c>
      <c r="N328" s="209"/>
      <c r="O328" s="25" t="s">
        <v>10</v>
      </c>
      <c r="P328" s="24" t="s">
        <v>9</v>
      </c>
      <c r="Q328" s="209"/>
      <c r="R328" s="25" t="s">
        <v>10</v>
      </c>
      <c r="S328" s="24" t="s">
        <v>9</v>
      </c>
      <c r="T328" s="209"/>
      <c r="U328" s="25" t="s">
        <v>10</v>
      </c>
      <c r="V328" s="24" t="s">
        <v>9</v>
      </c>
      <c r="W328" s="209"/>
      <c r="X328" s="25" t="s">
        <v>10</v>
      </c>
      <c r="Y328" s="15"/>
      <c r="AA328" s="2"/>
    </row>
    <row r="329" spans="2:27" ht="21" hidden="1" customHeight="1" x14ac:dyDescent="0.2">
      <c r="B329" s="89" t="s">
        <v>193</v>
      </c>
      <c r="C329" s="87"/>
      <c r="D329" s="17"/>
      <c r="E329" s="96">
        <f>IF(MONTH(W324)=MONTH(W325),((YEAR(W325)-YEAR(W324))*12)-12+(12-MONTH(W324))+MONTH(W325)-1+(EOMONTH(W324,0)-W324+1)/DAY(EOMONTH(W324,0))+(1-(EOMONTH(W325,0)-W325)/DAY(EOMONTH(W325,0))),((YEAR(W325)-YEAR(W324))*12)-12+(12-MONTH(W324))+MONTH(W325)-1+(EOMONTH(W324,0)-W324+1)/DAY(EOMONTH(W324,0))+(1-(EOMONTH(W325,0)-W325)/DAY(EOMONTH(W325,0))))</f>
        <v>3.2258064516129004E-2</v>
      </c>
      <c r="F329" s="96">
        <f>ROUND(IF(AND(W324&lt;&gt;"",W325&lt;&gt;""),IF(E329&lt;=1,1,E329),0),2)</f>
        <v>0</v>
      </c>
      <c r="G329" s="17"/>
      <c r="H329" s="204"/>
      <c r="I329" s="2"/>
      <c r="J329" s="17"/>
      <c r="K329" s="204"/>
      <c r="L329" s="2"/>
      <c r="M329" s="17"/>
      <c r="N329" s="204"/>
      <c r="O329" s="2"/>
      <c r="P329" s="17"/>
      <c r="Q329" s="204"/>
      <c r="R329" s="2"/>
      <c r="S329" s="17"/>
      <c r="T329" s="204"/>
      <c r="U329" s="2"/>
      <c r="V329" s="17"/>
      <c r="W329" s="204"/>
      <c r="X329" s="2"/>
      <c r="Y329" s="15"/>
      <c r="AA329" s="2"/>
    </row>
    <row r="330" spans="2:27" ht="21" hidden="1" customHeight="1" x14ac:dyDescent="0.2">
      <c r="B330" s="89" t="s">
        <v>197</v>
      </c>
      <c r="C330" s="87"/>
      <c r="D330" s="17"/>
      <c r="E330" s="96">
        <f>IF(MONTH(T324)=MONTH(T325),((YEAR(T325)-YEAR(T324))*12)-12+(12-MONTH(T324))+MONTH(T325)-1+(EOMONTH(T324,0)-T324+1)/DAY(EOMONTH(T324,0))+(1-(EOMONTH(T325,0)-T325)/DAY(EOMONTH(T325,0))),((YEAR(T325)-YEAR(T324))*12)-12+(12-MONTH(T324))+MONTH(T325)-1+(EOMONTH(T324,0)-T324+1)/DAY(EOMONTH(T324,0))+(1-(EOMONTH(T325,0)-T325)/DAY(EOMONTH(T325,0))))</f>
        <v>3.2258064516129004E-2</v>
      </c>
      <c r="F330" s="96">
        <f>ROUND(IF(AND(T324&lt;&gt;"",T325&lt;&gt;""),IF(E330&lt;=1,1,E330),0),2)</f>
        <v>0</v>
      </c>
      <c r="G330" s="17"/>
      <c r="H330" s="204"/>
      <c r="I330" s="2"/>
      <c r="J330" s="17"/>
      <c r="K330" s="204"/>
      <c r="L330" s="2"/>
      <c r="M330" s="17"/>
      <c r="N330" s="204"/>
      <c r="O330" s="2"/>
      <c r="P330" s="17"/>
      <c r="Q330" s="204"/>
      <c r="R330" s="2"/>
      <c r="S330" s="17"/>
      <c r="T330" s="204"/>
      <c r="U330" s="2"/>
      <c r="V330" s="17"/>
      <c r="W330" s="204"/>
      <c r="X330" s="2"/>
      <c r="Y330" s="15"/>
      <c r="AA330" s="2"/>
    </row>
    <row r="331" spans="2:27" ht="21" hidden="1" customHeight="1" x14ac:dyDescent="0.2">
      <c r="B331" s="89" t="s">
        <v>194</v>
      </c>
      <c r="C331" s="87"/>
      <c r="D331" s="17"/>
      <c r="E331" s="105">
        <f>IF(MONTH(Q324)=MONTH(Q325),((YEAR(Q325)-YEAR(Q324))*12)-12+(12-MONTH(Q324))+MONTH(Q325)-1+(EOMONTH(Q324,0)-Q324+1)/DAY(EOMONTH(Q324,0))+(1-(EOMONTH(Q325,0)-Q325)/DAY(EOMONTH(Q325,0))),((YEAR(Q325)-YEAR(Q324))*12)-12+(12-MONTH(Q324))+MONTH(Q325)-1+(EOMONTH(Q324,0)-Q324+1)/DAY(EOMONTH(Q324,0))+(1-(EOMONTH(Q325,0)-Q325)/DAY(EOMONTH(Q325,0))))</f>
        <v>3.2258064516129004E-2</v>
      </c>
      <c r="F331" s="105">
        <f>ROUND(IF(AND(Q324&lt;&gt;"",Q325&lt;&gt;""),IF(E331&lt;=1,1,E331),0),2)</f>
        <v>0</v>
      </c>
      <c r="G331" s="17"/>
      <c r="H331" s="204"/>
      <c r="I331" s="2"/>
      <c r="J331" s="17"/>
      <c r="K331" s="204"/>
      <c r="L331" s="2"/>
      <c r="M331" s="17"/>
      <c r="N331" s="204"/>
      <c r="O331" s="2"/>
      <c r="P331" s="17"/>
      <c r="Q331" s="204"/>
      <c r="R331" s="2"/>
      <c r="S331" s="17"/>
      <c r="T331" s="204"/>
      <c r="U331" s="2"/>
      <c r="V331" s="17"/>
      <c r="W331" s="204"/>
      <c r="X331" s="2"/>
      <c r="Y331" s="15"/>
      <c r="AA331" s="2"/>
    </row>
    <row r="332" spans="2:27" ht="21" hidden="1" customHeight="1" x14ac:dyDescent="0.2">
      <c r="B332" s="89" t="s">
        <v>195</v>
      </c>
      <c r="C332" s="87"/>
      <c r="D332" s="17"/>
      <c r="E332" s="96">
        <f>IF(MONTH(N324)=MONTH(N325),((YEAR(N325)-YEAR(N324))*12)-12+(12-MONTH(N324))+MONTH(N325)-1+(EOMONTH(N324,0)-N324+1)/DAY(EOMONTH(N324,0))+(1-(EOMONTH(N325,0)-N325)/DAY(EOMONTH(N325,0))),((YEAR(N325)-YEAR(N324))*12)-12+(12-MONTH(N324))+MONTH(N325)-1+(EOMONTH(N324,0)-N324+1)/DAY(EOMONTH(N324,0))+(1-(EOMONTH(N325,0)-N325)/DAY(EOMONTH(N325,0))))</f>
        <v>3.2258064516129004E-2</v>
      </c>
      <c r="F332" s="96">
        <f>ROUND(IF(AND(N324&lt;&gt;"",N325&lt;&gt;""),IF(E332&lt;=1,1,E332),0),2)</f>
        <v>0</v>
      </c>
      <c r="G332" s="17"/>
      <c r="H332" s="204"/>
      <c r="I332" s="2"/>
      <c r="J332" s="17"/>
      <c r="K332" s="204"/>
      <c r="L332" s="2"/>
      <c r="M332" s="17"/>
      <c r="N332" s="204"/>
      <c r="O332" s="2"/>
      <c r="P332" s="17"/>
      <c r="Q332" s="204"/>
      <c r="R332" s="2"/>
      <c r="S332" s="17"/>
      <c r="T332" s="204"/>
      <c r="U332" s="2"/>
      <c r="V332" s="17"/>
      <c r="W332" s="204"/>
      <c r="X332" s="2"/>
      <c r="Y332" s="15"/>
      <c r="AA332" s="2"/>
    </row>
    <row r="333" spans="2:27" ht="21" hidden="1" customHeight="1" x14ac:dyDescent="0.2">
      <c r="B333" s="89" t="s">
        <v>196</v>
      </c>
      <c r="C333" s="87"/>
      <c r="D333" s="107"/>
      <c r="E333" s="96">
        <f>IF(MONTH(K324)=MONTH(K325),((YEAR(K325)-YEAR(K324))*12)-12+(12-MONTH(K324))+MONTH(K325)-1+(EOMONTH(K324,0)-K324+1)/DAY(EOMONTH(K324,0))+(1-(EOMONTH(K325,0)-K325)/DAY(EOMONTH(K325,0))),((YEAR(K325)-YEAR(K324))*12)-12+(12-MONTH(K324))+MONTH(K325)-1+(EOMONTH(K324,0)-K324+1)/DAY(EOMONTH(K324,0))+(1-(EOMONTH(K325,0)-K325)/DAY(EOMONTH(K325,0))))</f>
        <v>3.2258064516129004E-2</v>
      </c>
      <c r="F333" s="96">
        <f>ROUND(IF(AND(K324&lt;&gt;"",K325&lt;&gt;""),IF(E333&lt;=1,1,E333),0),2)</f>
        <v>0</v>
      </c>
      <c r="G333" s="103" t="s">
        <v>65</v>
      </c>
      <c r="H333" s="206"/>
      <c r="I333" s="2"/>
      <c r="J333" s="2"/>
      <c r="K333" s="206"/>
      <c r="L333" s="2"/>
      <c r="M333" s="2"/>
      <c r="N333" s="206"/>
      <c r="O333" s="2"/>
      <c r="P333" s="2"/>
      <c r="Q333" s="206"/>
      <c r="R333" s="2"/>
      <c r="S333" s="2"/>
      <c r="T333" s="206"/>
      <c r="U333" s="2"/>
      <c r="V333" s="2"/>
      <c r="W333" s="206"/>
      <c r="X333" s="2"/>
      <c r="Y333" s="15"/>
      <c r="AA333" s="2"/>
    </row>
    <row r="334" spans="2:27" ht="13.25" hidden="1" customHeight="1" x14ac:dyDescent="0.2">
      <c r="B334" s="89"/>
      <c r="C334" s="87"/>
      <c r="D334" s="17"/>
      <c r="E334" s="96" t="s">
        <v>199</v>
      </c>
      <c r="F334" s="96" t="s">
        <v>199</v>
      </c>
      <c r="G334" s="24"/>
      <c r="H334" s="27"/>
      <c r="I334" s="2"/>
      <c r="J334" s="24"/>
      <c r="K334" s="27"/>
      <c r="L334" s="2"/>
      <c r="M334" s="24"/>
      <c r="N334" s="27"/>
      <c r="O334" s="2"/>
      <c r="P334" s="24"/>
      <c r="Q334" s="27"/>
      <c r="R334" s="2"/>
      <c r="S334" s="24"/>
      <c r="T334" s="27"/>
      <c r="U334" s="2"/>
      <c r="V334" s="24"/>
      <c r="W334" s="27"/>
      <c r="X334" s="2"/>
      <c r="Y334" s="15"/>
      <c r="AA334" s="2"/>
    </row>
    <row r="335" spans="2:27" ht="21" hidden="1" customHeight="1" x14ac:dyDescent="0.2">
      <c r="B335" s="89" t="s">
        <v>3</v>
      </c>
      <c r="C335" s="87"/>
      <c r="D335" s="17"/>
      <c r="E335" s="96"/>
      <c r="F335" s="96"/>
      <c r="G335" s="24"/>
      <c r="H335" s="222">
        <f>IFERROR(SUM(H329:H333)-H328+H327,0)</f>
        <v>0</v>
      </c>
      <c r="I335" s="2"/>
      <c r="J335" s="24"/>
      <c r="K335" s="222">
        <f>IFERROR(SUM(K329:K333)-K328+K327,0)</f>
        <v>0</v>
      </c>
      <c r="L335" s="2"/>
      <c r="M335" s="24"/>
      <c r="N335" s="222">
        <f>IFERROR(SUM(N329:N333)-N328+N327,0)</f>
        <v>0</v>
      </c>
      <c r="O335" s="2"/>
      <c r="P335" s="24"/>
      <c r="Q335" s="222">
        <f>IFERROR(SUM(Q329:Q333)-Q328+Q327,0)</f>
        <v>0</v>
      </c>
      <c r="R335" s="2"/>
      <c r="S335" s="24"/>
      <c r="T335" s="222">
        <f>IFERROR(SUM(T329:T333)-T328+T327,0)</f>
        <v>0</v>
      </c>
      <c r="U335" s="2"/>
      <c r="V335" s="24"/>
      <c r="W335" s="222">
        <f>IFERROR(SUM(W329:W333)-W328+W327,0)</f>
        <v>0</v>
      </c>
      <c r="X335" s="2"/>
      <c r="Y335" s="15"/>
      <c r="AA335" s="2"/>
    </row>
    <row r="336" spans="2:27" ht="21" hidden="1" customHeight="1" x14ac:dyDescent="0.2">
      <c r="B336" s="89" t="s">
        <v>213</v>
      </c>
      <c r="C336" s="87"/>
      <c r="D336" s="17"/>
      <c r="E336" s="96"/>
      <c r="F336" s="96"/>
      <c r="G336" s="24"/>
      <c r="H336" s="54"/>
      <c r="I336" s="2"/>
      <c r="J336" s="24"/>
      <c r="K336" s="54"/>
      <c r="L336" s="2"/>
      <c r="M336" s="24"/>
      <c r="N336" s="54"/>
      <c r="O336" s="2"/>
      <c r="P336" s="24"/>
      <c r="Q336" s="54"/>
      <c r="R336" s="2"/>
      <c r="S336" s="24"/>
      <c r="T336" s="54"/>
      <c r="U336" s="2"/>
      <c r="V336" s="24"/>
      <c r="W336" s="54"/>
      <c r="X336" s="2"/>
      <c r="Y336" s="15"/>
      <c r="AA336" s="2"/>
    </row>
    <row r="337" spans="1:27" ht="21" hidden="1" customHeight="1" x14ac:dyDescent="0.2">
      <c r="B337" s="89" t="s">
        <v>215</v>
      </c>
      <c r="C337" s="87"/>
      <c r="D337" s="17"/>
      <c r="E337" s="96"/>
      <c r="F337" s="96"/>
      <c r="G337" s="24"/>
      <c r="H337" s="210">
        <f>ROUND(IFERROR(H335*H336,0),2)</f>
        <v>0</v>
      </c>
      <c r="I337" s="2"/>
      <c r="J337" s="24"/>
      <c r="K337" s="210">
        <f>ROUND(IFERROR(K335*K336,0),2)</f>
        <v>0</v>
      </c>
      <c r="L337" s="2"/>
      <c r="M337" s="24"/>
      <c r="N337" s="210">
        <f>ROUND(IFERROR(N335*N336,0),2)</f>
        <v>0</v>
      </c>
      <c r="O337" s="2"/>
      <c r="P337" s="24"/>
      <c r="Q337" s="210">
        <f>ROUND(IFERROR(Q335*Q336,0),2)</f>
        <v>0</v>
      </c>
      <c r="R337" s="2"/>
      <c r="S337" s="24"/>
      <c r="T337" s="210">
        <f>ROUND(IFERROR(T335*T336,0),2)</f>
        <v>0</v>
      </c>
      <c r="U337" s="2"/>
      <c r="V337" s="24"/>
      <c r="W337" s="210">
        <f>ROUND(IFERROR(W335*W336,0),2)</f>
        <v>0</v>
      </c>
      <c r="X337" s="2"/>
      <c r="Y337" s="15"/>
      <c r="AA337" s="2"/>
    </row>
    <row r="338" spans="1:27" ht="10.25" hidden="1" customHeight="1" x14ac:dyDescent="0.2">
      <c r="B338" s="89"/>
      <c r="C338" s="87"/>
      <c r="D338" s="17"/>
      <c r="E338" s="96"/>
      <c r="F338" s="96"/>
      <c r="G338" s="24"/>
      <c r="H338" s="27"/>
      <c r="I338" s="2"/>
      <c r="J338" s="24"/>
      <c r="K338" s="27"/>
      <c r="L338" s="2"/>
      <c r="M338" s="24"/>
      <c r="N338" s="27"/>
      <c r="O338" s="2"/>
      <c r="P338" s="24"/>
      <c r="Q338" s="27"/>
      <c r="R338" s="2"/>
      <c r="S338" s="24"/>
      <c r="T338" s="27"/>
      <c r="U338" s="2"/>
      <c r="V338" s="24"/>
      <c r="W338" s="27"/>
      <c r="X338" s="2"/>
      <c r="Y338" s="15"/>
      <c r="AA338" s="2"/>
    </row>
    <row r="339" spans="1:27" ht="21" hidden="1" customHeight="1" x14ac:dyDescent="0.2">
      <c r="B339" s="89" t="s">
        <v>204</v>
      </c>
      <c r="C339" s="87"/>
      <c r="D339" s="17"/>
      <c r="E339" s="96"/>
      <c r="F339" s="96"/>
      <c r="G339" s="24"/>
      <c r="H339" s="208"/>
      <c r="I339" s="2"/>
      <c r="J339" s="24"/>
      <c r="K339" s="208"/>
      <c r="L339" s="2"/>
      <c r="M339" s="24"/>
      <c r="N339" s="208"/>
      <c r="O339" s="2"/>
      <c r="P339" s="24"/>
      <c r="Q339" s="208"/>
      <c r="R339" s="2"/>
      <c r="S339" s="24"/>
      <c r="T339" s="208"/>
      <c r="U339" s="2"/>
      <c r="V339" s="24"/>
      <c r="W339" s="208"/>
      <c r="X339" s="2"/>
      <c r="Y339" s="15"/>
      <c r="AA339" s="2"/>
    </row>
    <row r="340" spans="1:27" ht="6.5" hidden="1" customHeight="1" x14ac:dyDescent="0.2">
      <c r="B340" s="89"/>
      <c r="C340" s="87"/>
      <c r="D340" s="17"/>
      <c r="E340" s="96"/>
      <c r="F340" s="96"/>
      <c r="G340" s="24"/>
      <c r="H340" s="27"/>
      <c r="I340" s="2"/>
      <c r="J340" s="24"/>
      <c r="K340" s="27"/>
      <c r="L340" s="2"/>
      <c r="M340" s="24"/>
      <c r="N340" s="27"/>
      <c r="O340" s="2"/>
      <c r="P340" s="24"/>
      <c r="Q340" s="27"/>
      <c r="R340" s="2"/>
      <c r="S340" s="24"/>
      <c r="T340" s="27"/>
      <c r="U340" s="2"/>
      <c r="V340" s="24"/>
      <c r="W340" s="27"/>
      <c r="X340" s="2"/>
      <c r="Y340" s="15"/>
      <c r="AA340" s="2"/>
    </row>
    <row r="341" spans="1:27" ht="21" hidden="1" customHeight="1" x14ac:dyDescent="0.2">
      <c r="B341" s="90"/>
      <c r="C341" s="88"/>
      <c r="D341" s="99" t="s">
        <v>209</v>
      </c>
      <c r="E341" s="96" t="s">
        <v>199</v>
      </c>
      <c r="F341" s="96" t="s">
        <v>199</v>
      </c>
      <c r="G341" s="80"/>
      <c r="H341" s="210">
        <f>IFERROR(H337+H339,0)</f>
        <v>0</v>
      </c>
      <c r="I341" s="2"/>
      <c r="J341" s="80"/>
      <c r="K341" s="210">
        <f>IFERROR(K337+K339,0)</f>
        <v>0</v>
      </c>
      <c r="L341" s="2"/>
      <c r="M341" s="80"/>
      <c r="N341" s="210">
        <f>IFERROR(N337+N339,0)</f>
        <v>0</v>
      </c>
      <c r="O341" s="2"/>
      <c r="P341" s="80"/>
      <c r="Q341" s="210">
        <f>IFERROR(Q337+Q339,0)</f>
        <v>0</v>
      </c>
      <c r="R341" s="2"/>
      <c r="S341" s="80"/>
      <c r="T341" s="210">
        <f>IFERROR(T337+T339,0)</f>
        <v>0</v>
      </c>
      <c r="U341" s="2"/>
      <c r="V341" s="80"/>
      <c r="W341" s="210">
        <f>IFERROR(W337+W339,0)</f>
        <v>0</v>
      </c>
      <c r="X341" s="2"/>
      <c r="Y341" s="15"/>
      <c r="AA341" s="2"/>
    </row>
    <row r="342" spans="1:27" ht="21" hidden="1" customHeight="1" x14ac:dyDescent="0.2">
      <c r="B342" s="90"/>
      <c r="C342" s="88"/>
      <c r="D342" s="93" t="s">
        <v>210</v>
      </c>
      <c r="E342" s="96">
        <f>IF(MONTH(H324)=MONTH(H325),((YEAR(H325)-YEAR(H324))*12)-12+(12-MONTH(H324))+MONTH(H325)-1+(EOMONTH(H324,0)-H324+1)/DAY(EOMONTH(H324,0))+(1-(EOMONTH(H325,0)-H325)/DAY(EOMONTH(H325,0))),((YEAR(H325)-YEAR(H324))*12)-12+(12-MONTH(H324))+MONTH(H325)-1+(EOMONTH(H324,0)-H324+1)/DAY(EOMONTH(H324,0))+(1-(EOMONTH(H325,0)-H325)/DAY(EOMONTH(H325,0))))</f>
        <v>3.2258064516129004E-2</v>
      </c>
      <c r="F342" s="96">
        <f>ROUND(IF(AND(H324&lt;&gt;"",H325&lt;&gt;""),IF(E342&lt;=1,1,E342),0),2)</f>
        <v>0</v>
      </c>
      <c r="G342" s="17"/>
      <c r="H342" s="210">
        <f>ROUND(IFERROR(H341/F342,0),2)</f>
        <v>0</v>
      </c>
      <c r="I342" s="2"/>
      <c r="J342" s="17"/>
      <c r="K342" s="210">
        <f>ROUND(IFERROR(K341/F333,0),2)</f>
        <v>0</v>
      </c>
      <c r="L342" s="2"/>
      <c r="M342" s="17"/>
      <c r="N342" s="210">
        <f>ROUND(IFERROR(N341/F332,0),2)</f>
        <v>0</v>
      </c>
      <c r="O342" s="2"/>
      <c r="P342" s="17"/>
      <c r="Q342" s="210">
        <f>ROUND(IFERROR(Q341/F331,0),2)</f>
        <v>0</v>
      </c>
      <c r="R342" s="2"/>
      <c r="S342" s="17"/>
      <c r="T342" s="210">
        <f>ROUND(IFERROR(T341/F330,0),2)</f>
        <v>0</v>
      </c>
      <c r="U342" s="2"/>
      <c r="V342" s="17"/>
      <c r="W342" s="210">
        <f>ROUND(IFERROR(W341/F329,0),2)</f>
        <v>0</v>
      </c>
      <c r="X342" s="2"/>
      <c r="Y342" s="15"/>
      <c r="AA342" s="2"/>
    </row>
    <row r="343" spans="1:27" ht="8.25" hidden="1" customHeight="1" thickBot="1" x14ac:dyDescent="0.25">
      <c r="B343" s="18"/>
      <c r="C343" s="19"/>
      <c r="D343" s="19"/>
      <c r="E343" s="19"/>
      <c r="F343" s="19"/>
      <c r="G343" s="19"/>
      <c r="H343" s="19"/>
      <c r="I343" s="19"/>
      <c r="J343" s="19"/>
      <c r="K343" s="19"/>
      <c r="L343" s="19"/>
      <c r="M343" s="19"/>
      <c r="N343" s="19"/>
      <c r="O343" s="19"/>
      <c r="P343" s="19"/>
      <c r="Q343" s="19"/>
      <c r="R343" s="19"/>
      <c r="S343" s="19"/>
      <c r="T343" s="19"/>
      <c r="U343" s="19"/>
      <c r="V343" s="19"/>
      <c r="W343" s="19"/>
      <c r="X343" s="19"/>
      <c r="Y343" s="20"/>
      <c r="AA343" s="2"/>
    </row>
    <row r="344" spans="1:27" ht="14" customHeight="1" thickBot="1" x14ac:dyDescent="0.25">
      <c r="B344" s="3"/>
      <c r="E344" s="21"/>
      <c r="F344" s="21"/>
      <c r="I344" s="21"/>
      <c r="J344" s="21"/>
      <c r="K344" s="21"/>
      <c r="L344" s="21"/>
      <c r="M344" s="21"/>
      <c r="N344" s="21"/>
      <c r="O344" s="21"/>
      <c r="P344" s="21"/>
      <c r="Q344" s="21"/>
      <c r="R344" s="21"/>
      <c r="S344" s="21"/>
      <c r="T344" s="21"/>
      <c r="U344" s="21"/>
      <c r="V344" s="21"/>
      <c r="W344" s="21"/>
      <c r="X344" s="21"/>
    </row>
    <row r="345" spans="1:27" ht="21" customHeight="1" thickBot="1" x14ac:dyDescent="0.25">
      <c r="A345" s="2"/>
      <c r="B345" s="7" t="s">
        <v>2</v>
      </c>
      <c r="C345" s="86" t="s">
        <v>214</v>
      </c>
      <c r="D345" s="32"/>
      <c r="E345" s="32"/>
      <c r="F345" s="32"/>
      <c r="G345" s="295" t="str">
        <f>IF(OR(SAM!E428=0,SAM!E428=""),"",SAM!E428)</f>
        <v/>
      </c>
      <c r="H345" s="295"/>
      <c r="I345" s="295"/>
      <c r="J345" s="295"/>
      <c r="K345" s="295"/>
      <c r="L345" s="295"/>
      <c r="M345" s="9"/>
      <c r="N345" s="9"/>
      <c r="O345" s="9"/>
      <c r="P345" s="9"/>
      <c r="Q345" s="9"/>
      <c r="R345" s="9"/>
      <c r="S345" s="9"/>
      <c r="T345" s="9"/>
      <c r="U345" s="9"/>
      <c r="V345" s="9"/>
      <c r="W345" s="9"/>
      <c r="X345" s="9"/>
      <c r="Y345" s="11"/>
      <c r="AA345" s="2"/>
    </row>
    <row r="346" spans="1:27" ht="6.75" hidden="1" customHeight="1" x14ac:dyDescent="0.2">
      <c r="B346" s="22"/>
      <c r="C346" s="21"/>
      <c r="D346" s="21"/>
      <c r="E346" s="21"/>
      <c r="F346" s="21"/>
      <c r="G346" s="21"/>
      <c r="H346" s="21"/>
      <c r="I346" s="21"/>
      <c r="J346" s="21"/>
      <c r="K346" s="21"/>
      <c r="L346" s="21"/>
      <c r="M346" s="21"/>
      <c r="N346" s="21"/>
      <c r="O346" s="21"/>
      <c r="P346" s="21"/>
      <c r="Q346" s="21"/>
      <c r="R346" s="21"/>
      <c r="S346" s="21"/>
      <c r="T346" s="21"/>
      <c r="U346" s="21"/>
      <c r="V346" s="21"/>
      <c r="W346" s="21"/>
      <c r="X346" s="21"/>
      <c r="Y346" s="23"/>
      <c r="AA346" s="2"/>
    </row>
    <row r="347" spans="1:27" ht="21" hidden="1" customHeight="1" x14ac:dyDescent="0.2">
      <c r="B347" s="14"/>
      <c r="D347" s="93" t="s">
        <v>230</v>
      </c>
      <c r="G347" s="104" t="s">
        <v>65</v>
      </c>
      <c r="H347" s="106"/>
      <c r="I347" s="104" t="s">
        <v>65</v>
      </c>
      <c r="J347" s="104" t="s">
        <v>65</v>
      </c>
      <c r="K347" s="106"/>
      <c r="L347" s="104" t="s">
        <v>65</v>
      </c>
      <c r="M347" s="104" t="s">
        <v>65</v>
      </c>
      <c r="N347" s="106"/>
      <c r="O347" s="104" t="s">
        <v>65</v>
      </c>
      <c r="P347" s="104" t="s">
        <v>65</v>
      </c>
      <c r="Q347" s="106"/>
      <c r="R347" s="104" t="s">
        <v>65</v>
      </c>
      <c r="S347" s="104" t="s">
        <v>65</v>
      </c>
      <c r="T347" s="106"/>
      <c r="U347" s="104" t="s">
        <v>65</v>
      </c>
      <c r="V347" s="104" t="s">
        <v>65</v>
      </c>
      <c r="W347" s="106"/>
      <c r="X347" s="104" t="s">
        <v>65</v>
      </c>
      <c r="Y347" s="15"/>
      <c r="AA347" s="2"/>
    </row>
    <row r="348" spans="1:27" ht="6.75" hidden="1" customHeight="1" x14ac:dyDescent="0.2">
      <c r="B348" s="14"/>
      <c r="H348" s="96"/>
      <c r="K348" s="96"/>
      <c r="N348" s="96"/>
      <c r="Q348" s="96"/>
      <c r="T348" s="96"/>
      <c r="W348" s="96"/>
      <c r="Y348" s="15"/>
      <c r="AA348" s="2"/>
    </row>
    <row r="349" spans="1:27" ht="21" hidden="1" customHeight="1" x14ac:dyDescent="0.2">
      <c r="B349" s="14"/>
      <c r="D349" s="93" t="s">
        <v>198</v>
      </c>
      <c r="E349" s="96" t="s">
        <v>199</v>
      </c>
      <c r="F349" s="96" t="s">
        <v>199</v>
      </c>
      <c r="G349" s="94"/>
      <c r="H349" s="91"/>
      <c r="J349" s="94"/>
      <c r="K349" s="91"/>
      <c r="M349" s="94"/>
      <c r="N349" s="91"/>
      <c r="P349" s="94"/>
      <c r="Q349" s="91"/>
      <c r="S349" s="94"/>
      <c r="T349" s="91"/>
      <c r="V349" s="94"/>
      <c r="W349" s="91"/>
      <c r="Y349" s="15"/>
      <c r="AA349" s="2"/>
    </row>
    <row r="350" spans="1:27" ht="21" hidden="1" customHeight="1" x14ac:dyDescent="0.2">
      <c r="B350" s="14"/>
      <c r="D350" s="93" t="s">
        <v>208</v>
      </c>
      <c r="E350" s="96" t="s">
        <v>199</v>
      </c>
      <c r="F350" s="96" t="s">
        <v>199</v>
      </c>
      <c r="G350" s="94"/>
      <c r="H350" s="92"/>
      <c r="J350" s="94"/>
      <c r="K350" s="92"/>
      <c r="M350" s="94"/>
      <c r="N350" s="92"/>
      <c r="P350" s="94"/>
      <c r="Q350" s="92"/>
      <c r="S350" s="94"/>
      <c r="T350" s="92"/>
      <c r="V350" s="94"/>
      <c r="W350" s="92"/>
      <c r="Y350" s="15"/>
      <c r="AA350" s="2"/>
    </row>
    <row r="351" spans="1:27" ht="6.75" hidden="1" customHeight="1" x14ac:dyDescent="0.2">
      <c r="B351" s="14"/>
      <c r="E351" s="96" t="s">
        <v>199</v>
      </c>
      <c r="F351" s="96" t="s">
        <v>199</v>
      </c>
      <c r="Y351" s="15"/>
      <c r="AA351" s="2"/>
    </row>
    <row r="352" spans="1:27" ht="21" hidden="1" customHeight="1" x14ac:dyDescent="0.2">
      <c r="B352" s="89" t="s">
        <v>202</v>
      </c>
      <c r="C352" s="87"/>
      <c r="D352" s="17"/>
      <c r="E352" s="96" t="s">
        <v>199</v>
      </c>
      <c r="F352" s="96" t="s">
        <v>199</v>
      </c>
      <c r="G352" s="17"/>
      <c r="H352" s="203"/>
      <c r="I352" s="2"/>
      <c r="J352" s="17"/>
      <c r="K352" s="203"/>
      <c r="L352" s="2"/>
      <c r="M352" s="17"/>
      <c r="N352" s="203"/>
      <c r="O352" s="2"/>
      <c r="P352" s="17"/>
      <c r="Q352" s="203"/>
      <c r="R352" s="2"/>
      <c r="S352" s="17"/>
      <c r="T352" s="203"/>
      <c r="U352" s="2"/>
      <c r="V352" s="17"/>
      <c r="W352" s="203"/>
      <c r="X352" s="2"/>
      <c r="Y352" s="15"/>
      <c r="AA352" s="2"/>
    </row>
    <row r="353" spans="2:27" ht="21" hidden="1" customHeight="1" x14ac:dyDescent="0.2">
      <c r="B353" s="89" t="s">
        <v>192</v>
      </c>
      <c r="C353" s="87"/>
      <c r="D353" s="17"/>
      <c r="E353" s="96" t="s">
        <v>199</v>
      </c>
      <c r="F353" s="96" t="s">
        <v>199</v>
      </c>
      <c r="G353" s="24" t="s">
        <v>9</v>
      </c>
      <c r="H353" s="209"/>
      <c r="I353" s="25" t="s">
        <v>10</v>
      </c>
      <c r="J353" s="24" t="s">
        <v>9</v>
      </c>
      <c r="K353" s="209"/>
      <c r="L353" s="25" t="s">
        <v>10</v>
      </c>
      <c r="M353" s="24" t="s">
        <v>9</v>
      </c>
      <c r="N353" s="209"/>
      <c r="O353" s="25" t="s">
        <v>10</v>
      </c>
      <c r="P353" s="24" t="s">
        <v>9</v>
      </c>
      <c r="Q353" s="209"/>
      <c r="R353" s="25" t="s">
        <v>10</v>
      </c>
      <c r="S353" s="24" t="s">
        <v>9</v>
      </c>
      <c r="T353" s="209"/>
      <c r="U353" s="25" t="s">
        <v>10</v>
      </c>
      <c r="V353" s="24" t="s">
        <v>9</v>
      </c>
      <c r="W353" s="209"/>
      <c r="X353" s="25" t="s">
        <v>10</v>
      </c>
      <c r="Y353" s="15"/>
      <c r="AA353" s="2"/>
    </row>
    <row r="354" spans="2:27" ht="21" hidden="1" customHeight="1" x14ac:dyDescent="0.2">
      <c r="B354" s="89" t="s">
        <v>193</v>
      </c>
      <c r="C354" s="87"/>
      <c r="D354" s="17"/>
      <c r="E354" s="96">
        <f>IF(MONTH(W349)=MONTH(W350),((YEAR(W350)-YEAR(W349))*12)-12+(12-MONTH(W349))+MONTH(W350)-1+(EOMONTH(W349,0)-W349+1)/DAY(EOMONTH(W349,0))+(1-(EOMONTH(W350,0)-W350)/DAY(EOMONTH(W350,0))),((YEAR(W350)-YEAR(W349))*12)-12+(12-MONTH(W349))+MONTH(W350)-1+(EOMONTH(W349,0)-W349+1)/DAY(EOMONTH(W349,0))+(1-(EOMONTH(W350,0)-W350)/DAY(EOMONTH(W350,0))))</f>
        <v>3.2258064516129004E-2</v>
      </c>
      <c r="F354" s="96">
        <f>ROUND(IF(AND(W349&lt;&gt;"",W350&lt;&gt;""),IF(E354&lt;=1,1,E354),0),2)</f>
        <v>0</v>
      </c>
      <c r="G354" s="17"/>
      <c r="H354" s="204"/>
      <c r="I354" s="2"/>
      <c r="J354" s="17"/>
      <c r="K354" s="204"/>
      <c r="L354" s="2"/>
      <c r="M354" s="17"/>
      <c r="N354" s="204"/>
      <c r="O354" s="2"/>
      <c r="P354" s="17"/>
      <c r="Q354" s="204"/>
      <c r="R354" s="2"/>
      <c r="S354" s="17"/>
      <c r="T354" s="204"/>
      <c r="U354" s="2"/>
      <c r="V354" s="17"/>
      <c r="W354" s="204"/>
      <c r="X354" s="2"/>
      <c r="Y354" s="15"/>
      <c r="AA354" s="2"/>
    </row>
    <row r="355" spans="2:27" ht="21" hidden="1" customHeight="1" x14ac:dyDescent="0.2">
      <c r="B355" s="89" t="s">
        <v>197</v>
      </c>
      <c r="C355" s="87"/>
      <c r="D355" s="17"/>
      <c r="E355" s="96">
        <f>IF(MONTH(T349)=MONTH(T350),((YEAR(T350)-YEAR(T349))*12)-12+(12-MONTH(T349))+MONTH(T350)-1+(EOMONTH(T349,0)-T349+1)/DAY(EOMONTH(T349,0))+(1-(EOMONTH(T350,0)-T350)/DAY(EOMONTH(T350,0))),((YEAR(T350)-YEAR(T349))*12)-12+(12-MONTH(T349))+MONTH(T350)-1+(EOMONTH(T349,0)-T349+1)/DAY(EOMONTH(T349,0))+(1-(EOMONTH(T350,0)-T350)/DAY(EOMONTH(T350,0))))</f>
        <v>3.2258064516129004E-2</v>
      </c>
      <c r="F355" s="96">
        <f>ROUND(IF(AND(T349&lt;&gt;"",T350&lt;&gt;""),IF(E355&lt;=1,1,E355),0),2)</f>
        <v>0</v>
      </c>
      <c r="G355" s="17"/>
      <c r="H355" s="204"/>
      <c r="I355" s="2"/>
      <c r="J355" s="17"/>
      <c r="K355" s="204"/>
      <c r="L355" s="2"/>
      <c r="M355" s="17"/>
      <c r="N355" s="204"/>
      <c r="O355" s="2"/>
      <c r="P355" s="17"/>
      <c r="Q355" s="204"/>
      <c r="R355" s="2"/>
      <c r="S355" s="17"/>
      <c r="T355" s="204"/>
      <c r="U355" s="2"/>
      <c r="V355" s="17"/>
      <c r="W355" s="204"/>
      <c r="X355" s="2"/>
      <c r="Y355" s="15"/>
      <c r="AA355" s="2"/>
    </row>
    <row r="356" spans="2:27" ht="21" hidden="1" customHeight="1" x14ac:dyDescent="0.2">
      <c r="B356" s="89" t="s">
        <v>194</v>
      </c>
      <c r="C356" s="87"/>
      <c r="D356" s="17"/>
      <c r="E356" s="105">
        <f>IF(MONTH(Q349)=MONTH(Q350),((YEAR(Q350)-YEAR(Q349))*12)-12+(12-MONTH(Q349))+MONTH(Q350)-1+(EOMONTH(Q349,0)-Q349+1)/DAY(EOMONTH(Q349,0))+(1-(EOMONTH(Q350,0)-Q350)/DAY(EOMONTH(Q350,0))),((YEAR(Q350)-YEAR(Q349))*12)-12+(12-MONTH(Q349))+MONTH(Q350)-1+(EOMONTH(Q349,0)-Q349+1)/DAY(EOMONTH(Q349,0))+(1-(EOMONTH(Q350,0)-Q350)/DAY(EOMONTH(Q350,0))))</f>
        <v>3.2258064516129004E-2</v>
      </c>
      <c r="F356" s="105">
        <f>ROUND(IF(AND(Q349&lt;&gt;"",Q350&lt;&gt;""),IF(E356&lt;=1,1,E356),0),2)</f>
        <v>0</v>
      </c>
      <c r="G356" s="17"/>
      <c r="H356" s="204"/>
      <c r="I356" s="2"/>
      <c r="J356" s="17"/>
      <c r="K356" s="204"/>
      <c r="L356" s="2"/>
      <c r="M356" s="17"/>
      <c r="N356" s="204"/>
      <c r="O356" s="2"/>
      <c r="P356" s="17"/>
      <c r="Q356" s="204"/>
      <c r="R356" s="2"/>
      <c r="S356" s="17"/>
      <c r="T356" s="204"/>
      <c r="U356" s="2"/>
      <c r="V356" s="17"/>
      <c r="W356" s="204"/>
      <c r="X356" s="2"/>
      <c r="Y356" s="15"/>
      <c r="AA356" s="2"/>
    </row>
    <row r="357" spans="2:27" ht="21" hidden="1" customHeight="1" x14ac:dyDescent="0.2">
      <c r="B357" s="89" t="s">
        <v>195</v>
      </c>
      <c r="C357" s="87"/>
      <c r="D357" s="17"/>
      <c r="E357" s="96">
        <f>IF(MONTH(N349)=MONTH(N350),((YEAR(N350)-YEAR(N349))*12)-12+(12-MONTH(N349))+MONTH(N350)-1+(EOMONTH(N349,0)-N349+1)/DAY(EOMONTH(N349,0))+(1-(EOMONTH(N350,0)-N350)/DAY(EOMONTH(N350,0))),((YEAR(N350)-YEAR(N349))*12)-12+(12-MONTH(N349))+MONTH(N350)-1+(EOMONTH(N349,0)-N349+1)/DAY(EOMONTH(N349,0))+(1-(EOMONTH(N350,0)-N350)/DAY(EOMONTH(N350,0))))</f>
        <v>3.2258064516129004E-2</v>
      </c>
      <c r="F357" s="96">
        <f>ROUND(IF(AND(N349&lt;&gt;"",N350&lt;&gt;""),IF(E357&lt;=1,1,E357),0),2)</f>
        <v>0</v>
      </c>
      <c r="G357" s="17"/>
      <c r="H357" s="204"/>
      <c r="I357" s="2"/>
      <c r="J357" s="17"/>
      <c r="K357" s="204"/>
      <c r="L357" s="2"/>
      <c r="M357" s="17"/>
      <c r="N357" s="204"/>
      <c r="O357" s="2"/>
      <c r="P357" s="17"/>
      <c r="Q357" s="204"/>
      <c r="R357" s="2"/>
      <c r="S357" s="17"/>
      <c r="T357" s="204"/>
      <c r="U357" s="2"/>
      <c r="V357" s="17"/>
      <c r="W357" s="204"/>
      <c r="X357" s="2"/>
      <c r="Y357" s="15"/>
      <c r="AA357" s="2"/>
    </row>
    <row r="358" spans="2:27" ht="21" hidden="1" customHeight="1" x14ac:dyDescent="0.2">
      <c r="B358" s="89" t="s">
        <v>196</v>
      </c>
      <c r="C358" s="87"/>
      <c r="D358" s="107"/>
      <c r="E358" s="96">
        <f>IF(MONTH(K349)=MONTH(K350),((YEAR(K350)-YEAR(K349))*12)-12+(12-MONTH(K349))+MONTH(K350)-1+(EOMONTH(K349,0)-K349+1)/DAY(EOMONTH(K349,0))+(1-(EOMONTH(K350,0)-K350)/DAY(EOMONTH(K350,0))),((YEAR(K350)-YEAR(K349))*12)-12+(12-MONTH(K349))+MONTH(K350)-1+(EOMONTH(K349,0)-K349+1)/DAY(EOMONTH(K349,0))+(1-(EOMONTH(K350,0)-K350)/DAY(EOMONTH(K350,0))))</f>
        <v>3.2258064516129004E-2</v>
      </c>
      <c r="F358" s="96">
        <f>ROUND(IF(AND(K349&lt;&gt;"",K350&lt;&gt;""),IF(E358&lt;=1,1,E358),0),2)</f>
        <v>0</v>
      </c>
      <c r="G358" s="103" t="s">
        <v>65</v>
      </c>
      <c r="H358" s="206"/>
      <c r="I358" s="2"/>
      <c r="J358" s="2"/>
      <c r="K358" s="206"/>
      <c r="L358" s="2"/>
      <c r="M358" s="2"/>
      <c r="N358" s="206"/>
      <c r="O358" s="2"/>
      <c r="P358" s="2"/>
      <c r="Q358" s="206"/>
      <c r="R358" s="2"/>
      <c r="S358" s="2"/>
      <c r="T358" s="206"/>
      <c r="U358" s="2"/>
      <c r="V358" s="2"/>
      <c r="W358" s="206"/>
      <c r="X358" s="2"/>
      <c r="Y358" s="15"/>
      <c r="AA358" s="2"/>
    </row>
    <row r="359" spans="2:27" ht="13.25" hidden="1" customHeight="1" x14ac:dyDescent="0.2">
      <c r="B359" s="89"/>
      <c r="C359" s="87"/>
      <c r="D359" s="17"/>
      <c r="E359" s="96" t="s">
        <v>199</v>
      </c>
      <c r="F359" s="96" t="s">
        <v>199</v>
      </c>
      <c r="G359" s="24"/>
      <c r="H359" s="27"/>
      <c r="I359" s="2"/>
      <c r="J359" s="24"/>
      <c r="K359" s="27"/>
      <c r="L359" s="2"/>
      <c r="M359" s="24"/>
      <c r="N359" s="27"/>
      <c r="O359" s="2"/>
      <c r="P359" s="24"/>
      <c r="Q359" s="27"/>
      <c r="R359" s="2"/>
      <c r="S359" s="24"/>
      <c r="T359" s="27"/>
      <c r="U359" s="2"/>
      <c r="V359" s="24"/>
      <c r="W359" s="27"/>
      <c r="X359" s="2"/>
      <c r="Y359" s="15"/>
      <c r="AA359" s="2"/>
    </row>
    <row r="360" spans="2:27" ht="21" hidden="1" customHeight="1" x14ac:dyDescent="0.2">
      <c r="B360" s="89" t="s">
        <v>3</v>
      </c>
      <c r="C360" s="87"/>
      <c r="D360" s="17"/>
      <c r="E360" s="96"/>
      <c r="F360" s="96"/>
      <c r="G360" s="24"/>
      <c r="H360" s="222">
        <f>IFERROR(SUM(H354:H358)-H353+H352,0)</f>
        <v>0</v>
      </c>
      <c r="I360" s="2"/>
      <c r="J360" s="24"/>
      <c r="K360" s="222">
        <f>IFERROR(SUM(K354:K358)-K353+K352,0)</f>
        <v>0</v>
      </c>
      <c r="L360" s="2"/>
      <c r="M360" s="24"/>
      <c r="N360" s="222">
        <f>IFERROR(SUM(N354:N358)-N353+N352,0)</f>
        <v>0</v>
      </c>
      <c r="O360" s="2"/>
      <c r="P360" s="24"/>
      <c r="Q360" s="222">
        <f>IFERROR(SUM(Q354:Q358)-Q353+Q352,0)</f>
        <v>0</v>
      </c>
      <c r="R360" s="2"/>
      <c r="S360" s="24"/>
      <c r="T360" s="222">
        <f>IFERROR(SUM(T354:T358)-T353+T352,0)</f>
        <v>0</v>
      </c>
      <c r="U360" s="2"/>
      <c r="V360" s="24"/>
      <c r="W360" s="222">
        <f>IFERROR(SUM(W354:W358)-W353+W352,0)</f>
        <v>0</v>
      </c>
      <c r="X360" s="2"/>
      <c r="Y360" s="15"/>
      <c r="AA360" s="2"/>
    </row>
    <row r="361" spans="2:27" ht="21" hidden="1" customHeight="1" x14ac:dyDescent="0.2">
      <c r="B361" s="89" t="s">
        <v>213</v>
      </c>
      <c r="C361" s="87"/>
      <c r="D361" s="17"/>
      <c r="E361" s="96"/>
      <c r="F361" s="96"/>
      <c r="G361" s="24"/>
      <c r="H361" s="54"/>
      <c r="I361" s="2"/>
      <c r="J361" s="24"/>
      <c r="K361" s="54"/>
      <c r="L361" s="2"/>
      <c r="M361" s="24"/>
      <c r="N361" s="54"/>
      <c r="O361" s="2"/>
      <c r="P361" s="24"/>
      <c r="Q361" s="54"/>
      <c r="R361" s="2"/>
      <c r="S361" s="24"/>
      <c r="T361" s="54"/>
      <c r="U361" s="2"/>
      <c r="V361" s="24"/>
      <c r="W361" s="54"/>
      <c r="X361" s="2"/>
      <c r="Y361" s="15"/>
      <c r="AA361" s="2"/>
    </row>
    <row r="362" spans="2:27" ht="21" hidden="1" customHeight="1" x14ac:dyDescent="0.2">
      <c r="B362" s="89" t="s">
        <v>215</v>
      </c>
      <c r="C362" s="87"/>
      <c r="D362" s="17"/>
      <c r="E362" s="96"/>
      <c r="F362" s="96"/>
      <c r="G362" s="24"/>
      <c r="H362" s="210">
        <f>ROUND(IFERROR(H360*H361,0),2)</f>
        <v>0</v>
      </c>
      <c r="I362" s="2"/>
      <c r="J362" s="24"/>
      <c r="K362" s="210">
        <f>ROUND(IFERROR(K360*K361,0),2)</f>
        <v>0</v>
      </c>
      <c r="L362" s="2"/>
      <c r="M362" s="24"/>
      <c r="N362" s="210">
        <f>ROUND(IFERROR(N360*N361,0),2)</f>
        <v>0</v>
      </c>
      <c r="O362" s="2"/>
      <c r="P362" s="24"/>
      <c r="Q362" s="210">
        <f>ROUND(IFERROR(Q360*Q361,0),2)</f>
        <v>0</v>
      </c>
      <c r="R362" s="2"/>
      <c r="S362" s="24"/>
      <c r="T362" s="210">
        <f>ROUND(IFERROR(T360*T361,0),2)</f>
        <v>0</v>
      </c>
      <c r="U362" s="2"/>
      <c r="V362" s="24"/>
      <c r="W362" s="210">
        <f>ROUND(IFERROR(W360*W361,0),2)</f>
        <v>0</v>
      </c>
      <c r="X362" s="2"/>
      <c r="Y362" s="15"/>
      <c r="AA362" s="2"/>
    </row>
    <row r="363" spans="2:27" ht="10.25" hidden="1" customHeight="1" x14ac:dyDescent="0.2">
      <c r="B363" s="89"/>
      <c r="C363" s="87"/>
      <c r="D363" s="17"/>
      <c r="E363" s="96"/>
      <c r="F363" s="96"/>
      <c r="G363" s="24"/>
      <c r="H363" s="27"/>
      <c r="I363" s="2"/>
      <c r="J363" s="24"/>
      <c r="K363" s="27"/>
      <c r="L363" s="2"/>
      <c r="M363" s="24"/>
      <c r="N363" s="27"/>
      <c r="O363" s="2"/>
      <c r="P363" s="24"/>
      <c r="Q363" s="27"/>
      <c r="R363" s="2"/>
      <c r="S363" s="24"/>
      <c r="T363" s="27"/>
      <c r="U363" s="2"/>
      <c r="V363" s="24"/>
      <c r="W363" s="27"/>
      <c r="X363" s="2"/>
      <c r="Y363" s="15"/>
      <c r="AA363" s="2"/>
    </row>
    <row r="364" spans="2:27" ht="21" hidden="1" customHeight="1" x14ac:dyDescent="0.2">
      <c r="B364" s="89" t="s">
        <v>204</v>
      </c>
      <c r="C364" s="87"/>
      <c r="D364" s="17"/>
      <c r="E364" s="96"/>
      <c r="F364" s="96"/>
      <c r="G364" s="24"/>
      <c r="H364" s="208"/>
      <c r="I364" s="2"/>
      <c r="J364" s="24"/>
      <c r="K364" s="208"/>
      <c r="L364" s="2"/>
      <c r="M364" s="24"/>
      <c r="N364" s="208"/>
      <c r="O364" s="2"/>
      <c r="P364" s="24"/>
      <c r="Q364" s="208"/>
      <c r="R364" s="2"/>
      <c r="S364" s="24"/>
      <c r="T364" s="208"/>
      <c r="U364" s="2"/>
      <c r="V364" s="24"/>
      <c r="W364" s="208"/>
      <c r="X364" s="2"/>
      <c r="Y364" s="15"/>
      <c r="AA364" s="2"/>
    </row>
    <row r="365" spans="2:27" ht="6.5" hidden="1" customHeight="1" x14ac:dyDescent="0.2">
      <c r="B365" s="89"/>
      <c r="C365" s="87"/>
      <c r="D365" s="17"/>
      <c r="E365" s="96"/>
      <c r="F365" s="96"/>
      <c r="G365" s="24"/>
      <c r="H365" s="27"/>
      <c r="I365" s="2"/>
      <c r="J365" s="24"/>
      <c r="K365" s="27"/>
      <c r="L365" s="2"/>
      <c r="M365" s="24"/>
      <c r="N365" s="27"/>
      <c r="O365" s="2"/>
      <c r="P365" s="24"/>
      <c r="Q365" s="27"/>
      <c r="R365" s="2"/>
      <c r="S365" s="24"/>
      <c r="T365" s="27"/>
      <c r="U365" s="2"/>
      <c r="V365" s="24"/>
      <c r="W365" s="27"/>
      <c r="X365" s="2"/>
      <c r="Y365" s="15"/>
      <c r="AA365" s="2"/>
    </row>
    <row r="366" spans="2:27" ht="21" hidden="1" customHeight="1" x14ac:dyDescent="0.2">
      <c r="B366" s="90"/>
      <c r="C366" s="88"/>
      <c r="D366" s="99" t="s">
        <v>209</v>
      </c>
      <c r="E366" s="96" t="s">
        <v>199</v>
      </c>
      <c r="F366" s="96" t="s">
        <v>199</v>
      </c>
      <c r="G366" s="80"/>
      <c r="H366" s="210">
        <f>IFERROR(H362+H364,0)</f>
        <v>0</v>
      </c>
      <c r="I366" s="2"/>
      <c r="J366" s="80"/>
      <c r="K366" s="210">
        <f>IFERROR(K362+K364,0)</f>
        <v>0</v>
      </c>
      <c r="L366" s="2"/>
      <c r="M366" s="80"/>
      <c r="N366" s="210">
        <f>IFERROR(N362+N364,0)</f>
        <v>0</v>
      </c>
      <c r="O366" s="2"/>
      <c r="P366" s="80"/>
      <c r="Q366" s="210">
        <f>IFERROR(Q362+Q364,0)</f>
        <v>0</v>
      </c>
      <c r="R366" s="2"/>
      <c r="S366" s="80"/>
      <c r="T366" s="210">
        <f>IFERROR(T362+T364,0)</f>
        <v>0</v>
      </c>
      <c r="U366" s="2"/>
      <c r="V366" s="80"/>
      <c r="W366" s="210">
        <f>IFERROR(W362+W364,0)</f>
        <v>0</v>
      </c>
      <c r="X366" s="2"/>
      <c r="Y366" s="15"/>
      <c r="AA366" s="2"/>
    </row>
    <row r="367" spans="2:27" ht="21" hidden="1" customHeight="1" x14ac:dyDescent="0.2">
      <c r="B367" s="90"/>
      <c r="C367" s="88"/>
      <c r="D367" s="93" t="s">
        <v>210</v>
      </c>
      <c r="E367" s="96">
        <f>IF(MONTH(H349)=MONTH(H350),((YEAR(H350)-YEAR(H349))*12)-12+(12-MONTH(H349))+MONTH(H350)-1+(EOMONTH(H349,0)-H349+1)/DAY(EOMONTH(H349,0))+(1-(EOMONTH(H350,0)-H350)/DAY(EOMONTH(H350,0))),((YEAR(H350)-YEAR(H349))*12)-12+(12-MONTH(H349))+MONTH(H350)-1+(EOMONTH(H349,0)-H349+1)/DAY(EOMONTH(H349,0))+(1-(EOMONTH(H350,0)-H350)/DAY(EOMONTH(H350,0))))</f>
        <v>3.2258064516129004E-2</v>
      </c>
      <c r="F367" s="96">
        <f>ROUND(IF(AND(H349&lt;&gt;"",H350&lt;&gt;""),IF(E367&lt;=1,1,E367),0),2)</f>
        <v>0</v>
      </c>
      <c r="G367" s="17"/>
      <c r="H367" s="210">
        <f>ROUND(IFERROR(H366/F367,0),2)</f>
        <v>0</v>
      </c>
      <c r="I367" s="2"/>
      <c r="J367" s="17"/>
      <c r="K367" s="210">
        <f>ROUND(IFERROR(K366/F358,0),2)</f>
        <v>0</v>
      </c>
      <c r="L367" s="2"/>
      <c r="M367" s="17"/>
      <c r="N367" s="210">
        <f>ROUND(IFERROR(N366/F357,0),2)</f>
        <v>0</v>
      </c>
      <c r="O367" s="2"/>
      <c r="P367" s="17"/>
      <c r="Q367" s="210">
        <f>ROUND(IFERROR(Q366/F356,0),2)</f>
        <v>0</v>
      </c>
      <c r="R367" s="2"/>
      <c r="S367" s="17"/>
      <c r="T367" s="210">
        <f>ROUND(IFERROR(T366/F355,0),2)</f>
        <v>0</v>
      </c>
      <c r="U367" s="2"/>
      <c r="V367" s="17"/>
      <c r="W367" s="210">
        <f>ROUND(IFERROR(W366/F354,0),2)</f>
        <v>0</v>
      </c>
      <c r="X367" s="2"/>
      <c r="Y367" s="15"/>
      <c r="AA367" s="2"/>
    </row>
    <row r="368" spans="2:27" ht="8.25" hidden="1" customHeight="1" thickBot="1" x14ac:dyDescent="0.25">
      <c r="B368" s="18"/>
      <c r="C368" s="19"/>
      <c r="D368" s="19"/>
      <c r="E368" s="19"/>
      <c r="F368" s="19"/>
      <c r="G368" s="19"/>
      <c r="H368" s="19"/>
      <c r="I368" s="19"/>
      <c r="J368" s="19"/>
      <c r="K368" s="19"/>
      <c r="L368" s="19"/>
      <c r="M368" s="19"/>
      <c r="N368" s="19"/>
      <c r="O368" s="19"/>
      <c r="P368" s="19"/>
      <c r="Q368" s="19"/>
      <c r="R368" s="19"/>
      <c r="S368" s="19"/>
      <c r="T368" s="19"/>
      <c r="U368" s="19"/>
      <c r="V368" s="19"/>
      <c r="W368" s="19"/>
      <c r="X368" s="19"/>
      <c r="Y368" s="20"/>
      <c r="AA368" s="2"/>
    </row>
    <row r="369" spans="1:27" ht="14" customHeight="1" thickBot="1" x14ac:dyDescent="0.25">
      <c r="B369" s="3"/>
      <c r="E369" s="21"/>
      <c r="F369" s="21"/>
      <c r="I369" s="21"/>
      <c r="J369" s="21"/>
      <c r="K369" s="21"/>
      <c r="L369" s="21"/>
      <c r="M369" s="21"/>
      <c r="N369" s="21"/>
      <c r="O369" s="21"/>
      <c r="P369" s="21"/>
      <c r="Q369" s="21"/>
      <c r="R369" s="21"/>
      <c r="S369" s="21"/>
      <c r="T369" s="21"/>
      <c r="U369" s="21"/>
      <c r="V369" s="21"/>
      <c r="W369" s="21"/>
      <c r="X369" s="21"/>
    </row>
    <row r="370" spans="1:27" ht="21" customHeight="1" thickBot="1" x14ac:dyDescent="0.25">
      <c r="A370" s="2"/>
      <c r="B370" s="7" t="s">
        <v>2</v>
      </c>
      <c r="C370" s="86" t="s">
        <v>214</v>
      </c>
      <c r="D370" s="32"/>
      <c r="E370" s="32"/>
      <c r="F370" s="32"/>
      <c r="G370" s="295" t="str">
        <f>IF(OR(SAM!E458=0,SAM!E458=""),"",SAM!E458)</f>
        <v/>
      </c>
      <c r="H370" s="295"/>
      <c r="I370" s="295"/>
      <c r="J370" s="295"/>
      <c r="K370" s="295"/>
      <c r="L370" s="295"/>
      <c r="M370" s="9"/>
      <c r="N370" s="9"/>
      <c r="O370" s="9"/>
      <c r="P370" s="9"/>
      <c r="Q370" s="9"/>
      <c r="R370" s="9"/>
      <c r="S370" s="9"/>
      <c r="T370" s="9"/>
      <c r="U370" s="9"/>
      <c r="V370" s="9"/>
      <c r="W370" s="9"/>
      <c r="X370" s="9"/>
      <c r="Y370" s="11"/>
      <c r="AA370" s="2"/>
    </row>
    <row r="371" spans="1:27" ht="6.75" hidden="1" customHeight="1" x14ac:dyDescent="0.2">
      <c r="B371" s="22"/>
      <c r="C371" s="21"/>
      <c r="D371" s="21"/>
      <c r="E371" s="21"/>
      <c r="F371" s="21"/>
      <c r="G371" s="21"/>
      <c r="H371" s="21"/>
      <c r="I371" s="21"/>
      <c r="J371" s="21"/>
      <c r="K371" s="21"/>
      <c r="L371" s="21"/>
      <c r="M371" s="21"/>
      <c r="N371" s="21"/>
      <c r="O371" s="21"/>
      <c r="P371" s="21"/>
      <c r="Q371" s="21"/>
      <c r="R371" s="21"/>
      <c r="S371" s="21"/>
      <c r="T371" s="21"/>
      <c r="U371" s="21"/>
      <c r="V371" s="21"/>
      <c r="W371" s="21"/>
      <c r="X371" s="21"/>
      <c r="Y371" s="23"/>
      <c r="AA371" s="2"/>
    </row>
    <row r="372" spans="1:27" ht="21" hidden="1" customHeight="1" x14ac:dyDescent="0.2">
      <c r="B372" s="14"/>
      <c r="D372" s="93" t="s">
        <v>230</v>
      </c>
      <c r="G372" s="104" t="s">
        <v>65</v>
      </c>
      <c r="H372" s="106"/>
      <c r="I372" s="104" t="s">
        <v>65</v>
      </c>
      <c r="J372" s="104" t="s">
        <v>65</v>
      </c>
      <c r="K372" s="106"/>
      <c r="L372" s="104" t="s">
        <v>65</v>
      </c>
      <c r="M372" s="104" t="s">
        <v>65</v>
      </c>
      <c r="N372" s="106"/>
      <c r="O372" s="104" t="s">
        <v>65</v>
      </c>
      <c r="P372" s="104" t="s">
        <v>65</v>
      </c>
      <c r="Q372" s="106"/>
      <c r="R372" s="104" t="s">
        <v>65</v>
      </c>
      <c r="S372" s="104" t="s">
        <v>65</v>
      </c>
      <c r="T372" s="106"/>
      <c r="U372" s="104" t="s">
        <v>65</v>
      </c>
      <c r="V372" s="104" t="s">
        <v>65</v>
      </c>
      <c r="W372" s="106"/>
      <c r="X372" s="104" t="s">
        <v>65</v>
      </c>
      <c r="Y372" s="15"/>
      <c r="AA372" s="2"/>
    </row>
    <row r="373" spans="1:27" ht="6.75" hidden="1" customHeight="1" x14ac:dyDescent="0.2">
      <c r="B373" s="14"/>
      <c r="H373" s="96"/>
      <c r="K373" s="96"/>
      <c r="N373" s="96"/>
      <c r="Q373" s="96"/>
      <c r="T373" s="96"/>
      <c r="W373" s="96"/>
      <c r="Y373" s="15"/>
      <c r="AA373" s="2"/>
    </row>
    <row r="374" spans="1:27" ht="21" hidden="1" customHeight="1" x14ac:dyDescent="0.2">
      <c r="B374" s="14"/>
      <c r="D374" s="93" t="s">
        <v>198</v>
      </c>
      <c r="E374" s="96" t="s">
        <v>199</v>
      </c>
      <c r="F374" s="96" t="s">
        <v>199</v>
      </c>
      <c r="G374" s="94"/>
      <c r="H374" s="91"/>
      <c r="J374" s="94"/>
      <c r="K374" s="91"/>
      <c r="M374" s="94"/>
      <c r="N374" s="91"/>
      <c r="P374" s="94"/>
      <c r="Q374" s="91"/>
      <c r="S374" s="94"/>
      <c r="T374" s="91"/>
      <c r="V374" s="94"/>
      <c r="W374" s="91"/>
      <c r="Y374" s="15"/>
      <c r="AA374" s="2"/>
    </row>
    <row r="375" spans="1:27" ht="21" hidden="1" customHeight="1" x14ac:dyDescent="0.2">
      <c r="B375" s="14"/>
      <c r="D375" s="93" t="s">
        <v>208</v>
      </c>
      <c r="E375" s="96" t="s">
        <v>199</v>
      </c>
      <c r="F375" s="96" t="s">
        <v>199</v>
      </c>
      <c r="G375" s="94"/>
      <c r="H375" s="92"/>
      <c r="J375" s="94"/>
      <c r="K375" s="92"/>
      <c r="M375" s="94"/>
      <c r="N375" s="92"/>
      <c r="P375" s="94"/>
      <c r="Q375" s="92"/>
      <c r="S375" s="94"/>
      <c r="T375" s="92"/>
      <c r="V375" s="94"/>
      <c r="W375" s="92"/>
      <c r="Y375" s="15"/>
      <c r="AA375" s="2"/>
    </row>
    <row r="376" spans="1:27" ht="6.75" hidden="1" customHeight="1" x14ac:dyDescent="0.2">
      <c r="B376" s="14"/>
      <c r="E376" s="96" t="s">
        <v>199</v>
      </c>
      <c r="F376" s="96" t="s">
        <v>199</v>
      </c>
      <c r="Y376" s="15"/>
      <c r="AA376" s="2"/>
    </row>
    <row r="377" spans="1:27" ht="21" hidden="1" customHeight="1" x14ac:dyDescent="0.2">
      <c r="B377" s="89" t="s">
        <v>202</v>
      </c>
      <c r="C377" s="87"/>
      <c r="D377" s="17"/>
      <c r="E377" s="96" t="s">
        <v>199</v>
      </c>
      <c r="F377" s="96" t="s">
        <v>199</v>
      </c>
      <c r="G377" s="17"/>
      <c r="H377" s="203"/>
      <c r="I377" s="2"/>
      <c r="J377" s="17"/>
      <c r="K377" s="203"/>
      <c r="L377" s="2"/>
      <c r="M377" s="17"/>
      <c r="N377" s="203"/>
      <c r="O377" s="2"/>
      <c r="P377" s="17"/>
      <c r="Q377" s="203"/>
      <c r="R377" s="2"/>
      <c r="S377" s="17"/>
      <c r="T377" s="203"/>
      <c r="U377" s="2"/>
      <c r="V377" s="17"/>
      <c r="W377" s="203"/>
      <c r="X377" s="2"/>
      <c r="Y377" s="15"/>
      <c r="AA377" s="2"/>
    </row>
    <row r="378" spans="1:27" ht="21" hidden="1" customHeight="1" x14ac:dyDescent="0.2">
      <c r="B378" s="89" t="s">
        <v>192</v>
      </c>
      <c r="C378" s="87"/>
      <c r="D378" s="17"/>
      <c r="E378" s="96" t="s">
        <v>199</v>
      </c>
      <c r="F378" s="96" t="s">
        <v>199</v>
      </c>
      <c r="G378" s="24" t="s">
        <v>9</v>
      </c>
      <c r="H378" s="209"/>
      <c r="I378" s="25" t="s">
        <v>10</v>
      </c>
      <c r="J378" s="24" t="s">
        <v>9</v>
      </c>
      <c r="K378" s="209"/>
      <c r="L378" s="25" t="s">
        <v>10</v>
      </c>
      <c r="M378" s="24" t="s">
        <v>9</v>
      </c>
      <c r="N378" s="209"/>
      <c r="O378" s="25" t="s">
        <v>10</v>
      </c>
      <c r="P378" s="24" t="s">
        <v>9</v>
      </c>
      <c r="Q378" s="209"/>
      <c r="R378" s="25" t="s">
        <v>10</v>
      </c>
      <c r="S378" s="24" t="s">
        <v>9</v>
      </c>
      <c r="T378" s="209"/>
      <c r="U378" s="25" t="s">
        <v>10</v>
      </c>
      <c r="V378" s="24" t="s">
        <v>9</v>
      </c>
      <c r="W378" s="209"/>
      <c r="X378" s="25" t="s">
        <v>10</v>
      </c>
      <c r="Y378" s="15"/>
      <c r="AA378" s="2"/>
    </row>
    <row r="379" spans="1:27" ht="21" hidden="1" customHeight="1" x14ac:dyDescent="0.2">
      <c r="B379" s="89" t="s">
        <v>193</v>
      </c>
      <c r="C379" s="87"/>
      <c r="D379" s="17"/>
      <c r="E379" s="96">
        <f>IF(MONTH(W374)=MONTH(W375),((YEAR(W375)-YEAR(W374))*12)-12+(12-MONTH(W374))+MONTH(W375)-1+(EOMONTH(W374,0)-W374+1)/DAY(EOMONTH(W374,0))+(1-(EOMONTH(W375,0)-W375)/DAY(EOMONTH(W375,0))),((YEAR(W375)-YEAR(W374))*12)-12+(12-MONTH(W374))+MONTH(W375)-1+(EOMONTH(W374,0)-W374+1)/DAY(EOMONTH(W374,0))+(1-(EOMONTH(W375,0)-W375)/DAY(EOMONTH(W375,0))))</f>
        <v>3.2258064516129004E-2</v>
      </c>
      <c r="F379" s="96">
        <f>ROUND(IF(AND(W374&lt;&gt;"",W375&lt;&gt;""),IF(E379&lt;=1,1,E379),0),2)</f>
        <v>0</v>
      </c>
      <c r="G379" s="17"/>
      <c r="H379" s="204"/>
      <c r="I379" s="2"/>
      <c r="J379" s="17"/>
      <c r="K379" s="204"/>
      <c r="L379" s="2"/>
      <c r="M379" s="17"/>
      <c r="N379" s="204"/>
      <c r="O379" s="2"/>
      <c r="P379" s="17"/>
      <c r="Q379" s="204"/>
      <c r="R379" s="2"/>
      <c r="S379" s="17"/>
      <c r="T379" s="204"/>
      <c r="U379" s="2"/>
      <c r="V379" s="17"/>
      <c r="W379" s="204"/>
      <c r="X379" s="2"/>
      <c r="Y379" s="15"/>
      <c r="AA379" s="2"/>
    </row>
    <row r="380" spans="1:27" ht="21" hidden="1" customHeight="1" x14ac:dyDescent="0.2">
      <c r="B380" s="89" t="s">
        <v>197</v>
      </c>
      <c r="C380" s="87"/>
      <c r="D380" s="17"/>
      <c r="E380" s="96">
        <f>IF(MONTH(T374)=MONTH(T375),((YEAR(T375)-YEAR(T374))*12)-12+(12-MONTH(T374))+MONTH(T375)-1+(EOMONTH(T374,0)-T374+1)/DAY(EOMONTH(T374,0))+(1-(EOMONTH(T375,0)-T375)/DAY(EOMONTH(T375,0))),((YEAR(T375)-YEAR(T374))*12)-12+(12-MONTH(T374))+MONTH(T375)-1+(EOMONTH(T374,0)-T374+1)/DAY(EOMONTH(T374,0))+(1-(EOMONTH(T375,0)-T375)/DAY(EOMONTH(T375,0))))</f>
        <v>3.2258064516129004E-2</v>
      </c>
      <c r="F380" s="96">
        <f>ROUND(IF(AND(T374&lt;&gt;"",T375&lt;&gt;""),IF(E380&lt;=1,1,E380),0),2)</f>
        <v>0</v>
      </c>
      <c r="G380" s="17"/>
      <c r="H380" s="204"/>
      <c r="I380" s="2"/>
      <c r="J380" s="17"/>
      <c r="K380" s="204"/>
      <c r="L380" s="2"/>
      <c r="M380" s="17"/>
      <c r="N380" s="204"/>
      <c r="O380" s="2"/>
      <c r="P380" s="17"/>
      <c r="Q380" s="204"/>
      <c r="R380" s="2"/>
      <c r="S380" s="17"/>
      <c r="T380" s="204"/>
      <c r="U380" s="2"/>
      <c r="V380" s="17"/>
      <c r="W380" s="204"/>
      <c r="X380" s="2"/>
      <c r="Y380" s="15"/>
      <c r="AA380" s="2"/>
    </row>
    <row r="381" spans="1:27" ht="21" hidden="1" customHeight="1" x14ac:dyDescent="0.2">
      <c r="B381" s="89" t="s">
        <v>194</v>
      </c>
      <c r="C381" s="87"/>
      <c r="D381" s="17"/>
      <c r="E381" s="105">
        <f>IF(MONTH(Q374)=MONTH(Q375),((YEAR(Q375)-YEAR(Q374))*12)-12+(12-MONTH(Q374))+MONTH(Q375)-1+(EOMONTH(Q374,0)-Q374+1)/DAY(EOMONTH(Q374,0))+(1-(EOMONTH(Q375,0)-Q375)/DAY(EOMONTH(Q375,0))),((YEAR(Q375)-YEAR(Q374))*12)-12+(12-MONTH(Q374))+MONTH(Q375)-1+(EOMONTH(Q374,0)-Q374+1)/DAY(EOMONTH(Q374,0))+(1-(EOMONTH(Q375,0)-Q375)/DAY(EOMONTH(Q375,0))))</f>
        <v>3.2258064516129004E-2</v>
      </c>
      <c r="F381" s="105">
        <f>ROUND(IF(AND(Q374&lt;&gt;"",Q375&lt;&gt;""),IF(E381&lt;=1,1,E381),0),2)</f>
        <v>0</v>
      </c>
      <c r="G381" s="17"/>
      <c r="H381" s="204"/>
      <c r="I381" s="2"/>
      <c r="J381" s="17"/>
      <c r="K381" s="204"/>
      <c r="L381" s="2"/>
      <c r="M381" s="17"/>
      <c r="N381" s="204"/>
      <c r="O381" s="2"/>
      <c r="P381" s="17"/>
      <c r="Q381" s="204"/>
      <c r="R381" s="2"/>
      <c r="S381" s="17"/>
      <c r="T381" s="204"/>
      <c r="U381" s="2"/>
      <c r="V381" s="17"/>
      <c r="W381" s="204"/>
      <c r="X381" s="2"/>
      <c r="Y381" s="15"/>
      <c r="AA381" s="2"/>
    </row>
    <row r="382" spans="1:27" ht="21" hidden="1" customHeight="1" x14ac:dyDescent="0.2">
      <c r="B382" s="89" t="s">
        <v>195</v>
      </c>
      <c r="C382" s="87"/>
      <c r="D382" s="17"/>
      <c r="E382" s="96">
        <f>IF(MONTH(N374)=MONTH(N375),((YEAR(N375)-YEAR(N374))*12)-12+(12-MONTH(N374))+MONTH(N375)-1+(EOMONTH(N374,0)-N374+1)/DAY(EOMONTH(N374,0))+(1-(EOMONTH(N375,0)-N375)/DAY(EOMONTH(N375,0))),((YEAR(N375)-YEAR(N374))*12)-12+(12-MONTH(N374))+MONTH(N375)-1+(EOMONTH(N374,0)-N374+1)/DAY(EOMONTH(N374,0))+(1-(EOMONTH(N375,0)-N375)/DAY(EOMONTH(N375,0))))</f>
        <v>3.2258064516129004E-2</v>
      </c>
      <c r="F382" s="96">
        <f>ROUND(IF(AND(N374&lt;&gt;"",N375&lt;&gt;""),IF(E382&lt;=1,1,E382),0),2)</f>
        <v>0</v>
      </c>
      <c r="G382" s="17"/>
      <c r="H382" s="204"/>
      <c r="I382" s="2"/>
      <c r="J382" s="17"/>
      <c r="K382" s="204"/>
      <c r="L382" s="2"/>
      <c r="M382" s="17"/>
      <c r="N382" s="204"/>
      <c r="O382" s="2"/>
      <c r="P382" s="17"/>
      <c r="Q382" s="204"/>
      <c r="R382" s="2"/>
      <c r="S382" s="17"/>
      <c r="T382" s="204"/>
      <c r="U382" s="2"/>
      <c r="V382" s="17"/>
      <c r="W382" s="204"/>
      <c r="X382" s="2"/>
      <c r="Y382" s="15"/>
      <c r="AA382" s="2"/>
    </row>
    <row r="383" spans="1:27" ht="21" hidden="1" customHeight="1" x14ac:dyDescent="0.2">
      <c r="B383" s="89" t="s">
        <v>196</v>
      </c>
      <c r="C383" s="87"/>
      <c r="D383" s="107"/>
      <c r="E383" s="96">
        <f>IF(MONTH(K374)=MONTH(K375),((YEAR(K375)-YEAR(K374))*12)-12+(12-MONTH(K374))+MONTH(K375)-1+(EOMONTH(K374,0)-K374+1)/DAY(EOMONTH(K374,0))+(1-(EOMONTH(K375,0)-K375)/DAY(EOMONTH(K375,0))),((YEAR(K375)-YEAR(K374))*12)-12+(12-MONTH(K374))+MONTH(K375)-1+(EOMONTH(K374,0)-K374+1)/DAY(EOMONTH(K374,0))+(1-(EOMONTH(K375,0)-K375)/DAY(EOMONTH(K375,0))))</f>
        <v>3.2258064516129004E-2</v>
      </c>
      <c r="F383" s="96">
        <f>ROUND(IF(AND(K374&lt;&gt;"",K375&lt;&gt;""),IF(E383&lt;=1,1,E383),0),2)</f>
        <v>0</v>
      </c>
      <c r="G383" s="103" t="s">
        <v>65</v>
      </c>
      <c r="H383" s="206"/>
      <c r="I383" s="2"/>
      <c r="J383" s="2"/>
      <c r="K383" s="206"/>
      <c r="L383" s="2"/>
      <c r="M383" s="2"/>
      <c r="N383" s="206"/>
      <c r="O383" s="2"/>
      <c r="P383" s="2"/>
      <c r="Q383" s="206"/>
      <c r="R383" s="2"/>
      <c r="S383" s="2"/>
      <c r="T383" s="206"/>
      <c r="U383" s="2"/>
      <c r="V383" s="2"/>
      <c r="W383" s="206"/>
      <c r="X383" s="2"/>
      <c r="Y383" s="15"/>
      <c r="AA383" s="2"/>
    </row>
    <row r="384" spans="1:27" ht="13.25" hidden="1" customHeight="1" x14ac:dyDescent="0.2">
      <c r="B384" s="89"/>
      <c r="C384" s="87"/>
      <c r="D384" s="17"/>
      <c r="E384" s="96" t="s">
        <v>199</v>
      </c>
      <c r="F384" s="96" t="s">
        <v>199</v>
      </c>
      <c r="G384" s="24"/>
      <c r="H384" s="27"/>
      <c r="I384" s="2"/>
      <c r="J384" s="24"/>
      <c r="K384" s="27"/>
      <c r="L384" s="2"/>
      <c r="M384" s="24"/>
      <c r="N384" s="27"/>
      <c r="O384" s="2"/>
      <c r="P384" s="24"/>
      <c r="Q384" s="27"/>
      <c r="R384" s="2"/>
      <c r="S384" s="24"/>
      <c r="T384" s="27"/>
      <c r="U384" s="2"/>
      <c r="V384" s="24"/>
      <c r="W384" s="27"/>
      <c r="X384" s="2"/>
      <c r="Y384" s="15"/>
      <c r="AA384" s="2"/>
    </row>
    <row r="385" spans="1:27" ht="21" hidden="1" customHeight="1" x14ac:dyDescent="0.2">
      <c r="B385" s="89" t="s">
        <v>3</v>
      </c>
      <c r="C385" s="87"/>
      <c r="D385" s="17"/>
      <c r="E385" s="96"/>
      <c r="F385" s="96"/>
      <c r="G385" s="24"/>
      <c r="H385" s="222">
        <f>IFERROR(SUM(H379:H383)-H378+H377,0)</f>
        <v>0</v>
      </c>
      <c r="I385" s="2"/>
      <c r="J385" s="24"/>
      <c r="K385" s="222">
        <f>IFERROR(SUM(K379:K383)-K378+K377,0)</f>
        <v>0</v>
      </c>
      <c r="L385" s="2"/>
      <c r="M385" s="24"/>
      <c r="N385" s="222">
        <f>IFERROR(SUM(N379:N383)-N378+N377,0)</f>
        <v>0</v>
      </c>
      <c r="O385" s="2"/>
      <c r="P385" s="24"/>
      <c r="Q385" s="222">
        <f>IFERROR(SUM(Q379:Q383)-Q378+Q377,0)</f>
        <v>0</v>
      </c>
      <c r="R385" s="2"/>
      <c r="S385" s="24"/>
      <c r="T385" s="222">
        <f>IFERROR(SUM(T379:T383)-T378+T377,0)</f>
        <v>0</v>
      </c>
      <c r="U385" s="2"/>
      <c r="V385" s="24"/>
      <c r="W385" s="222">
        <f>IFERROR(SUM(W379:W383)-W378+W377,0)</f>
        <v>0</v>
      </c>
      <c r="X385" s="2"/>
      <c r="Y385" s="15"/>
      <c r="AA385" s="2"/>
    </row>
    <row r="386" spans="1:27" ht="21" hidden="1" customHeight="1" x14ac:dyDescent="0.2">
      <c r="B386" s="89" t="s">
        <v>213</v>
      </c>
      <c r="C386" s="87"/>
      <c r="D386" s="17"/>
      <c r="E386" s="96"/>
      <c r="F386" s="96"/>
      <c r="G386" s="24"/>
      <c r="H386" s="54"/>
      <c r="I386" s="2"/>
      <c r="J386" s="24"/>
      <c r="K386" s="54"/>
      <c r="L386" s="2"/>
      <c r="M386" s="24"/>
      <c r="N386" s="54"/>
      <c r="O386" s="2"/>
      <c r="P386" s="24"/>
      <c r="Q386" s="54"/>
      <c r="R386" s="2"/>
      <c r="S386" s="24"/>
      <c r="T386" s="54"/>
      <c r="U386" s="2"/>
      <c r="V386" s="24"/>
      <c r="W386" s="54"/>
      <c r="X386" s="2"/>
      <c r="Y386" s="15"/>
      <c r="AA386" s="2"/>
    </row>
    <row r="387" spans="1:27" ht="21" hidden="1" customHeight="1" x14ac:dyDescent="0.2">
      <c r="B387" s="89" t="s">
        <v>215</v>
      </c>
      <c r="C387" s="87"/>
      <c r="D387" s="17"/>
      <c r="E387" s="96"/>
      <c r="F387" s="96"/>
      <c r="G387" s="24"/>
      <c r="H387" s="210">
        <f>ROUND(IFERROR(H385*H386,0),2)</f>
        <v>0</v>
      </c>
      <c r="I387" s="2"/>
      <c r="J387" s="24"/>
      <c r="K387" s="210">
        <f>ROUND(IFERROR(K385*K386,0),2)</f>
        <v>0</v>
      </c>
      <c r="L387" s="2"/>
      <c r="M387" s="24"/>
      <c r="N387" s="210">
        <f>ROUND(IFERROR(N385*N386,0),2)</f>
        <v>0</v>
      </c>
      <c r="O387" s="2"/>
      <c r="P387" s="24"/>
      <c r="Q387" s="210">
        <f>ROUND(IFERROR(Q385*Q386,0),2)</f>
        <v>0</v>
      </c>
      <c r="R387" s="2"/>
      <c r="S387" s="24"/>
      <c r="T387" s="210">
        <f>ROUND(IFERROR(T385*T386,0),2)</f>
        <v>0</v>
      </c>
      <c r="U387" s="2"/>
      <c r="V387" s="24"/>
      <c r="W387" s="210">
        <f>ROUND(IFERROR(W385*W386,0),2)</f>
        <v>0</v>
      </c>
      <c r="X387" s="2"/>
      <c r="Y387" s="15"/>
      <c r="AA387" s="2"/>
    </row>
    <row r="388" spans="1:27" ht="10.25" hidden="1" customHeight="1" x14ac:dyDescent="0.2">
      <c r="B388" s="89"/>
      <c r="C388" s="87"/>
      <c r="D388" s="17"/>
      <c r="E388" s="96"/>
      <c r="F388" s="96"/>
      <c r="G388" s="24"/>
      <c r="H388" s="27"/>
      <c r="I388" s="2"/>
      <c r="J388" s="24"/>
      <c r="K388" s="27"/>
      <c r="L388" s="2"/>
      <c r="M388" s="24"/>
      <c r="N388" s="27"/>
      <c r="O388" s="2"/>
      <c r="P388" s="24"/>
      <c r="Q388" s="27"/>
      <c r="R388" s="2"/>
      <c r="S388" s="24"/>
      <c r="T388" s="27"/>
      <c r="U388" s="2"/>
      <c r="V388" s="24"/>
      <c r="W388" s="27"/>
      <c r="X388" s="2"/>
      <c r="Y388" s="15"/>
      <c r="AA388" s="2"/>
    </row>
    <row r="389" spans="1:27" ht="21" hidden="1" customHeight="1" x14ac:dyDescent="0.2">
      <c r="B389" s="89" t="s">
        <v>204</v>
      </c>
      <c r="C389" s="87"/>
      <c r="D389" s="17"/>
      <c r="E389" s="96"/>
      <c r="F389" s="96"/>
      <c r="G389" s="24"/>
      <c r="H389" s="208"/>
      <c r="I389" s="2"/>
      <c r="J389" s="24"/>
      <c r="K389" s="208"/>
      <c r="L389" s="2"/>
      <c r="M389" s="24"/>
      <c r="N389" s="208"/>
      <c r="O389" s="2"/>
      <c r="P389" s="24"/>
      <c r="Q389" s="208"/>
      <c r="R389" s="2"/>
      <c r="S389" s="24"/>
      <c r="T389" s="208"/>
      <c r="U389" s="2"/>
      <c r="V389" s="24"/>
      <c r="W389" s="208"/>
      <c r="X389" s="2"/>
      <c r="Y389" s="15"/>
      <c r="AA389" s="2"/>
    </row>
    <row r="390" spans="1:27" ht="6.5" hidden="1" customHeight="1" x14ac:dyDescent="0.2">
      <c r="B390" s="89"/>
      <c r="C390" s="87"/>
      <c r="D390" s="17"/>
      <c r="E390" s="96"/>
      <c r="F390" s="96"/>
      <c r="G390" s="24"/>
      <c r="H390" s="27"/>
      <c r="I390" s="2"/>
      <c r="J390" s="24"/>
      <c r="K390" s="27"/>
      <c r="L390" s="2"/>
      <c r="M390" s="24"/>
      <c r="N390" s="27"/>
      <c r="O390" s="2"/>
      <c r="P390" s="24"/>
      <c r="Q390" s="27"/>
      <c r="R390" s="2"/>
      <c r="S390" s="24"/>
      <c r="T390" s="27"/>
      <c r="U390" s="2"/>
      <c r="V390" s="24"/>
      <c r="W390" s="27"/>
      <c r="X390" s="2"/>
      <c r="Y390" s="15"/>
      <c r="AA390" s="2"/>
    </row>
    <row r="391" spans="1:27" ht="21" hidden="1" customHeight="1" x14ac:dyDescent="0.2">
      <c r="B391" s="90"/>
      <c r="C391" s="88"/>
      <c r="D391" s="99" t="s">
        <v>209</v>
      </c>
      <c r="E391" s="96" t="s">
        <v>199</v>
      </c>
      <c r="F391" s="96" t="s">
        <v>199</v>
      </c>
      <c r="G391" s="80"/>
      <c r="H391" s="210">
        <f>IFERROR(H387+H389,0)</f>
        <v>0</v>
      </c>
      <c r="I391" s="2"/>
      <c r="J391" s="80"/>
      <c r="K391" s="210">
        <f>IFERROR(K387+K389,0)</f>
        <v>0</v>
      </c>
      <c r="L391" s="2"/>
      <c r="M391" s="80"/>
      <c r="N391" s="210">
        <f>IFERROR(N387+N389,0)</f>
        <v>0</v>
      </c>
      <c r="O391" s="2"/>
      <c r="P391" s="80"/>
      <c r="Q391" s="210">
        <f>IFERROR(Q387+Q389,0)</f>
        <v>0</v>
      </c>
      <c r="R391" s="2"/>
      <c r="S391" s="80"/>
      <c r="T391" s="210">
        <f>IFERROR(T387+T389,0)</f>
        <v>0</v>
      </c>
      <c r="U391" s="2"/>
      <c r="V391" s="80"/>
      <c r="W391" s="210">
        <f>IFERROR(W387+W389,0)</f>
        <v>0</v>
      </c>
      <c r="X391" s="2"/>
      <c r="Y391" s="15"/>
      <c r="AA391" s="2"/>
    </row>
    <row r="392" spans="1:27" ht="21" hidden="1" customHeight="1" x14ac:dyDescent="0.2">
      <c r="B392" s="90"/>
      <c r="C392" s="88"/>
      <c r="D392" s="93" t="s">
        <v>210</v>
      </c>
      <c r="E392" s="96">
        <f>IF(MONTH(H374)=MONTH(H375),((YEAR(H375)-YEAR(H374))*12)-12+(12-MONTH(H374))+MONTH(H375)-1+(EOMONTH(H374,0)-H374+1)/DAY(EOMONTH(H374,0))+(1-(EOMONTH(H375,0)-H375)/DAY(EOMONTH(H375,0))),((YEAR(H375)-YEAR(H374))*12)-12+(12-MONTH(H374))+MONTH(H375)-1+(EOMONTH(H374,0)-H374+1)/DAY(EOMONTH(H374,0))+(1-(EOMONTH(H375,0)-H375)/DAY(EOMONTH(H375,0))))</f>
        <v>3.2258064516129004E-2</v>
      </c>
      <c r="F392" s="96">
        <f>ROUND(IF(AND(H374&lt;&gt;"",H375&lt;&gt;""),IF(E392&lt;=1,1,E392),0),2)</f>
        <v>0</v>
      </c>
      <c r="G392" s="17"/>
      <c r="H392" s="210">
        <f>ROUND(IFERROR(H391/F392,0),2)</f>
        <v>0</v>
      </c>
      <c r="I392" s="2"/>
      <c r="J392" s="17"/>
      <c r="K392" s="210">
        <f>ROUND(IFERROR(K391/F383,0),2)</f>
        <v>0</v>
      </c>
      <c r="L392" s="2"/>
      <c r="M392" s="17"/>
      <c r="N392" s="210">
        <f>ROUND(IFERROR(N391/F382,0),2)</f>
        <v>0</v>
      </c>
      <c r="O392" s="2"/>
      <c r="P392" s="17"/>
      <c r="Q392" s="210">
        <f>ROUND(IFERROR(Q391/F381,0),2)</f>
        <v>0</v>
      </c>
      <c r="R392" s="2"/>
      <c r="S392" s="17"/>
      <c r="T392" s="210">
        <f>ROUND(IFERROR(T391/F380,0),2)</f>
        <v>0</v>
      </c>
      <c r="U392" s="2"/>
      <c r="V392" s="17"/>
      <c r="W392" s="210">
        <f>ROUND(IFERROR(W391/F379,0),2)</f>
        <v>0</v>
      </c>
      <c r="X392" s="2"/>
      <c r="Y392" s="15"/>
      <c r="AA392" s="2"/>
    </row>
    <row r="393" spans="1:27" ht="8.25" hidden="1" customHeight="1" thickBot="1" x14ac:dyDescent="0.25">
      <c r="B393" s="18"/>
      <c r="C393" s="19"/>
      <c r="D393" s="19"/>
      <c r="E393" s="19"/>
      <c r="F393" s="19"/>
      <c r="G393" s="19"/>
      <c r="H393" s="19"/>
      <c r="I393" s="19"/>
      <c r="J393" s="19"/>
      <c r="K393" s="19"/>
      <c r="L393" s="19"/>
      <c r="M393" s="19"/>
      <c r="N393" s="19"/>
      <c r="O393" s="19"/>
      <c r="P393" s="19"/>
      <c r="Q393" s="19"/>
      <c r="R393" s="19"/>
      <c r="S393" s="19"/>
      <c r="T393" s="19"/>
      <c r="U393" s="19"/>
      <c r="V393" s="19"/>
      <c r="W393" s="19"/>
      <c r="X393" s="19"/>
      <c r="Y393" s="20"/>
      <c r="AA393" s="2"/>
    </row>
    <row r="394" spans="1:27" ht="22.25" customHeight="1" x14ac:dyDescent="0.2">
      <c r="B394" s="3"/>
      <c r="E394" s="21"/>
      <c r="F394" s="21"/>
      <c r="I394" s="21"/>
      <c r="J394" s="21"/>
      <c r="K394" s="21"/>
      <c r="L394" s="21"/>
      <c r="M394" s="21"/>
      <c r="N394" s="21"/>
      <c r="O394" s="21"/>
      <c r="P394" s="21"/>
      <c r="Q394" s="21"/>
      <c r="R394" s="21"/>
      <c r="S394" s="21"/>
      <c r="T394" s="21"/>
      <c r="U394" s="21"/>
      <c r="V394" s="21"/>
      <c r="W394" s="21"/>
      <c r="X394" s="21"/>
    </row>
    <row r="395" spans="1:27" s="2" customFormat="1" ht="31.25" customHeight="1" x14ac:dyDescent="0.2">
      <c r="B395" s="97" t="s">
        <v>92</v>
      </c>
      <c r="C395" s="98"/>
      <c r="D395" s="100"/>
      <c r="E395" s="100"/>
      <c r="F395" s="100"/>
      <c r="G395" s="100"/>
      <c r="H395" s="100"/>
      <c r="I395" s="100"/>
      <c r="J395" s="100"/>
      <c r="K395" s="100"/>
      <c r="L395" s="100"/>
      <c r="M395" s="100"/>
      <c r="N395" s="100"/>
      <c r="O395" s="100"/>
      <c r="P395" s="100"/>
      <c r="Q395" s="100"/>
      <c r="R395" s="100"/>
      <c r="S395" s="100"/>
      <c r="T395" s="100"/>
      <c r="U395" s="100"/>
      <c r="V395" s="100"/>
      <c r="W395" s="100"/>
      <c r="X395" s="100"/>
      <c r="Y395" s="100"/>
    </row>
    <row r="396" spans="1:27" s="2" customFormat="1" ht="22.5" customHeight="1" thickBot="1" x14ac:dyDescent="0.25">
      <c r="C396" s="35" t="s">
        <v>207</v>
      </c>
    </row>
    <row r="397" spans="1:27" ht="21" customHeight="1" thickBot="1" x14ac:dyDescent="0.25">
      <c r="A397" s="2"/>
      <c r="B397" s="7" t="s">
        <v>2</v>
      </c>
      <c r="C397" s="86" t="s">
        <v>217</v>
      </c>
      <c r="D397" s="32"/>
      <c r="E397" s="32"/>
      <c r="F397" s="32"/>
      <c r="G397" s="295" t="str">
        <f>IF(OR(SAM!E490=0,SAM!E490=""),"",SAM!E490)</f>
        <v/>
      </c>
      <c r="H397" s="295"/>
      <c r="I397" s="295"/>
      <c r="J397" s="295"/>
      <c r="K397" s="295"/>
      <c r="L397" s="295"/>
      <c r="M397" s="9"/>
      <c r="N397" s="9"/>
      <c r="O397" s="9"/>
      <c r="P397" s="9"/>
      <c r="Q397" s="9"/>
      <c r="R397" s="9"/>
      <c r="S397" s="9"/>
      <c r="T397" s="9"/>
      <c r="U397" s="9"/>
      <c r="V397" s="9"/>
      <c r="W397" s="9"/>
      <c r="X397" s="9"/>
      <c r="Y397" s="11"/>
      <c r="AA397" s="64"/>
    </row>
    <row r="398" spans="1:27" ht="6.75" hidden="1" customHeight="1" x14ac:dyDescent="0.2">
      <c r="B398" s="22"/>
      <c r="C398" s="21"/>
      <c r="D398" s="21"/>
      <c r="E398" s="21"/>
      <c r="F398" s="21"/>
      <c r="G398" s="21"/>
      <c r="H398" s="21"/>
      <c r="I398" s="21"/>
      <c r="J398" s="21"/>
      <c r="K398" s="21"/>
      <c r="L398" s="21"/>
      <c r="M398" s="21"/>
      <c r="N398" s="21"/>
      <c r="O398" s="21"/>
      <c r="P398" s="21"/>
      <c r="Q398" s="21"/>
      <c r="R398" s="21"/>
      <c r="S398" s="21"/>
      <c r="T398" s="21"/>
      <c r="U398" s="21"/>
      <c r="V398" s="21"/>
      <c r="W398" s="21"/>
      <c r="X398" s="21"/>
      <c r="Y398" s="23"/>
      <c r="AA398" s="64"/>
    </row>
    <row r="399" spans="1:27" ht="21" hidden="1" customHeight="1" x14ac:dyDescent="0.2">
      <c r="B399" s="14"/>
      <c r="D399" s="93" t="s">
        <v>230</v>
      </c>
      <c r="G399" s="104" t="s">
        <v>65</v>
      </c>
      <c r="H399" s="106"/>
      <c r="I399" s="104" t="s">
        <v>65</v>
      </c>
      <c r="J399" s="104" t="s">
        <v>65</v>
      </c>
      <c r="K399" s="106"/>
      <c r="L399" s="104" t="s">
        <v>65</v>
      </c>
      <c r="M399" s="104" t="s">
        <v>65</v>
      </c>
      <c r="N399" s="106"/>
      <c r="O399" s="104" t="s">
        <v>65</v>
      </c>
      <c r="P399" s="104" t="s">
        <v>65</v>
      </c>
      <c r="Q399" s="106"/>
      <c r="R399" s="104" t="s">
        <v>65</v>
      </c>
      <c r="S399" s="104" t="s">
        <v>65</v>
      </c>
      <c r="T399" s="106"/>
      <c r="U399" s="104" t="s">
        <v>65</v>
      </c>
      <c r="V399" s="104" t="s">
        <v>65</v>
      </c>
      <c r="W399" s="106"/>
      <c r="X399" s="104" t="s">
        <v>65</v>
      </c>
      <c r="Y399" s="15"/>
      <c r="AA399" s="64"/>
    </row>
    <row r="400" spans="1:27" ht="6.75" hidden="1" customHeight="1" x14ac:dyDescent="0.2">
      <c r="B400" s="14"/>
      <c r="H400" s="96"/>
      <c r="K400" s="96"/>
      <c r="N400" s="96"/>
      <c r="Q400" s="96"/>
      <c r="T400" s="96"/>
      <c r="W400" s="96"/>
      <c r="Y400" s="15"/>
      <c r="AA400" s="64"/>
    </row>
    <row r="401" spans="2:27" ht="21" hidden="1" customHeight="1" x14ac:dyDescent="0.2">
      <c r="B401" s="14"/>
      <c r="D401" s="93" t="s">
        <v>198</v>
      </c>
      <c r="E401" s="96" t="s">
        <v>199</v>
      </c>
      <c r="F401" s="96" t="s">
        <v>199</v>
      </c>
      <c r="G401" s="94"/>
      <c r="H401" s="91"/>
      <c r="J401" s="94"/>
      <c r="K401" s="91"/>
      <c r="M401" s="94"/>
      <c r="N401" s="91"/>
      <c r="P401" s="94"/>
      <c r="Q401" s="91"/>
      <c r="S401" s="94"/>
      <c r="T401" s="91"/>
      <c r="V401" s="94"/>
      <c r="W401" s="91"/>
      <c r="Y401" s="15"/>
      <c r="AA401" s="64"/>
    </row>
    <row r="402" spans="2:27" ht="21" hidden="1" customHeight="1" x14ac:dyDescent="0.2">
      <c r="B402" s="14"/>
      <c r="D402" s="93" t="s">
        <v>208</v>
      </c>
      <c r="E402" s="96" t="s">
        <v>199</v>
      </c>
      <c r="F402" s="96" t="s">
        <v>199</v>
      </c>
      <c r="G402" s="94"/>
      <c r="H402" s="92"/>
      <c r="J402" s="94"/>
      <c r="K402" s="92"/>
      <c r="M402" s="94"/>
      <c r="N402" s="92"/>
      <c r="P402" s="94"/>
      <c r="Q402" s="92"/>
      <c r="S402" s="94"/>
      <c r="T402" s="92"/>
      <c r="V402" s="94"/>
      <c r="W402" s="92"/>
      <c r="Y402" s="15"/>
      <c r="AA402" s="64"/>
    </row>
    <row r="403" spans="2:27" ht="6.75" hidden="1" customHeight="1" x14ac:dyDescent="0.2">
      <c r="B403" s="14"/>
      <c r="E403" s="96" t="s">
        <v>199</v>
      </c>
      <c r="F403" s="96" t="s">
        <v>199</v>
      </c>
      <c r="Y403" s="15"/>
      <c r="AA403" s="64"/>
    </row>
    <row r="404" spans="2:27" ht="21" hidden="1" customHeight="1" x14ac:dyDescent="0.2">
      <c r="B404" s="89" t="s">
        <v>218</v>
      </c>
      <c r="C404" s="87"/>
      <c r="D404" s="17"/>
      <c r="E404" s="96" t="s">
        <v>199</v>
      </c>
      <c r="F404" s="96" t="s">
        <v>199</v>
      </c>
      <c r="G404" s="17"/>
      <c r="H404" s="203"/>
      <c r="I404" s="2"/>
      <c r="J404" s="17"/>
      <c r="K404" s="203"/>
      <c r="L404" s="2"/>
      <c r="M404" s="17"/>
      <c r="N404" s="203"/>
      <c r="O404" s="2"/>
      <c r="P404" s="17"/>
      <c r="Q404" s="203"/>
      <c r="R404" s="2"/>
      <c r="S404" s="17"/>
      <c r="T404" s="203"/>
      <c r="U404" s="2"/>
      <c r="V404" s="17"/>
      <c r="W404" s="203"/>
      <c r="X404" s="2"/>
      <c r="Y404" s="15"/>
      <c r="AA404" s="64"/>
    </row>
    <row r="405" spans="2:27" ht="21" hidden="1" customHeight="1" x14ac:dyDescent="0.2">
      <c r="B405" s="89" t="s">
        <v>219</v>
      </c>
      <c r="C405" s="87"/>
      <c r="D405" s="17"/>
      <c r="E405" s="96" t="s">
        <v>199</v>
      </c>
      <c r="F405" s="96" t="s">
        <v>199</v>
      </c>
      <c r="G405" s="24" t="s">
        <v>9</v>
      </c>
      <c r="H405" s="209"/>
      <c r="I405" s="25" t="s">
        <v>10</v>
      </c>
      <c r="J405" s="24" t="s">
        <v>9</v>
      </c>
      <c r="K405" s="209"/>
      <c r="L405" s="25" t="s">
        <v>10</v>
      </c>
      <c r="M405" s="24" t="s">
        <v>9</v>
      </c>
      <c r="N405" s="209"/>
      <c r="O405" s="25" t="s">
        <v>10</v>
      </c>
      <c r="P405" s="24" t="s">
        <v>9</v>
      </c>
      <c r="Q405" s="209"/>
      <c r="R405" s="25" t="s">
        <v>10</v>
      </c>
      <c r="S405" s="24" t="s">
        <v>9</v>
      </c>
      <c r="T405" s="209"/>
      <c r="U405" s="25" t="s">
        <v>10</v>
      </c>
      <c r="V405" s="24" t="s">
        <v>9</v>
      </c>
      <c r="W405" s="209"/>
      <c r="X405" s="25" t="s">
        <v>10</v>
      </c>
      <c r="Y405" s="15"/>
      <c r="AA405" s="64"/>
    </row>
    <row r="406" spans="2:27" ht="21" hidden="1" customHeight="1" x14ac:dyDescent="0.2">
      <c r="B406" s="89" t="s">
        <v>192</v>
      </c>
      <c r="C406" s="87"/>
      <c r="D406" s="17"/>
      <c r="E406" s="96" t="s">
        <v>199</v>
      </c>
      <c r="F406" s="96" t="s">
        <v>199</v>
      </c>
      <c r="G406" s="24" t="s">
        <v>9</v>
      </c>
      <c r="H406" s="209"/>
      <c r="I406" s="25" t="s">
        <v>10</v>
      </c>
      <c r="J406" s="24" t="s">
        <v>9</v>
      </c>
      <c r="K406" s="209"/>
      <c r="L406" s="25" t="s">
        <v>10</v>
      </c>
      <c r="M406" s="24" t="s">
        <v>9</v>
      </c>
      <c r="N406" s="209"/>
      <c r="O406" s="25" t="s">
        <v>10</v>
      </c>
      <c r="P406" s="24" t="s">
        <v>9</v>
      </c>
      <c r="Q406" s="209"/>
      <c r="R406" s="25" t="s">
        <v>10</v>
      </c>
      <c r="S406" s="24" t="s">
        <v>9</v>
      </c>
      <c r="T406" s="209"/>
      <c r="U406" s="25" t="s">
        <v>10</v>
      </c>
      <c r="V406" s="24" t="s">
        <v>9</v>
      </c>
      <c r="W406" s="209"/>
      <c r="X406" s="25" t="s">
        <v>10</v>
      </c>
      <c r="Y406" s="15"/>
      <c r="AA406" s="64"/>
    </row>
    <row r="407" spans="2:27" ht="21" hidden="1" customHeight="1" x14ac:dyDescent="0.2">
      <c r="B407" s="89" t="s">
        <v>193</v>
      </c>
      <c r="C407" s="87"/>
      <c r="D407" s="17"/>
      <c r="E407" s="96">
        <f>IF(MONTH(W401)=MONTH(W402),((YEAR(W402)-YEAR(W401))*12)-12+(12-MONTH(W401))+MONTH(W402)-1+(EOMONTH(W401,0)-W401+1)/DAY(EOMONTH(W401,0))+(1-(EOMONTH(W402,0)-W402)/DAY(EOMONTH(W402,0))),((YEAR(W402)-YEAR(W401))*12)-12+(12-MONTH(W401))+MONTH(W402)-1+(EOMONTH(W401,0)-W401+1)/DAY(EOMONTH(W401,0))+(1-(EOMONTH(W402,0)-W402)/DAY(EOMONTH(W402,0))))</f>
        <v>3.2258064516129004E-2</v>
      </c>
      <c r="F407" s="96">
        <f>ROUND(IF(AND(W401&lt;&gt;"",W402&lt;&gt;""),IF(E407&lt;=1,1,E407),0),2)</f>
        <v>0</v>
      </c>
      <c r="G407" s="17"/>
      <c r="H407" s="204"/>
      <c r="I407" s="2"/>
      <c r="J407" s="17"/>
      <c r="K407" s="204"/>
      <c r="L407" s="2"/>
      <c r="M407" s="17"/>
      <c r="N407" s="204"/>
      <c r="O407" s="2"/>
      <c r="P407" s="17"/>
      <c r="Q407" s="204"/>
      <c r="R407" s="2"/>
      <c r="S407" s="17"/>
      <c r="T407" s="204"/>
      <c r="U407" s="2"/>
      <c r="V407" s="17"/>
      <c r="W407" s="204"/>
      <c r="X407" s="2"/>
      <c r="Y407" s="15"/>
      <c r="AA407" s="64"/>
    </row>
    <row r="408" spans="2:27" ht="21" hidden="1" customHeight="1" x14ac:dyDescent="0.2">
      <c r="B408" s="89" t="s">
        <v>197</v>
      </c>
      <c r="C408" s="87"/>
      <c r="D408" s="17"/>
      <c r="E408" s="96">
        <f>IF(MONTH(T401)=MONTH(T402),((YEAR(T402)-YEAR(T401))*12)-12+(12-MONTH(T401))+MONTH(T402)-1+(EOMONTH(T401,0)-T401+1)/DAY(EOMONTH(T401,0))+(1-(EOMONTH(T402,0)-T402)/DAY(EOMONTH(T402,0))),((YEAR(T402)-YEAR(T401))*12)-12+(12-MONTH(T401))+MONTH(T402)-1+(EOMONTH(T401,0)-T401+1)/DAY(EOMONTH(T401,0))+(1-(EOMONTH(T402,0)-T402)/DAY(EOMONTH(T402,0))))</f>
        <v>3.2258064516129004E-2</v>
      </c>
      <c r="F408" s="96">
        <f>ROUND(IF(AND(T401&lt;&gt;"",T402&lt;&gt;""),IF(E408&lt;=1,1,E408),0),2)</f>
        <v>0</v>
      </c>
      <c r="G408" s="17"/>
      <c r="H408" s="204"/>
      <c r="I408" s="2"/>
      <c r="J408" s="17"/>
      <c r="K408" s="204"/>
      <c r="L408" s="2"/>
      <c r="M408" s="17"/>
      <c r="N408" s="204"/>
      <c r="O408" s="2"/>
      <c r="P408" s="17"/>
      <c r="Q408" s="204"/>
      <c r="R408" s="2"/>
      <c r="S408" s="17"/>
      <c r="T408" s="204"/>
      <c r="U408" s="2"/>
      <c r="V408" s="17"/>
      <c r="W408" s="204"/>
      <c r="X408" s="2"/>
      <c r="Y408" s="15"/>
      <c r="AA408" s="64"/>
    </row>
    <row r="409" spans="2:27" ht="21" hidden="1" customHeight="1" x14ac:dyDescent="0.2">
      <c r="B409" s="89" t="s">
        <v>194</v>
      </c>
      <c r="C409" s="87"/>
      <c r="D409" s="17"/>
      <c r="E409" s="105">
        <f>IF(MONTH(Q401)=MONTH(Q402),((YEAR(Q402)-YEAR(Q401))*12)-12+(12-MONTH(Q401))+MONTH(Q402)-1+(EOMONTH(Q401,0)-Q401+1)/DAY(EOMONTH(Q401,0))+(1-(EOMONTH(Q402,0)-Q402)/DAY(EOMONTH(Q402,0))),((YEAR(Q402)-YEAR(Q401))*12)-12+(12-MONTH(Q401))+MONTH(Q402)-1+(EOMONTH(Q401,0)-Q401+1)/DAY(EOMONTH(Q401,0))+(1-(EOMONTH(Q402,0)-Q402)/DAY(EOMONTH(Q402,0))))</f>
        <v>3.2258064516129004E-2</v>
      </c>
      <c r="F409" s="105">
        <f>ROUND(IF(AND(Q401&lt;&gt;"",Q402&lt;&gt;""),IF(E409&lt;=1,1,E409),0),2)</f>
        <v>0</v>
      </c>
      <c r="G409" s="17"/>
      <c r="H409" s="204"/>
      <c r="I409" s="2"/>
      <c r="J409" s="17"/>
      <c r="K409" s="204"/>
      <c r="L409" s="2"/>
      <c r="M409" s="17"/>
      <c r="N409" s="204"/>
      <c r="O409" s="2"/>
      <c r="P409" s="17"/>
      <c r="Q409" s="204"/>
      <c r="R409" s="2"/>
      <c r="S409" s="17"/>
      <c r="T409" s="204"/>
      <c r="U409" s="2"/>
      <c r="V409" s="17"/>
      <c r="W409" s="204"/>
      <c r="X409" s="2"/>
      <c r="Y409" s="15"/>
      <c r="AA409" s="64"/>
    </row>
    <row r="410" spans="2:27" ht="21" hidden="1" customHeight="1" x14ac:dyDescent="0.2">
      <c r="B410" s="89" t="s">
        <v>195</v>
      </c>
      <c r="C410" s="87"/>
      <c r="D410" s="17"/>
      <c r="E410" s="96">
        <f>IF(MONTH(N401)=MONTH(N402),((YEAR(N402)-YEAR(N401))*12)-12+(12-MONTH(N401))+MONTH(N402)-1+(EOMONTH(N401,0)-N401+1)/DAY(EOMONTH(N401,0))+(1-(EOMONTH(N402,0)-N402)/DAY(EOMONTH(N402,0))),((YEAR(N402)-YEAR(N401))*12)-12+(12-MONTH(N401))+MONTH(N402)-1+(EOMONTH(N401,0)-N401+1)/DAY(EOMONTH(N401,0))+(1-(EOMONTH(N402,0)-N402)/DAY(EOMONTH(N402,0))))</f>
        <v>3.2258064516129004E-2</v>
      </c>
      <c r="F410" s="96">
        <f>ROUND(IF(AND(N401&lt;&gt;"",N402&lt;&gt;""),IF(E410&lt;=1,1,E410),0),2)</f>
        <v>0</v>
      </c>
      <c r="G410" s="17"/>
      <c r="H410" s="204"/>
      <c r="I410" s="2"/>
      <c r="J410" s="17"/>
      <c r="K410" s="204"/>
      <c r="L410" s="2"/>
      <c r="M410" s="17"/>
      <c r="N410" s="204"/>
      <c r="O410" s="2"/>
      <c r="P410" s="17"/>
      <c r="Q410" s="204"/>
      <c r="R410" s="2"/>
      <c r="S410" s="17"/>
      <c r="T410" s="204"/>
      <c r="U410" s="2"/>
      <c r="V410" s="17"/>
      <c r="W410" s="204"/>
      <c r="X410" s="2"/>
      <c r="Y410" s="15"/>
      <c r="AA410" s="64"/>
    </row>
    <row r="411" spans="2:27" ht="21" hidden="1" customHeight="1" x14ac:dyDescent="0.2">
      <c r="B411" s="89" t="s">
        <v>196</v>
      </c>
      <c r="C411" s="87"/>
      <c r="D411" s="107"/>
      <c r="E411" s="96">
        <f>IF(MONTH(K401)=MONTH(K402),((YEAR(K402)-YEAR(K401))*12)-12+(12-MONTH(K401))+MONTH(K402)-1+(EOMONTH(K401,0)-K401+1)/DAY(EOMONTH(K401,0))+(1-(EOMONTH(K402,0)-K402)/DAY(EOMONTH(K402,0))),((YEAR(K402)-YEAR(K401))*12)-12+(12-MONTH(K401))+MONTH(K402)-1+(EOMONTH(K401,0)-K401+1)/DAY(EOMONTH(K401,0))+(1-(EOMONTH(K402,0)-K402)/DAY(EOMONTH(K402,0))))</f>
        <v>3.2258064516129004E-2</v>
      </c>
      <c r="F411" s="96">
        <f>ROUND(IF(AND(K401&lt;&gt;"",K402&lt;&gt;""),IF(E411&lt;=1,1,E411),0),2)</f>
        <v>0</v>
      </c>
      <c r="G411" s="103" t="s">
        <v>65</v>
      </c>
      <c r="H411" s="206"/>
      <c r="I411" s="2"/>
      <c r="J411" s="2"/>
      <c r="K411" s="206"/>
      <c r="L411" s="2"/>
      <c r="M411" s="2"/>
      <c r="N411" s="206"/>
      <c r="O411" s="2"/>
      <c r="P411" s="2"/>
      <c r="Q411" s="206"/>
      <c r="R411" s="2"/>
      <c r="S411" s="2"/>
      <c r="T411" s="206"/>
      <c r="U411" s="2"/>
      <c r="V411" s="2"/>
      <c r="W411" s="206"/>
      <c r="X411" s="2"/>
      <c r="Y411" s="15"/>
      <c r="AA411" s="64"/>
    </row>
    <row r="412" spans="2:27" ht="13.25" hidden="1" customHeight="1" x14ac:dyDescent="0.2">
      <c r="B412" s="89"/>
      <c r="C412" s="87"/>
      <c r="D412" s="17"/>
      <c r="E412" s="96" t="s">
        <v>199</v>
      </c>
      <c r="F412" s="96" t="s">
        <v>199</v>
      </c>
      <c r="G412" s="24"/>
      <c r="H412" s="27"/>
      <c r="I412" s="2"/>
      <c r="J412" s="24"/>
      <c r="K412" s="27"/>
      <c r="L412" s="2"/>
      <c r="M412" s="24"/>
      <c r="N412" s="27"/>
      <c r="O412" s="2"/>
      <c r="P412" s="24"/>
      <c r="Q412" s="27"/>
      <c r="R412" s="2"/>
      <c r="S412" s="24"/>
      <c r="T412" s="27"/>
      <c r="U412" s="2"/>
      <c r="V412" s="24"/>
      <c r="W412" s="27"/>
      <c r="X412" s="2"/>
      <c r="Y412" s="15"/>
      <c r="AA412" s="64"/>
    </row>
    <row r="413" spans="2:27" ht="21" hidden="1" customHeight="1" x14ac:dyDescent="0.2">
      <c r="B413" s="89" t="s">
        <v>3</v>
      </c>
      <c r="C413" s="87"/>
      <c r="D413" s="17"/>
      <c r="E413" s="96"/>
      <c r="F413" s="96"/>
      <c r="G413" s="24"/>
      <c r="H413" s="222">
        <f>IFERROR(SUM(H407:H411)-H405-H406+H404,0)</f>
        <v>0</v>
      </c>
      <c r="I413" s="2"/>
      <c r="J413" s="24"/>
      <c r="K413" s="222">
        <f>IFERROR(SUM(K407:K411)-K405-K406+K404,0)</f>
        <v>0</v>
      </c>
      <c r="L413" s="2"/>
      <c r="M413" s="24"/>
      <c r="N413" s="222">
        <f>IFERROR(SUM(N407:N411)-N405-N406+N404,0)</f>
        <v>0</v>
      </c>
      <c r="O413" s="2"/>
      <c r="P413" s="24"/>
      <c r="Q413" s="222">
        <f>IFERROR(SUM(Q407:Q411)-Q405-Q406+Q404,0)</f>
        <v>0</v>
      </c>
      <c r="R413" s="2"/>
      <c r="S413" s="24"/>
      <c r="T413" s="222">
        <f>IFERROR(SUM(T407:T411)-T405-T406+T404,0)</f>
        <v>0</v>
      </c>
      <c r="U413" s="2"/>
      <c r="V413" s="24"/>
      <c r="W413" s="222">
        <f>IFERROR(SUM(W407:W411)-W405-W406+W404,0)</f>
        <v>0</v>
      </c>
      <c r="X413" s="2"/>
      <c r="Y413" s="15"/>
      <c r="AA413" s="64"/>
    </row>
    <row r="414" spans="2:27" ht="21" hidden="1" customHeight="1" x14ac:dyDescent="0.2">
      <c r="B414" s="89" t="s">
        <v>213</v>
      </c>
      <c r="C414" s="87"/>
      <c r="D414" s="17"/>
      <c r="E414" s="96"/>
      <c r="F414" s="96"/>
      <c r="G414" s="24"/>
      <c r="H414" s="54"/>
      <c r="I414" s="2"/>
      <c r="J414" s="24"/>
      <c r="K414" s="54"/>
      <c r="L414" s="2"/>
      <c r="M414" s="24"/>
      <c r="N414" s="54"/>
      <c r="O414" s="2"/>
      <c r="P414" s="24"/>
      <c r="Q414" s="54"/>
      <c r="R414" s="2"/>
      <c r="S414" s="24"/>
      <c r="T414" s="54"/>
      <c r="U414" s="2"/>
      <c r="V414" s="24"/>
      <c r="W414" s="54"/>
      <c r="X414" s="2"/>
      <c r="Y414" s="15"/>
      <c r="AA414" s="64"/>
    </row>
    <row r="415" spans="2:27" ht="21" hidden="1" customHeight="1" x14ac:dyDescent="0.2">
      <c r="B415" s="89" t="s">
        <v>220</v>
      </c>
      <c r="C415" s="87"/>
      <c r="D415" s="17"/>
      <c r="E415" s="96"/>
      <c r="F415" s="96"/>
      <c r="G415" s="24"/>
      <c r="H415" s="210">
        <f>ROUND(IFERROR(H413*H414,0),2)</f>
        <v>0</v>
      </c>
      <c r="I415" s="2"/>
      <c r="J415" s="24"/>
      <c r="K415" s="210">
        <f>ROUND(IFERROR(K413*K414,0),2)</f>
        <v>0</v>
      </c>
      <c r="L415" s="2"/>
      <c r="M415" s="24"/>
      <c r="N415" s="210">
        <f>ROUND(IFERROR(N413*N414,0),2)</f>
        <v>0</v>
      </c>
      <c r="O415" s="2"/>
      <c r="P415" s="24"/>
      <c r="Q415" s="210">
        <f>ROUND(IFERROR(Q413*Q414,0),2)</f>
        <v>0</v>
      </c>
      <c r="R415" s="2"/>
      <c r="S415" s="24"/>
      <c r="T415" s="210">
        <f>ROUND(IFERROR(T413*T414,0),2)</f>
        <v>0</v>
      </c>
      <c r="U415" s="2"/>
      <c r="V415" s="24"/>
      <c r="W415" s="210">
        <f>ROUND(IFERROR(W413*W414,0),2)</f>
        <v>0</v>
      </c>
      <c r="X415" s="2"/>
      <c r="Y415" s="15"/>
      <c r="AA415" s="64"/>
    </row>
    <row r="416" spans="2:27" ht="10.25" hidden="1" customHeight="1" x14ac:dyDescent="0.2">
      <c r="B416" s="89"/>
      <c r="C416" s="87"/>
      <c r="D416" s="17"/>
      <c r="E416" s="96"/>
      <c r="F416" s="96"/>
      <c r="G416" s="24"/>
      <c r="H416" s="27"/>
      <c r="I416" s="2"/>
      <c r="J416" s="24"/>
      <c r="K416" s="27"/>
      <c r="L416" s="2"/>
      <c r="M416" s="24"/>
      <c r="N416" s="27"/>
      <c r="O416" s="2"/>
      <c r="P416" s="24"/>
      <c r="Q416" s="27"/>
      <c r="R416" s="2"/>
      <c r="S416" s="24"/>
      <c r="T416" s="27"/>
      <c r="U416" s="2"/>
      <c r="V416" s="24"/>
      <c r="W416" s="27"/>
      <c r="X416" s="2"/>
      <c r="Y416" s="15"/>
      <c r="AA416" s="64"/>
    </row>
    <row r="417" spans="1:27" ht="21" hidden="1" customHeight="1" x14ac:dyDescent="0.2">
      <c r="B417" s="89" t="s">
        <v>204</v>
      </c>
      <c r="C417" s="87"/>
      <c r="D417" s="17"/>
      <c r="E417" s="96"/>
      <c r="F417" s="96"/>
      <c r="G417" s="24"/>
      <c r="H417" s="208"/>
      <c r="I417" s="2"/>
      <c r="J417" s="24"/>
      <c r="K417" s="208"/>
      <c r="L417" s="2"/>
      <c r="M417" s="24"/>
      <c r="N417" s="208"/>
      <c r="O417" s="2"/>
      <c r="P417" s="24"/>
      <c r="Q417" s="208"/>
      <c r="R417" s="2"/>
      <c r="S417" s="24"/>
      <c r="T417" s="208"/>
      <c r="U417" s="2"/>
      <c r="V417" s="24"/>
      <c r="W417" s="208"/>
      <c r="X417" s="2"/>
      <c r="Y417" s="15"/>
      <c r="AA417" s="64"/>
    </row>
    <row r="418" spans="1:27" ht="6.5" hidden="1" customHeight="1" x14ac:dyDescent="0.2">
      <c r="B418" s="89"/>
      <c r="C418" s="87"/>
      <c r="D418" s="17"/>
      <c r="E418" s="96"/>
      <c r="F418" s="96"/>
      <c r="G418" s="24"/>
      <c r="H418" s="27"/>
      <c r="I418" s="2"/>
      <c r="J418" s="24"/>
      <c r="K418" s="27"/>
      <c r="L418" s="2"/>
      <c r="M418" s="24"/>
      <c r="N418" s="27"/>
      <c r="O418" s="2"/>
      <c r="P418" s="24"/>
      <c r="Q418" s="27"/>
      <c r="R418" s="2"/>
      <c r="S418" s="24"/>
      <c r="T418" s="27"/>
      <c r="U418" s="2"/>
      <c r="V418" s="24"/>
      <c r="W418" s="27"/>
      <c r="X418" s="2"/>
      <c r="Y418" s="15"/>
      <c r="AA418" s="2"/>
    </row>
    <row r="419" spans="1:27" ht="21" hidden="1" customHeight="1" x14ac:dyDescent="0.2">
      <c r="B419" s="90"/>
      <c r="C419" s="88"/>
      <c r="D419" s="99" t="s">
        <v>209</v>
      </c>
      <c r="E419" s="96" t="s">
        <v>199</v>
      </c>
      <c r="F419" s="96" t="s">
        <v>199</v>
      </c>
      <c r="G419" s="80"/>
      <c r="H419" s="210">
        <f>IFERROR(H415+H417,0)</f>
        <v>0</v>
      </c>
      <c r="I419" s="2"/>
      <c r="J419" s="80"/>
      <c r="K419" s="210">
        <f>IFERROR(K415+K417,0)</f>
        <v>0</v>
      </c>
      <c r="L419" s="2"/>
      <c r="M419" s="80"/>
      <c r="N419" s="210">
        <f>IFERROR(N415+N417,0)</f>
        <v>0</v>
      </c>
      <c r="O419" s="2"/>
      <c r="P419" s="80"/>
      <c r="Q419" s="210">
        <f>IFERROR(Q415+Q417,0)</f>
        <v>0</v>
      </c>
      <c r="R419" s="2"/>
      <c r="S419" s="80"/>
      <c r="T419" s="210">
        <f>IFERROR(T415+T417,0)</f>
        <v>0</v>
      </c>
      <c r="U419" s="2"/>
      <c r="V419" s="80"/>
      <c r="W419" s="210">
        <f>IFERROR(W415+W417,0)</f>
        <v>0</v>
      </c>
      <c r="X419" s="2"/>
      <c r="Y419" s="15"/>
      <c r="AA419" s="2"/>
    </row>
    <row r="420" spans="1:27" ht="21" hidden="1" customHeight="1" x14ac:dyDescent="0.2">
      <c r="B420" s="90"/>
      <c r="C420" s="88"/>
      <c r="D420" s="93" t="s">
        <v>210</v>
      </c>
      <c r="E420" s="96">
        <f>IF(MONTH(H401)=MONTH(H402),((YEAR(H402)-YEAR(H401))*12)-12+(12-MONTH(H401))+MONTH(H402)-1+(EOMONTH(H401,0)-H401+1)/DAY(EOMONTH(H401,0))+(1-(EOMONTH(H402,0)-H402)/DAY(EOMONTH(H402,0))),((YEAR(H402)-YEAR(H401))*12)-12+(12-MONTH(H401))+MONTH(H402)-1+(EOMONTH(H401,0)-H401+1)/DAY(EOMONTH(H401,0))+(1-(EOMONTH(H402,0)-H402)/DAY(EOMONTH(H402,0))))</f>
        <v>3.2258064516129004E-2</v>
      </c>
      <c r="F420" s="96">
        <f>ROUND(IF(AND(H401&lt;&gt;"",H402&lt;&gt;""),IF(E420&lt;=1,1,E420),0),2)</f>
        <v>0</v>
      </c>
      <c r="G420" s="17"/>
      <c r="H420" s="210">
        <f>ROUND(IFERROR(H419/F420,0),2)</f>
        <v>0</v>
      </c>
      <c r="I420" s="2"/>
      <c r="J420" s="17"/>
      <c r="K420" s="210">
        <f>ROUND(IFERROR(K419/F411,0),2)</f>
        <v>0</v>
      </c>
      <c r="L420" s="2"/>
      <c r="M420" s="17"/>
      <c r="N420" s="210">
        <f>ROUND(IFERROR(N419/F410,0),2)</f>
        <v>0</v>
      </c>
      <c r="O420" s="2"/>
      <c r="P420" s="17"/>
      <c r="Q420" s="210">
        <f>ROUND(IFERROR(Q419/F409,0),2)</f>
        <v>0</v>
      </c>
      <c r="R420" s="2"/>
      <c r="S420" s="17"/>
      <c r="T420" s="210">
        <f>ROUND(IFERROR(T419/F408,0),2)</f>
        <v>0</v>
      </c>
      <c r="U420" s="2"/>
      <c r="V420" s="17"/>
      <c r="W420" s="210">
        <f>ROUND(IFERROR(W419/F407,0),2)</f>
        <v>0</v>
      </c>
      <c r="X420" s="2"/>
      <c r="Y420" s="15"/>
      <c r="AA420" s="2"/>
    </row>
    <row r="421" spans="1:27" ht="8.25" hidden="1" customHeight="1" thickBot="1" x14ac:dyDescent="0.25">
      <c r="B421" s="18"/>
      <c r="C421" s="19"/>
      <c r="D421" s="19"/>
      <c r="E421" s="19"/>
      <c r="F421" s="19"/>
      <c r="G421" s="19"/>
      <c r="H421" s="19"/>
      <c r="I421" s="19"/>
      <c r="J421" s="19"/>
      <c r="K421" s="19"/>
      <c r="L421" s="19"/>
      <c r="M421" s="19"/>
      <c r="N421" s="19"/>
      <c r="O421" s="19"/>
      <c r="P421" s="19"/>
      <c r="Q421" s="19"/>
      <c r="R421" s="19"/>
      <c r="S421" s="19"/>
      <c r="T421" s="19"/>
      <c r="U421" s="19"/>
      <c r="V421" s="19"/>
      <c r="W421" s="19"/>
      <c r="X421" s="19"/>
      <c r="Y421" s="20"/>
      <c r="AA421" s="2"/>
    </row>
    <row r="422" spans="1:27" ht="14" customHeight="1" thickBot="1" x14ac:dyDescent="0.25">
      <c r="B422" s="3"/>
      <c r="E422" s="21"/>
      <c r="F422" s="21"/>
      <c r="I422" s="21"/>
      <c r="J422" s="21"/>
      <c r="K422" s="21"/>
      <c r="L422" s="21"/>
      <c r="M422" s="21"/>
      <c r="N422" s="21"/>
      <c r="O422" s="21"/>
      <c r="P422" s="21"/>
      <c r="Q422" s="21"/>
      <c r="R422" s="21"/>
      <c r="S422" s="21"/>
      <c r="T422" s="21"/>
      <c r="U422" s="21"/>
      <c r="V422" s="21"/>
      <c r="W422" s="21"/>
      <c r="X422" s="21"/>
    </row>
    <row r="423" spans="1:27" ht="21" customHeight="1" thickBot="1" x14ac:dyDescent="0.25">
      <c r="A423" s="2"/>
      <c r="B423" s="7" t="s">
        <v>2</v>
      </c>
      <c r="C423" s="86" t="s">
        <v>217</v>
      </c>
      <c r="D423" s="32"/>
      <c r="E423" s="32"/>
      <c r="F423" s="32"/>
      <c r="G423" s="295" t="str">
        <f>IF(OR(SAM!E517=0,SAM!E517=""),"",SAM!E517)</f>
        <v/>
      </c>
      <c r="H423" s="295"/>
      <c r="I423" s="295"/>
      <c r="J423" s="295"/>
      <c r="K423" s="295"/>
      <c r="L423" s="295"/>
      <c r="M423" s="9"/>
      <c r="N423" s="9"/>
      <c r="O423" s="9"/>
      <c r="P423" s="9"/>
      <c r="Q423" s="9"/>
      <c r="R423" s="9"/>
      <c r="S423" s="9"/>
      <c r="T423" s="9"/>
      <c r="U423" s="9"/>
      <c r="V423" s="9"/>
      <c r="W423" s="9"/>
      <c r="X423" s="9"/>
      <c r="Y423" s="11"/>
      <c r="AA423" s="64"/>
    </row>
    <row r="424" spans="1:27" ht="6.75" hidden="1" customHeight="1" x14ac:dyDescent="0.2">
      <c r="B424" s="22"/>
      <c r="C424" s="21"/>
      <c r="D424" s="21"/>
      <c r="E424" s="21"/>
      <c r="F424" s="21"/>
      <c r="G424" s="21"/>
      <c r="H424" s="21"/>
      <c r="I424" s="21"/>
      <c r="J424" s="21"/>
      <c r="K424" s="21"/>
      <c r="L424" s="21"/>
      <c r="M424" s="21"/>
      <c r="N424" s="21"/>
      <c r="O424" s="21"/>
      <c r="P424" s="21"/>
      <c r="Q424" s="21"/>
      <c r="R424" s="21"/>
      <c r="S424" s="21"/>
      <c r="T424" s="21"/>
      <c r="U424" s="21"/>
      <c r="V424" s="21"/>
      <c r="W424" s="21"/>
      <c r="X424" s="21"/>
      <c r="Y424" s="23"/>
      <c r="AA424" s="64"/>
    </row>
    <row r="425" spans="1:27" ht="21" hidden="1" customHeight="1" x14ac:dyDescent="0.2">
      <c r="B425" s="14"/>
      <c r="D425" s="93" t="s">
        <v>230</v>
      </c>
      <c r="G425" s="104" t="s">
        <v>65</v>
      </c>
      <c r="H425" s="106"/>
      <c r="I425" s="104" t="s">
        <v>65</v>
      </c>
      <c r="J425" s="104" t="s">
        <v>65</v>
      </c>
      <c r="K425" s="106"/>
      <c r="L425" s="104" t="s">
        <v>65</v>
      </c>
      <c r="M425" s="104" t="s">
        <v>65</v>
      </c>
      <c r="N425" s="106"/>
      <c r="O425" s="104" t="s">
        <v>65</v>
      </c>
      <c r="P425" s="104" t="s">
        <v>65</v>
      </c>
      <c r="Q425" s="106"/>
      <c r="R425" s="104" t="s">
        <v>65</v>
      </c>
      <c r="S425" s="104" t="s">
        <v>65</v>
      </c>
      <c r="T425" s="106"/>
      <c r="U425" s="104" t="s">
        <v>65</v>
      </c>
      <c r="V425" s="104" t="s">
        <v>65</v>
      </c>
      <c r="W425" s="106"/>
      <c r="X425" s="104" t="s">
        <v>65</v>
      </c>
      <c r="Y425" s="15"/>
      <c r="AA425" s="64"/>
    </row>
    <row r="426" spans="1:27" ht="6.75" hidden="1" customHeight="1" x14ac:dyDescent="0.2">
      <c r="B426" s="14"/>
      <c r="H426" s="96"/>
      <c r="K426" s="96"/>
      <c r="N426" s="96"/>
      <c r="Q426" s="96"/>
      <c r="T426" s="96"/>
      <c r="W426" s="96"/>
      <c r="Y426" s="15"/>
      <c r="AA426" s="64"/>
    </row>
    <row r="427" spans="1:27" ht="21" hidden="1" customHeight="1" x14ac:dyDescent="0.2">
      <c r="B427" s="14"/>
      <c r="D427" s="93" t="s">
        <v>198</v>
      </c>
      <c r="E427" s="96" t="s">
        <v>199</v>
      </c>
      <c r="F427" s="96" t="s">
        <v>199</v>
      </c>
      <c r="G427" s="94"/>
      <c r="H427" s="91"/>
      <c r="J427" s="94"/>
      <c r="K427" s="91"/>
      <c r="M427" s="94"/>
      <c r="N427" s="91"/>
      <c r="P427" s="94"/>
      <c r="Q427" s="91"/>
      <c r="S427" s="94"/>
      <c r="T427" s="91"/>
      <c r="V427" s="94"/>
      <c r="W427" s="91"/>
      <c r="Y427" s="15"/>
      <c r="AA427" s="64"/>
    </row>
    <row r="428" spans="1:27" ht="21" hidden="1" customHeight="1" x14ac:dyDescent="0.2">
      <c r="B428" s="14"/>
      <c r="D428" s="93" t="s">
        <v>208</v>
      </c>
      <c r="E428" s="96" t="s">
        <v>199</v>
      </c>
      <c r="F428" s="96" t="s">
        <v>199</v>
      </c>
      <c r="G428" s="94"/>
      <c r="H428" s="92"/>
      <c r="J428" s="94"/>
      <c r="K428" s="92"/>
      <c r="M428" s="94"/>
      <c r="N428" s="92"/>
      <c r="P428" s="94"/>
      <c r="Q428" s="92"/>
      <c r="S428" s="94"/>
      <c r="T428" s="92"/>
      <c r="V428" s="94"/>
      <c r="W428" s="92"/>
      <c r="Y428" s="15"/>
      <c r="AA428" s="64"/>
    </row>
    <row r="429" spans="1:27" ht="6.75" hidden="1" customHeight="1" x14ac:dyDescent="0.2">
      <c r="B429" s="14"/>
      <c r="E429" s="96" t="s">
        <v>199</v>
      </c>
      <c r="F429" s="96" t="s">
        <v>199</v>
      </c>
      <c r="Y429" s="15"/>
      <c r="AA429" s="64"/>
    </row>
    <row r="430" spans="1:27" ht="21" hidden="1" customHeight="1" x14ac:dyDescent="0.2">
      <c r="B430" s="89" t="s">
        <v>218</v>
      </c>
      <c r="C430" s="87"/>
      <c r="D430" s="17"/>
      <c r="E430" s="96" t="s">
        <v>199</v>
      </c>
      <c r="F430" s="96" t="s">
        <v>199</v>
      </c>
      <c r="G430" s="17"/>
      <c r="H430" s="203"/>
      <c r="I430" s="2"/>
      <c r="J430" s="17"/>
      <c r="K430" s="203"/>
      <c r="L430" s="2"/>
      <c r="M430" s="17"/>
      <c r="N430" s="203"/>
      <c r="O430" s="2"/>
      <c r="P430" s="17"/>
      <c r="Q430" s="203"/>
      <c r="R430" s="2"/>
      <c r="S430" s="17"/>
      <c r="T430" s="203"/>
      <c r="U430" s="2"/>
      <c r="V430" s="17"/>
      <c r="W430" s="203"/>
      <c r="X430" s="2"/>
      <c r="Y430" s="15"/>
      <c r="AA430" s="64"/>
    </row>
    <row r="431" spans="1:27" ht="21" hidden="1" customHeight="1" x14ac:dyDescent="0.2">
      <c r="B431" s="89" t="s">
        <v>219</v>
      </c>
      <c r="C431" s="87"/>
      <c r="D431" s="17"/>
      <c r="E431" s="96" t="s">
        <v>199</v>
      </c>
      <c r="F431" s="96" t="s">
        <v>199</v>
      </c>
      <c r="G431" s="24" t="s">
        <v>9</v>
      </c>
      <c r="H431" s="209"/>
      <c r="I431" s="25" t="s">
        <v>10</v>
      </c>
      <c r="J431" s="24" t="s">
        <v>9</v>
      </c>
      <c r="K431" s="209"/>
      <c r="L431" s="25" t="s">
        <v>10</v>
      </c>
      <c r="M431" s="24" t="s">
        <v>9</v>
      </c>
      <c r="N431" s="209"/>
      <c r="O431" s="25" t="s">
        <v>10</v>
      </c>
      <c r="P431" s="24" t="s">
        <v>9</v>
      </c>
      <c r="Q431" s="209"/>
      <c r="R431" s="25" t="s">
        <v>10</v>
      </c>
      <c r="S431" s="24" t="s">
        <v>9</v>
      </c>
      <c r="T431" s="209"/>
      <c r="U431" s="25" t="s">
        <v>10</v>
      </c>
      <c r="V431" s="24" t="s">
        <v>9</v>
      </c>
      <c r="W431" s="209"/>
      <c r="X431" s="25" t="s">
        <v>10</v>
      </c>
      <c r="Y431" s="15"/>
      <c r="AA431" s="64"/>
    </row>
    <row r="432" spans="1:27" ht="21" hidden="1" customHeight="1" x14ac:dyDescent="0.2">
      <c r="B432" s="89" t="s">
        <v>192</v>
      </c>
      <c r="C432" s="87"/>
      <c r="D432" s="17"/>
      <c r="E432" s="96" t="s">
        <v>199</v>
      </c>
      <c r="F432" s="96" t="s">
        <v>199</v>
      </c>
      <c r="G432" s="24" t="s">
        <v>9</v>
      </c>
      <c r="H432" s="209"/>
      <c r="I432" s="25" t="s">
        <v>10</v>
      </c>
      <c r="J432" s="24" t="s">
        <v>9</v>
      </c>
      <c r="K432" s="209"/>
      <c r="L432" s="25" t="s">
        <v>10</v>
      </c>
      <c r="M432" s="24" t="s">
        <v>9</v>
      </c>
      <c r="N432" s="209"/>
      <c r="O432" s="25" t="s">
        <v>10</v>
      </c>
      <c r="P432" s="24" t="s">
        <v>9</v>
      </c>
      <c r="Q432" s="209"/>
      <c r="R432" s="25" t="s">
        <v>10</v>
      </c>
      <c r="S432" s="24" t="s">
        <v>9</v>
      </c>
      <c r="T432" s="209"/>
      <c r="U432" s="25" t="s">
        <v>10</v>
      </c>
      <c r="V432" s="24" t="s">
        <v>9</v>
      </c>
      <c r="W432" s="209"/>
      <c r="X432" s="25" t="s">
        <v>10</v>
      </c>
      <c r="Y432" s="15"/>
      <c r="AA432" s="64"/>
    </row>
    <row r="433" spans="2:27" ht="21" hidden="1" customHeight="1" x14ac:dyDescent="0.2">
      <c r="B433" s="89" t="s">
        <v>193</v>
      </c>
      <c r="C433" s="87"/>
      <c r="D433" s="17"/>
      <c r="E433" s="96">
        <f>IF(MONTH(W427)=MONTH(W428),((YEAR(W428)-YEAR(W427))*12)-12+(12-MONTH(W427))+MONTH(W428)-1+(EOMONTH(W427,0)-W427+1)/DAY(EOMONTH(W427,0))+(1-(EOMONTH(W428,0)-W428)/DAY(EOMONTH(W428,0))),((YEAR(W428)-YEAR(W427))*12)-12+(12-MONTH(W427))+MONTH(W428)-1+(EOMONTH(W427,0)-W427+1)/DAY(EOMONTH(W427,0))+(1-(EOMONTH(W428,0)-W428)/DAY(EOMONTH(W428,0))))</f>
        <v>3.2258064516129004E-2</v>
      </c>
      <c r="F433" s="96">
        <f>ROUND(IF(AND(W427&lt;&gt;"",W428&lt;&gt;""),IF(E433&lt;=1,1,E433),0),2)</f>
        <v>0</v>
      </c>
      <c r="G433" s="17"/>
      <c r="H433" s="204"/>
      <c r="I433" s="2"/>
      <c r="J433" s="17"/>
      <c r="K433" s="204"/>
      <c r="L433" s="2"/>
      <c r="M433" s="17"/>
      <c r="N433" s="204"/>
      <c r="O433" s="2"/>
      <c r="P433" s="17"/>
      <c r="Q433" s="204"/>
      <c r="R433" s="2"/>
      <c r="S433" s="17"/>
      <c r="T433" s="204"/>
      <c r="U433" s="2"/>
      <c r="V433" s="17"/>
      <c r="W433" s="204"/>
      <c r="X433" s="2"/>
      <c r="Y433" s="15"/>
      <c r="AA433" s="64"/>
    </row>
    <row r="434" spans="2:27" ht="21" hidden="1" customHeight="1" x14ac:dyDescent="0.2">
      <c r="B434" s="89" t="s">
        <v>197</v>
      </c>
      <c r="C434" s="87"/>
      <c r="D434" s="17"/>
      <c r="E434" s="96">
        <f>IF(MONTH(T427)=MONTH(T428),((YEAR(T428)-YEAR(T427))*12)-12+(12-MONTH(T427))+MONTH(T428)-1+(EOMONTH(T427,0)-T427+1)/DAY(EOMONTH(T427,0))+(1-(EOMONTH(T428,0)-T428)/DAY(EOMONTH(T428,0))),((YEAR(T428)-YEAR(T427))*12)-12+(12-MONTH(T427))+MONTH(T428)-1+(EOMONTH(T427,0)-T427+1)/DAY(EOMONTH(T427,0))+(1-(EOMONTH(T428,0)-T428)/DAY(EOMONTH(T428,0))))</f>
        <v>3.2258064516129004E-2</v>
      </c>
      <c r="F434" s="96">
        <f>ROUND(IF(AND(T427&lt;&gt;"",T428&lt;&gt;""),IF(E434&lt;=1,1,E434),0),2)</f>
        <v>0</v>
      </c>
      <c r="G434" s="17"/>
      <c r="H434" s="204"/>
      <c r="I434" s="2"/>
      <c r="J434" s="17"/>
      <c r="K434" s="204"/>
      <c r="L434" s="2"/>
      <c r="M434" s="17"/>
      <c r="N434" s="204"/>
      <c r="O434" s="2"/>
      <c r="P434" s="17"/>
      <c r="Q434" s="204"/>
      <c r="R434" s="2"/>
      <c r="S434" s="17"/>
      <c r="T434" s="204"/>
      <c r="U434" s="2"/>
      <c r="V434" s="17"/>
      <c r="W434" s="204"/>
      <c r="X434" s="2"/>
      <c r="Y434" s="15"/>
      <c r="AA434" s="64"/>
    </row>
    <row r="435" spans="2:27" ht="21" hidden="1" customHeight="1" x14ac:dyDescent="0.2">
      <c r="B435" s="89" t="s">
        <v>194</v>
      </c>
      <c r="C435" s="87"/>
      <c r="D435" s="17"/>
      <c r="E435" s="105">
        <f>IF(MONTH(Q427)=MONTH(Q428),((YEAR(Q428)-YEAR(Q427))*12)-12+(12-MONTH(Q427))+MONTH(Q428)-1+(EOMONTH(Q427,0)-Q427+1)/DAY(EOMONTH(Q427,0))+(1-(EOMONTH(Q428,0)-Q428)/DAY(EOMONTH(Q428,0))),((YEAR(Q428)-YEAR(Q427))*12)-12+(12-MONTH(Q427))+MONTH(Q428)-1+(EOMONTH(Q427,0)-Q427+1)/DAY(EOMONTH(Q427,0))+(1-(EOMONTH(Q428,0)-Q428)/DAY(EOMONTH(Q428,0))))</f>
        <v>3.2258064516129004E-2</v>
      </c>
      <c r="F435" s="105">
        <f>ROUND(IF(AND(Q427&lt;&gt;"",Q428&lt;&gt;""),IF(E435&lt;=1,1,E435),0),2)</f>
        <v>0</v>
      </c>
      <c r="G435" s="17"/>
      <c r="H435" s="204"/>
      <c r="I435" s="2"/>
      <c r="J435" s="17"/>
      <c r="K435" s="204"/>
      <c r="L435" s="2"/>
      <c r="M435" s="17"/>
      <c r="N435" s="204"/>
      <c r="O435" s="2"/>
      <c r="P435" s="17"/>
      <c r="Q435" s="204"/>
      <c r="R435" s="2"/>
      <c r="S435" s="17"/>
      <c r="T435" s="204"/>
      <c r="U435" s="2"/>
      <c r="V435" s="17"/>
      <c r="W435" s="204"/>
      <c r="X435" s="2"/>
      <c r="Y435" s="15"/>
      <c r="AA435" s="64"/>
    </row>
    <row r="436" spans="2:27" ht="21" hidden="1" customHeight="1" x14ac:dyDescent="0.2">
      <c r="B436" s="89" t="s">
        <v>195</v>
      </c>
      <c r="C436" s="87"/>
      <c r="D436" s="17"/>
      <c r="E436" s="96">
        <f>IF(MONTH(N427)=MONTH(N428),((YEAR(N428)-YEAR(N427))*12)-12+(12-MONTH(N427))+MONTH(N428)-1+(EOMONTH(N427,0)-N427+1)/DAY(EOMONTH(N427,0))+(1-(EOMONTH(N428,0)-N428)/DAY(EOMONTH(N428,0))),((YEAR(N428)-YEAR(N427))*12)-12+(12-MONTH(N427))+MONTH(N428)-1+(EOMONTH(N427,0)-N427+1)/DAY(EOMONTH(N427,0))+(1-(EOMONTH(N428,0)-N428)/DAY(EOMONTH(N428,0))))</f>
        <v>3.2258064516129004E-2</v>
      </c>
      <c r="F436" s="96">
        <f>ROUND(IF(AND(N427&lt;&gt;"",N428&lt;&gt;""),IF(E436&lt;=1,1,E436),0),2)</f>
        <v>0</v>
      </c>
      <c r="G436" s="17"/>
      <c r="H436" s="204"/>
      <c r="I436" s="2"/>
      <c r="J436" s="17"/>
      <c r="K436" s="204"/>
      <c r="L436" s="2"/>
      <c r="M436" s="17"/>
      <c r="N436" s="204"/>
      <c r="O436" s="2"/>
      <c r="P436" s="17"/>
      <c r="Q436" s="204"/>
      <c r="R436" s="2"/>
      <c r="S436" s="17"/>
      <c r="T436" s="204"/>
      <c r="U436" s="2"/>
      <c r="V436" s="17"/>
      <c r="W436" s="204"/>
      <c r="X436" s="2"/>
      <c r="Y436" s="15"/>
      <c r="AA436" s="64"/>
    </row>
    <row r="437" spans="2:27" ht="21" hidden="1" customHeight="1" x14ac:dyDescent="0.2">
      <c r="B437" s="89" t="s">
        <v>196</v>
      </c>
      <c r="C437" s="87"/>
      <c r="D437" s="107"/>
      <c r="E437" s="96">
        <f>IF(MONTH(K427)=MONTH(K428),((YEAR(K428)-YEAR(K427))*12)-12+(12-MONTH(K427))+MONTH(K428)-1+(EOMONTH(K427,0)-K427+1)/DAY(EOMONTH(K427,0))+(1-(EOMONTH(K428,0)-K428)/DAY(EOMONTH(K428,0))),((YEAR(K428)-YEAR(K427))*12)-12+(12-MONTH(K427))+MONTH(K428)-1+(EOMONTH(K427,0)-K427+1)/DAY(EOMONTH(K427,0))+(1-(EOMONTH(K428,0)-K428)/DAY(EOMONTH(K428,0))))</f>
        <v>3.2258064516129004E-2</v>
      </c>
      <c r="F437" s="96">
        <f>ROUND(IF(AND(K427&lt;&gt;"",K428&lt;&gt;""),IF(E437&lt;=1,1,E437),0),2)</f>
        <v>0</v>
      </c>
      <c r="G437" s="103" t="s">
        <v>65</v>
      </c>
      <c r="H437" s="206"/>
      <c r="I437" s="2"/>
      <c r="J437" s="2"/>
      <c r="K437" s="206"/>
      <c r="L437" s="2"/>
      <c r="M437" s="2"/>
      <c r="N437" s="206"/>
      <c r="O437" s="2"/>
      <c r="P437" s="2"/>
      <c r="Q437" s="206"/>
      <c r="R437" s="2"/>
      <c r="S437" s="2"/>
      <c r="T437" s="206"/>
      <c r="U437" s="2"/>
      <c r="V437" s="2"/>
      <c r="W437" s="206"/>
      <c r="X437" s="2"/>
      <c r="Y437" s="15"/>
      <c r="AA437" s="64"/>
    </row>
    <row r="438" spans="2:27" ht="13.25" hidden="1" customHeight="1" x14ac:dyDescent="0.2">
      <c r="B438" s="89"/>
      <c r="C438" s="87"/>
      <c r="D438" s="17"/>
      <c r="E438" s="96" t="s">
        <v>199</v>
      </c>
      <c r="F438" s="96" t="s">
        <v>199</v>
      </c>
      <c r="G438" s="24"/>
      <c r="H438" s="27"/>
      <c r="I438" s="2"/>
      <c r="J438" s="24"/>
      <c r="K438" s="27"/>
      <c r="L438" s="2"/>
      <c r="M438" s="24"/>
      <c r="N438" s="27"/>
      <c r="O438" s="2"/>
      <c r="P438" s="24"/>
      <c r="Q438" s="27"/>
      <c r="R438" s="2"/>
      <c r="S438" s="24"/>
      <c r="T438" s="27"/>
      <c r="U438" s="2"/>
      <c r="V438" s="24"/>
      <c r="W438" s="27"/>
      <c r="X438" s="2"/>
      <c r="Y438" s="15"/>
      <c r="AA438" s="64"/>
    </row>
    <row r="439" spans="2:27" ht="21" hidden="1" customHeight="1" x14ac:dyDescent="0.2">
      <c r="B439" s="89" t="s">
        <v>3</v>
      </c>
      <c r="C439" s="87"/>
      <c r="D439" s="17"/>
      <c r="E439" s="96"/>
      <c r="F439" s="96"/>
      <c r="G439" s="24"/>
      <c r="H439" s="222">
        <f>IFERROR(SUM(H433:H437)-H431-H432+H430,0)</f>
        <v>0</v>
      </c>
      <c r="I439" s="2"/>
      <c r="J439" s="24"/>
      <c r="K439" s="222">
        <f>IFERROR(SUM(K433:K437)-K431-K432+K430,0)</f>
        <v>0</v>
      </c>
      <c r="L439" s="2"/>
      <c r="M439" s="24"/>
      <c r="N439" s="222">
        <f>IFERROR(SUM(N433:N437)-N431-N432+N430,0)</f>
        <v>0</v>
      </c>
      <c r="O439" s="2"/>
      <c r="P439" s="24"/>
      <c r="Q439" s="222">
        <f>IFERROR(SUM(Q433:Q437)-Q431-Q432+Q430,0)</f>
        <v>0</v>
      </c>
      <c r="R439" s="2"/>
      <c r="S439" s="24"/>
      <c r="T439" s="222">
        <f>IFERROR(SUM(T433:T437)-T431-T432+T430,0)</f>
        <v>0</v>
      </c>
      <c r="U439" s="2"/>
      <c r="V439" s="24"/>
      <c r="W439" s="222">
        <f>IFERROR(SUM(W433:W437)-W431-W432+W430,0)</f>
        <v>0</v>
      </c>
      <c r="X439" s="2"/>
      <c r="Y439" s="15"/>
      <c r="AA439" s="64"/>
    </row>
    <row r="440" spans="2:27" ht="21" hidden="1" customHeight="1" x14ac:dyDescent="0.2">
      <c r="B440" s="89" t="s">
        <v>213</v>
      </c>
      <c r="C440" s="87"/>
      <c r="D440" s="17"/>
      <c r="E440" s="96"/>
      <c r="F440" s="96"/>
      <c r="G440" s="24"/>
      <c r="H440" s="54"/>
      <c r="I440" s="2"/>
      <c r="J440" s="24"/>
      <c r="K440" s="54"/>
      <c r="L440" s="2"/>
      <c r="M440" s="24"/>
      <c r="N440" s="54"/>
      <c r="O440" s="2"/>
      <c r="P440" s="24"/>
      <c r="Q440" s="54"/>
      <c r="R440" s="2"/>
      <c r="S440" s="24"/>
      <c r="T440" s="54"/>
      <c r="U440" s="2"/>
      <c r="V440" s="24"/>
      <c r="W440" s="54"/>
      <c r="X440" s="2"/>
      <c r="Y440" s="15"/>
      <c r="AA440" s="64"/>
    </row>
    <row r="441" spans="2:27" ht="21" hidden="1" customHeight="1" x14ac:dyDescent="0.2">
      <c r="B441" s="89" t="s">
        <v>220</v>
      </c>
      <c r="C441" s="87"/>
      <c r="D441" s="17"/>
      <c r="E441" s="96"/>
      <c r="F441" s="96"/>
      <c r="G441" s="24"/>
      <c r="H441" s="210">
        <f>ROUND(IFERROR(H439*H440,0),2)</f>
        <v>0</v>
      </c>
      <c r="I441" s="2"/>
      <c r="J441" s="24"/>
      <c r="K441" s="210">
        <f>ROUND(IFERROR(K439*K440,0),2)</f>
        <v>0</v>
      </c>
      <c r="L441" s="2"/>
      <c r="M441" s="24"/>
      <c r="N441" s="210">
        <f>ROUND(IFERROR(N439*N440,0),2)</f>
        <v>0</v>
      </c>
      <c r="O441" s="2"/>
      <c r="P441" s="24"/>
      <c r="Q441" s="210">
        <f>ROUND(IFERROR(Q439*Q440,0),2)</f>
        <v>0</v>
      </c>
      <c r="R441" s="2"/>
      <c r="S441" s="24"/>
      <c r="T441" s="210">
        <f>ROUND(IFERROR(T439*T440,0),2)</f>
        <v>0</v>
      </c>
      <c r="U441" s="2"/>
      <c r="V441" s="24"/>
      <c r="W441" s="210">
        <f>ROUND(IFERROR(W439*W440,0),2)</f>
        <v>0</v>
      </c>
      <c r="X441" s="2"/>
      <c r="Y441" s="15"/>
      <c r="AA441" s="64"/>
    </row>
    <row r="442" spans="2:27" ht="10.25" hidden="1" customHeight="1" x14ac:dyDescent="0.2">
      <c r="B442" s="89"/>
      <c r="C442" s="87"/>
      <c r="D442" s="17"/>
      <c r="E442" s="96"/>
      <c r="F442" s="96"/>
      <c r="G442" s="24"/>
      <c r="H442" s="27"/>
      <c r="I442" s="2"/>
      <c r="J442" s="24"/>
      <c r="K442" s="27"/>
      <c r="L442" s="2"/>
      <c r="M442" s="24"/>
      <c r="N442" s="27"/>
      <c r="O442" s="2"/>
      <c r="P442" s="24"/>
      <c r="Q442" s="27"/>
      <c r="R442" s="2"/>
      <c r="S442" s="24"/>
      <c r="T442" s="27"/>
      <c r="U442" s="2"/>
      <c r="V442" s="24"/>
      <c r="W442" s="27"/>
      <c r="X442" s="2"/>
      <c r="Y442" s="15"/>
      <c r="AA442" s="64"/>
    </row>
    <row r="443" spans="2:27" ht="21" hidden="1" customHeight="1" x14ac:dyDescent="0.2">
      <c r="B443" s="89" t="s">
        <v>204</v>
      </c>
      <c r="C443" s="87"/>
      <c r="D443" s="17"/>
      <c r="E443" s="96"/>
      <c r="F443" s="96"/>
      <c r="G443" s="24"/>
      <c r="H443" s="208"/>
      <c r="I443" s="2"/>
      <c r="J443" s="24"/>
      <c r="K443" s="208"/>
      <c r="L443" s="2"/>
      <c r="M443" s="24"/>
      <c r="N443" s="208"/>
      <c r="O443" s="2"/>
      <c r="P443" s="24"/>
      <c r="Q443" s="208"/>
      <c r="R443" s="2"/>
      <c r="S443" s="24"/>
      <c r="T443" s="208"/>
      <c r="U443" s="2"/>
      <c r="V443" s="24"/>
      <c r="W443" s="208"/>
      <c r="X443" s="2"/>
      <c r="Y443" s="15"/>
      <c r="AA443" s="64"/>
    </row>
    <row r="444" spans="2:27" ht="6.5" hidden="1" customHeight="1" x14ac:dyDescent="0.2">
      <c r="B444" s="89"/>
      <c r="C444" s="87"/>
      <c r="D444" s="17"/>
      <c r="E444" s="96"/>
      <c r="F444" s="96"/>
      <c r="G444" s="24"/>
      <c r="H444" s="27"/>
      <c r="I444" s="2"/>
      <c r="J444" s="24"/>
      <c r="K444" s="27"/>
      <c r="L444" s="2"/>
      <c r="M444" s="24"/>
      <c r="N444" s="27"/>
      <c r="O444" s="2"/>
      <c r="P444" s="24"/>
      <c r="Q444" s="27"/>
      <c r="R444" s="2"/>
      <c r="S444" s="24"/>
      <c r="T444" s="27"/>
      <c r="U444" s="2"/>
      <c r="V444" s="24"/>
      <c r="W444" s="27"/>
      <c r="X444" s="2"/>
      <c r="Y444" s="15"/>
      <c r="AA444" s="2"/>
    </row>
    <row r="445" spans="2:27" ht="21" hidden="1" customHeight="1" x14ac:dyDescent="0.2">
      <c r="B445" s="90"/>
      <c r="C445" s="88"/>
      <c r="D445" s="99" t="s">
        <v>209</v>
      </c>
      <c r="E445" s="96" t="s">
        <v>199</v>
      </c>
      <c r="F445" s="96" t="s">
        <v>199</v>
      </c>
      <c r="G445" s="80"/>
      <c r="H445" s="210">
        <f>IFERROR(H441+H443,0)</f>
        <v>0</v>
      </c>
      <c r="I445" s="2"/>
      <c r="J445" s="80"/>
      <c r="K445" s="210">
        <f>IFERROR(K441+K443,0)</f>
        <v>0</v>
      </c>
      <c r="L445" s="2"/>
      <c r="M445" s="80"/>
      <c r="N445" s="210">
        <f>IFERROR(N441+N443,0)</f>
        <v>0</v>
      </c>
      <c r="O445" s="2"/>
      <c r="P445" s="80"/>
      <c r="Q445" s="210">
        <f>IFERROR(Q441+Q443,0)</f>
        <v>0</v>
      </c>
      <c r="R445" s="2"/>
      <c r="S445" s="80"/>
      <c r="T445" s="210">
        <f>IFERROR(T441+T443,0)</f>
        <v>0</v>
      </c>
      <c r="U445" s="2"/>
      <c r="V445" s="80"/>
      <c r="W445" s="210">
        <f>IFERROR(W441+W443,0)</f>
        <v>0</v>
      </c>
      <c r="X445" s="2"/>
      <c r="Y445" s="15"/>
      <c r="AA445" s="2"/>
    </row>
    <row r="446" spans="2:27" ht="21" hidden="1" customHeight="1" x14ac:dyDescent="0.2">
      <c r="B446" s="90"/>
      <c r="C446" s="88"/>
      <c r="D446" s="93" t="s">
        <v>210</v>
      </c>
      <c r="E446" s="96">
        <f>IF(MONTH(H427)=MONTH(H428),((YEAR(H428)-YEAR(H427))*12)-12+(12-MONTH(H427))+MONTH(H428)-1+(EOMONTH(H427,0)-H427+1)/DAY(EOMONTH(H427,0))+(1-(EOMONTH(H428,0)-H428)/DAY(EOMONTH(H428,0))),((YEAR(H428)-YEAR(H427))*12)-12+(12-MONTH(H427))+MONTH(H428)-1+(EOMONTH(H427,0)-H427+1)/DAY(EOMONTH(H427,0))+(1-(EOMONTH(H428,0)-H428)/DAY(EOMONTH(H428,0))))</f>
        <v>3.2258064516129004E-2</v>
      </c>
      <c r="F446" s="96">
        <f>ROUND(IF(AND(H427&lt;&gt;"",H428&lt;&gt;""),IF(E446&lt;=1,1,E446),0),2)</f>
        <v>0</v>
      </c>
      <c r="G446" s="17"/>
      <c r="H446" s="210">
        <f>ROUND(IFERROR(H445/F446,0),2)</f>
        <v>0</v>
      </c>
      <c r="I446" s="2"/>
      <c r="J446" s="17"/>
      <c r="K446" s="210">
        <f>ROUND(IFERROR(K445/F437,0),2)</f>
        <v>0</v>
      </c>
      <c r="L446" s="2"/>
      <c r="M446" s="17"/>
      <c r="N446" s="210">
        <f>ROUND(IFERROR(N445/F436,0),2)</f>
        <v>0</v>
      </c>
      <c r="O446" s="2"/>
      <c r="P446" s="17"/>
      <c r="Q446" s="210">
        <f>ROUND(IFERROR(Q445/F435,0),2)</f>
        <v>0</v>
      </c>
      <c r="R446" s="2"/>
      <c r="S446" s="17"/>
      <c r="T446" s="210">
        <f>ROUND(IFERROR(T445/F434,0),2)</f>
        <v>0</v>
      </c>
      <c r="U446" s="2"/>
      <c r="V446" s="17"/>
      <c r="W446" s="210">
        <f>ROUND(IFERROR(W445/F433,0),2)</f>
        <v>0</v>
      </c>
      <c r="X446" s="2"/>
      <c r="Y446" s="15"/>
      <c r="AA446" s="2"/>
    </row>
    <row r="447" spans="2:27" ht="8.25" hidden="1" customHeight="1" thickBot="1" x14ac:dyDescent="0.25">
      <c r="B447" s="18"/>
      <c r="C447" s="19"/>
      <c r="D447" s="19"/>
      <c r="E447" s="19"/>
      <c r="F447" s="19"/>
      <c r="G447" s="19"/>
      <c r="H447" s="19"/>
      <c r="I447" s="19"/>
      <c r="J447" s="19"/>
      <c r="K447" s="19"/>
      <c r="L447" s="19"/>
      <c r="M447" s="19"/>
      <c r="N447" s="19"/>
      <c r="O447" s="19"/>
      <c r="P447" s="19"/>
      <c r="Q447" s="19"/>
      <c r="R447" s="19"/>
      <c r="S447" s="19"/>
      <c r="T447" s="19"/>
      <c r="U447" s="19"/>
      <c r="V447" s="19"/>
      <c r="W447" s="19"/>
      <c r="X447" s="19"/>
      <c r="Y447" s="20"/>
      <c r="AA447" s="2"/>
    </row>
    <row r="448" spans="2:27" ht="14" customHeight="1" thickBot="1" x14ac:dyDescent="0.25">
      <c r="B448" s="3"/>
      <c r="E448" s="21"/>
      <c r="F448" s="21"/>
      <c r="I448" s="21"/>
      <c r="J448" s="21"/>
      <c r="K448" s="21"/>
      <c r="L448" s="21"/>
      <c r="M448" s="21"/>
      <c r="N448" s="21"/>
      <c r="O448" s="21"/>
      <c r="P448" s="21"/>
      <c r="Q448" s="21"/>
      <c r="R448" s="21"/>
      <c r="S448" s="21"/>
      <c r="T448" s="21"/>
      <c r="U448" s="21"/>
      <c r="V448" s="21"/>
      <c r="W448" s="21"/>
      <c r="X448" s="21"/>
    </row>
    <row r="449" spans="1:27" ht="21" customHeight="1" thickBot="1" x14ac:dyDescent="0.25">
      <c r="A449" s="2"/>
      <c r="B449" s="7" t="s">
        <v>2</v>
      </c>
      <c r="C449" s="86" t="s">
        <v>217</v>
      </c>
      <c r="D449" s="32"/>
      <c r="E449" s="32"/>
      <c r="F449" s="32"/>
      <c r="G449" s="295" t="str">
        <f>IF(OR(SAM!E544=0,SAM!E544=""),"",SAM!E544)</f>
        <v/>
      </c>
      <c r="H449" s="295"/>
      <c r="I449" s="295"/>
      <c r="J449" s="295"/>
      <c r="K449" s="295"/>
      <c r="L449" s="295"/>
      <c r="M449" s="9"/>
      <c r="N449" s="9"/>
      <c r="O449" s="9"/>
      <c r="P449" s="9"/>
      <c r="Q449" s="9"/>
      <c r="R449" s="9"/>
      <c r="S449" s="9"/>
      <c r="T449" s="9"/>
      <c r="U449" s="9"/>
      <c r="V449" s="9"/>
      <c r="W449" s="9"/>
      <c r="X449" s="9"/>
      <c r="Y449" s="11"/>
      <c r="AA449" s="64"/>
    </row>
    <row r="450" spans="1:27" ht="6.75" hidden="1" customHeight="1" x14ac:dyDescent="0.2">
      <c r="B450" s="22"/>
      <c r="C450" s="21"/>
      <c r="D450" s="21"/>
      <c r="E450" s="21"/>
      <c r="F450" s="21"/>
      <c r="G450" s="21"/>
      <c r="H450" s="21"/>
      <c r="I450" s="21"/>
      <c r="J450" s="21"/>
      <c r="K450" s="21"/>
      <c r="L450" s="21"/>
      <c r="M450" s="21"/>
      <c r="N450" s="21"/>
      <c r="O450" s="21"/>
      <c r="P450" s="21"/>
      <c r="Q450" s="21"/>
      <c r="R450" s="21"/>
      <c r="S450" s="21"/>
      <c r="T450" s="21"/>
      <c r="U450" s="21"/>
      <c r="V450" s="21"/>
      <c r="W450" s="21"/>
      <c r="X450" s="21"/>
      <c r="Y450" s="23"/>
      <c r="AA450" s="64"/>
    </row>
    <row r="451" spans="1:27" ht="21" hidden="1" customHeight="1" x14ac:dyDescent="0.2">
      <c r="B451" s="14"/>
      <c r="D451" s="93" t="s">
        <v>230</v>
      </c>
      <c r="G451" s="104" t="s">
        <v>65</v>
      </c>
      <c r="H451" s="106"/>
      <c r="I451" s="104" t="s">
        <v>65</v>
      </c>
      <c r="J451" s="104" t="s">
        <v>65</v>
      </c>
      <c r="K451" s="106"/>
      <c r="L451" s="104" t="s">
        <v>65</v>
      </c>
      <c r="M451" s="104" t="s">
        <v>65</v>
      </c>
      <c r="N451" s="106"/>
      <c r="O451" s="104" t="s">
        <v>65</v>
      </c>
      <c r="P451" s="104" t="s">
        <v>65</v>
      </c>
      <c r="Q451" s="106"/>
      <c r="R451" s="104" t="s">
        <v>65</v>
      </c>
      <c r="S451" s="104" t="s">
        <v>65</v>
      </c>
      <c r="T451" s="106"/>
      <c r="U451" s="104" t="s">
        <v>65</v>
      </c>
      <c r="V451" s="104" t="s">
        <v>65</v>
      </c>
      <c r="W451" s="106"/>
      <c r="X451" s="104" t="s">
        <v>65</v>
      </c>
      <c r="Y451" s="15"/>
      <c r="AA451" s="64"/>
    </row>
    <row r="452" spans="1:27" ht="6.75" hidden="1" customHeight="1" x14ac:dyDescent="0.2">
      <c r="B452" s="14"/>
      <c r="H452" s="96"/>
      <c r="K452" s="96"/>
      <c r="N452" s="96"/>
      <c r="Q452" s="96"/>
      <c r="T452" s="96"/>
      <c r="W452" s="96"/>
      <c r="Y452" s="15"/>
      <c r="AA452" s="64"/>
    </row>
    <row r="453" spans="1:27" ht="21" hidden="1" customHeight="1" x14ac:dyDescent="0.2">
      <c r="B453" s="14"/>
      <c r="D453" s="93" t="s">
        <v>198</v>
      </c>
      <c r="E453" s="96" t="s">
        <v>199</v>
      </c>
      <c r="F453" s="96" t="s">
        <v>199</v>
      </c>
      <c r="G453" s="94"/>
      <c r="H453" s="91"/>
      <c r="J453" s="94"/>
      <c r="K453" s="91"/>
      <c r="M453" s="94"/>
      <c r="N453" s="91"/>
      <c r="P453" s="94"/>
      <c r="Q453" s="91"/>
      <c r="S453" s="94"/>
      <c r="T453" s="91"/>
      <c r="V453" s="94"/>
      <c r="W453" s="91"/>
      <c r="Y453" s="15"/>
      <c r="AA453" s="64"/>
    </row>
    <row r="454" spans="1:27" ht="21" hidden="1" customHeight="1" x14ac:dyDescent="0.2">
      <c r="B454" s="14"/>
      <c r="D454" s="93" t="s">
        <v>208</v>
      </c>
      <c r="E454" s="96" t="s">
        <v>199</v>
      </c>
      <c r="F454" s="96" t="s">
        <v>199</v>
      </c>
      <c r="G454" s="94"/>
      <c r="H454" s="92"/>
      <c r="J454" s="94"/>
      <c r="K454" s="92"/>
      <c r="M454" s="94"/>
      <c r="N454" s="92"/>
      <c r="P454" s="94"/>
      <c r="Q454" s="92"/>
      <c r="S454" s="94"/>
      <c r="T454" s="92"/>
      <c r="V454" s="94"/>
      <c r="W454" s="92"/>
      <c r="Y454" s="15"/>
      <c r="AA454" s="64"/>
    </row>
    <row r="455" spans="1:27" ht="6.75" hidden="1" customHeight="1" x14ac:dyDescent="0.2">
      <c r="B455" s="14"/>
      <c r="E455" s="96" t="s">
        <v>199</v>
      </c>
      <c r="F455" s="96" t="s">
        <v>199</v>
      </c>
      <c r="Y455" s="15"/>
      <c r="AA455" s="64"/>
    </row>
    <row r="456" spans="1:27" ht="21" hidden="1" customHeight="1" x14ac:dyDescent="0.2">
      <c r="B456" s="89" t="s">
        <v>218</v>
      </c>
      <c r="C456" s="87"/>
      <c r="D456" s="17"/>
      <c r="E456" s="96" t="s">
        <v>199</v>
      </c>
      <c r="F456" s="96" t="s">
        <v>199</v>
      </c>
      <c r="G456" s="17"/>
      <c r="H456" s="203"/>
      <c r="I456" s="2"/>
      <c r="J456" s="17"/>
      <c r="K456" s="203"/>
      <c r="L456" s="2"/>
      <c r="M456" s="17"/>
      <c r="N456" s="203"/>
      <c r="O456" s="2"/>
      <c r="P456" s="17"/>
      <c r="Q456" s="203"/>
      <c r="R456" s="2"/>
      <c r="S456" s="17"/>
      <c r="T456" s="203"/>
      <c r="U456" s="2"/>
      <c r="V456" s="17"/>
      <c r="W456" s="203"/>
      <c r="X456" s="2"/>
      <c r="Y456" s="15"/>
      <c r="AA456" s="64"/>
    </row>
    <row r="457" spans="1:27" ht="21" hidden="1" customHeight="1" x14ac:dyDescent="0.2">
      <c r="B457" s="89" t="s">
        <v>219</v>
      </c>
      <c r="C457" s="87"/>
      <c r="D457" s="17"/>
      <c r="E457" s="96" t="s">
        <v>199</v>
      </c>
      <c r="F457" s="96" t="s">
        <v>199</v>
      </c>
      <c r="G457" s="24" t="s">
        <v>9</v>
      </c>
      <c r="H457" s="209"/>
      <c r="I457" s="25" t="s">
        <v>10</v>
      </c>
      <c r="J457" s="24" t="s">
        <v>9</v>
      </c>
      <c r="K457" s="209"/>
      <c r="L457" s="25" t="s">
        <v>10</v>
      </c>
      <c r="M457" s="24" t="s">
        <v>9</v>
      </c>
      <c r="N457" s="209"/>
      <c r="O457" s="25" t="s">
        <v>10</v>
      </c>
      <c r="P457" s="24" t="s">
        <v>9</v>
      </c>
      <c r="Q457" s="209"/>
      <c r="R457" s="25" t="s">
        <v>10</v>
      </c>
      <c r="S457" s="24" t="s">
        <v>9</v>
      </c>
      <c r="T457" s="209"/>
      <c r="U457" s="25" t="s">
        <v>10</v>
      </c>
      <c r="V457" s="24" t="s">
        <v>9</v>
      </c>
      <c r="W457" s="209"/>
      <c r="X457" s="25" t="s">
        <v>10</v>
      </c>
      <c r="Y457" s="15"/>
      <c r="AA457" s="64"/>
    </row>
    <row r="458" spans="1:27" ht="21" hidden="1" customHeight="1" x14ac:dyDescent="0.2">
      <c r="B458" s="89" t="s">
        <v>192</v>
      </c>
      <c r="C458" s="87"/>
      <c r="D458" s="17"/>
      <c r="E458" s="96" t="s">
        <v>199</v>
      </c>
      <c r="F458" s="96" t="s">
        <v>199</v>
      </c>
      <c r="G458" s="24" t="s">
        <v>9</v>
      </c>
      <c r="H458" s="209"/>
      <c r="I458" s="25" t="s">
        <v>10</v>
      </c>
      <c r="J458" s="24" t="s">
        <v>9</v>
      </c>
      <c r="K458" s="209"/>
      <c r="L458" s="25" t="s">
        <v>10</v>
      </c>
      <c r="M458" s="24" t="s">
        <v>9</v>
      </c>
      <c r="N458" s="209"/>
      <c r="O458" s="25" t="s">
        <v>10</v>
      </c>
      <c r="P458" s="24" t="s">
        <v>9</v>
      </c>
      <c r="Q458" s="209"/>
      <c r="R458" s="25" t="s">
        <v>10</v>
      </c>
      <c r="S458" s="24" t="s">
        <v>9</v>
      </c>
      <c r="T458" s="209"/>
      <c r="U458" s="25" t="s">
        <v>10</v>
      </c>
      <c r="V458" s="24" t="s">
        <v>9</v>
      </c>
      <c r="W458" s="209"/>
      <c r="X458" s="25" t="s">
        <v>10</v>
      </c>
      <c r="Y458" s="15"/>
      <c r="AA458" s="64"/>
    </row>
    <row r="459" spans="1:27" ht="21" hidden="1" customHeight="1" x14ac:dyDescent="0.2">
      <c r="B459" s="89" t="s">
        <v>193</v>
      </c>
      <c r="C459" s="87"/>
      <c r="D459" s="17"/>
      <c r="E459" s="96">
        <f>IF(MONTH(W453)=MONTH(W454),((YEAR(W454)-YEAR(W453))*12)-12+(12-MONTH(W453))+MONTH(W454)-1+(EOMONTH(W453,0)-W453+1)/DAY(EOMONTH(W453,0))+(1-(EOMONTH(W454,0)-W454)/DAY(EOMONTH(W454,0))),((YEAR(W454)-YEAR(W453))*12)-12+(12-MONTH(W453))+MONTH(W454)-1+(EOMONTH(W453,0)-W453+1)/DAY(EOMONTH(W453,0))+(1-(EOMONTH(W454,0)-W454)/DAY(EOMONTH(W454,0))))</f>
        <v>3.2258064516129004E-2</v>
      </c>
      <c r="F459" s="96">
        <f>ROUND(IF(AND(W453&lt;&gt;"",W454&lt;&gt;""),IF(E459&lt;=1,1,E459),0),2)</f>
        <v>0</v>
      </c>
      <c r="G459" s="17"/>
      <c r="H459" s="204"/>
      <c r="I459" s="2"/>
      <c r="J459" s="17"/>
      <c r="K459" s="204"/>
      <c r="L459" s="2"/>
      <c r="M459" s="17"/>
      <c r="N459" s="204"/>
      <c r="O459" s="2"/>
      <c r="P459" s="17"/>
      <c r="Q459" s="204"/>
      <c r="R459" s="2"/>
      <c r="S459" s="17"/>
      <c r="T459" s="204"/>
      <c r="U459" s="2"/>
      <c r="V459" s="17"/>
      <c r="W459" s="204"/>
      <c r="X459" s="2"/>
      <c r="Y459" s="15"/>
      <c r="AA459" s="64"/>
    </row>
    <row r="460" spans="1:27" ht="21" hidden="1" customHeight="1" x14ac:dyDescent="0.2">
      <c r="B460" s="89" t="s">
        <v>197</v>
      </c>
      <c r="C460" s="87"/>
      <c r="D460" s="17"/>
      <c r="E460" s="96">
        <f>IF(MONTH(T453)=MONTH(T454),((YEAR(T454)-YEAR(T453))*12)-12+(12-MONTH(T453))+MONTH(T454)-1+(EOMONTH(T453,0)-T453+1)/DAY(EOMONTH(T453,0))+(1-(EOMONTH(T454,0)-T454)/DAY(EOMONTH(T454,0))),((YEAR(T454)-YEAR(T453))*12)-12+(12-MONTH(T453))+MONTH(T454)-1+(EOMONTH(T453,0)-T453+1)/DAY(EOMONTH(T453,0))+(1-(EOMONTH(T454,0)-T454)/DAY(EOMONTH(T454,0))))</f>
        <v>3.2258064516129004E-2</v>
      </c>
      <c r="F460" s="96">
        <f>ROUND(IF(AND(T453&lt;&gt;"",T454&lt;&gt;""),IF(E460&lt;=1,1,E460),0),2)</f>
        <v>0</v>
      </c>
      <c r="G460" s="17"/>
      <c r="H460" s="204"/>
      <c r="I460" s="2"/>
      <c r="J460" s="17"/>
      <c r="K460" s="204"/>
      <c r="L460" s="2"/>
      <c r="M460" s="17"/>
      <c r="N460" s="204"/>
      <c r="O460" s="2"/>
      <c r="P460" s="17"/>
      <c r="Q460" s="204"/>
      <c r="R460" s="2"/>
      <c r="S460" s="17"/>
      <c r="T460" s="204"/>
      <c r="U460" s="2"/>
      <c r="V460" s="17"/>
      <c r="W460" s="204"/>
      <c r="X460" s="2"/>
      <c r="Y460" s="15"/>
      <c r="AA460" s="64"/>
    </row>
    <row r="461" spans="1:27" ht="21" hidden="1" customHeight="1" x14ac:dyDescent="0.2">
      <c r="B461" s="89" t="s">
        <v>194</v>
      </c>
      <c r="C461" s="87"/>
      <c r="D461" s="17"/>
      <c r="E461" s="105">
        <f>IF(MONTH(Q453)=MONTH(Q454),((YEAR(Q454)-YEAR(Q453))*12)-12+(12-MONTH(Q453))+MONTH(Q454)-1+(EOMONTH(Q453,0)-Q453+1)/DAY(EOMONTH(Q453,0))+(1-(EOMONTH(Q454,0)-Q454)/DAY(EOMONTH(Q454,0))),((YEAR(Q454)-YEAR(Q453))*12)-12+(12-MONTH(Q453))+MONTH(Q454)-1+(EOMONTH(Q453,0)-Q453+1)/DAY(EOMONTH(Q453,0))+(1-(EOMONTH(Q454,0)-Q454)/DAY(EOMONTH(Q454,0))))</f>
        <v>3.2258064516129004E-2</v>
      </c>
      <c r="F461" s="105">
        <f>ROUND(IF(AND(Q453&lt;&gt;"",Q454&lt;&gt;""),IF(E461&lt;=1,1,E461),0),2)</f>
        <v>0</v>
      </c>
      <c r="G461" s="17"/>
      <c r="H461" s="204"/>
      <c r="I461" s="2"/>
      <c r="J461" s="17"/>
      <c r="K461" s="204"/>
      <c r="L461" s="2"/>
      <c r="M461" s="17"/>
      <c r="N461" s="204"/>
      <c r="O461" s="2"/>
      <c r="P461" s="17"/>
      <c r="Q461" s="204"/>
      <c r="R461" s="2"/>
      <c r="S461" s="17"/>
      <c r="T461" s="204"/>
      <c r="U461" s="2"/>
      <c r="V461" s="17"/>
      <c r="W461" s="204"/>
      <c r="X461" s="2"/>
      <c r="Y461" s="15"/>
      <c r="AA461" s="64"/>
    </row>
    <row r="462" spans="1:27" ht="21" hidden="1" customHeight="1" x14ac:dyDescent="0.2">
      <c r="B462" s="89" t="s">
        <v>195</v>
      </c>
      <c r="C462" s="87"/>
      <c r="D462" s="17"/>
      <c r="E462" s="96">
        <f>IF(MONTH(N453)=MONTH(N454),((YEAR(N454)-YEAR(N453))*12)-12+(12-MONTH(N453))+MONTH(N454)-1+(EOMONTH(N453,0)-N453+1)/DAY(EOMONTH(N453,0))+(1-(EOMONTH(N454,0)-N454)/DAY(EOMONTH(N454,0))),((YEAR(N454)-YEAR(N453))*12)-12+(12-MONTH(N453))+MONTH(N454)-1+(EOMONTH(N453,0)-N453+1)/DAY(EOMONTH(N453,0))+(1-(EOMONTH(N454,0)-N454)/DAY(EOMONTH(N454,0))))</f>
        <v>3.2258064516129004E-2</v>
      </c>
      <c r="F462" s="96">
        <f>ROUND(IF(AND(N453&lt;&gt;"",N454&lt;&gt;""),IF(E462&lt;=1,1,E462),0),2)</f>
        <v>0</v>
      </c>
      <c r="G462" s="17"/>
      <c r="H462" s="204"/>
      <c r="I462" s="2"/>
      <c r="J462" s="17"/>
      <c r="K462" s="204"/>
      <c r="L462" s="2"/>
      <c r="M462" s="17"/>
      <c r="N462" s="204"/>
      <c r="O462" s="2"/>
      <c r="P462" s="17"/>
      <c r="Q462" s="204"/>
      <c r="R462" s="2"/>
      <c r="S462" s="17"/>
      <c r="T462" s="204"/>
      <c r="U462" s="2"/>
      <c r="V462" s="17"/>
      <c r="W462" s="204"/>
      <c r="X462" s="2"/>
      <c r="Y462" s="15"/>
      <c r="AA462" s="64"/>
    </row>
    <row r="463" spans="1:27" ht="21" hidden="1" customHeight="1" x14ac:dyDescent="0.2">
      <c r="B463" s="89" t="s">
        <v>196</v>
      </c>
      <c r="C463" s="87"/>
      <c r="D463" s="107"/>
      <c r="E463" s="96">
        <f>IF(MONTH(K453)=MONTH(K454),((YEAR(K454)-YEAR(K453))*12)-12+(12-MONTH(K453))+MONTH(K454)-1+(EOMONTH(K453,0)-K453+1)/DAY(EOMONTH(K453,0))+(1-(EOMONTH(K454,0)-K454)/DAY(EOMONTH(K454,0))),((YEAR(K454)-YEAR(K453))*12)-12+(12-MONTH(K453))+MONTH(K454)-1+(EOMONTH(K453,0)-K453+1)/DAY(EOMONTH(K453,0))+(1-(EOMONTH(K454,0)-K454)/DAY(EOMONTH(K454,0))))</f>
        <v>3.2258064516129004E-2</v>
      </c>
      <c r="F463" s="96">
        <f>ROUND(IF(AND(K453&lt;&gt;"",K454&lt;&gt;""),IF(E463&lt;=1,1,E463),0),2)</f>
        <v>0</v>
      </c>
      <c r="G463" s="103" t="s">
        <v>65</v>
      </c>
      <c r="H463" s="206"/>
      <c r="I463" s="2"/>
      <c r="J463" s="2"/>
      <c r="K463" s="206"/>
      <c r="L463" s="2"/>
      <c r="M463" s="2"/>
      <c r="N463" s="206"/>
      <c r="O463" s="2"/>
      <c r="P463" s="2"/>
      <c r="Q463" s="206"/>
      <c r="R463" s="2"/>
      <c r="S463" s="2"/>
      <c r="T463" s="206"/>
      <c r="U463" s="2"/>
      <c r="V463" s="2"/>
      <c r="W463" s="206"/>
      <c r="X463" s="2"/>
      <c r="Y463" s="15"/>
      <c r="AA463" s="64"/>
    </row>
    <row r="464" spans="1:27" ht="13.25" hidden="1" customHeight="1" x14ac:dyDescent="0.2">
      <c r="B464" s="89"/>
      <c r="C464" s="87"/>
      <c r="D464" s="17"/>
      <c r="E464" s="96" t="s">
        <v>199</v>
      </c>
      <c r="F464" s="96" t="s">
        <v>199</v>
      </c>
      <c r="G464" s="24"/>
      <c r="H464" s="27"/>
      <c r="I464" s="2"/>
      <c r="J464" s="24"/>
      <c r="K464" s="27"/>
      <c r="L464" s="2"/>
      <c r="M464" s="24"/>
      <c r="N464" s="27"/>
      <c r="O464" s="2"/>
      <c r="P464" s="24"/>
      <c r="Q464" s="27"/>
      <c r="R464" s="2"/>
      <c r="S464" s="24"/>
      <c r="T464" s="27"/>
      <c r="U464" s="2"/>
      <c r="V464" s="24"/>
      <c r="W464" s="27"/>
      <c r="X464" s="2"/>
      <c r="Y464" s="15"/>
      <c r="AA464" s="64"/>
    </row>
    <row r="465" spans="2:27" ht="21" hidden="1" customHeight="1" x14ac:dyDescent="0.2">
      <c r="B465" s="89" t="s">
        <v>3</v>
      </c>
      <c r="C465" s="87"/>
      <c r="D465" s="17"/>
      <c r="E465" s="96"/>
      <c r="F465" s="96"/>
      <c r="G465" s="24"/>
      <c r="H465" s="222">
        <f>IFERROR(SUM(H459:H463)-H457-H458+H456,0)</f>
        <v>0</v>
      </c>
      <c r="I465" s="2"/>
      <c r="J465" s="24"/>
      <c r="K465" s="222">
        <f>IFERROR(SUM(K459:K463)-K457-K458+K456,0)</f>
        <v>0</v>
      </c>
      <c r="L465" s="2"/>
      <c r="M465" s="24"/>
      <c r="N465" s="222">
        <f>IFERROR(SUM(N459:N463)-N457-N458+N456,0)</f>
        <v>0</v>
      </c>
      <c r="O465" s="2"/>
      <c r="P465" s="24"/>
      <c r="Q465" s="222">
        <f>IFERROR(SUM(Q459:Q463)-Q457-Q458+Q456,0)</f>
        <v>0</v>
      </c>
      <c r="R465" s="2"/>
      <c r="S465" s="24"/>
      <c r="T465" s="222">
        <f>IFERROR(SUM(T459:T463)-T457-T458+T456,0)</f>
        <v>0</v>
      </c>
      <c r="U465" s="2"/>
      <c r="V465" s="24"/>
      <c r="W465" s="222">
        <f>IFERROR(SUM(W459:W463)-W457-W458+W456,0)</f>
        <v>0</v>
      </c>
      <c r="X465" s="2"/>
      <c r="Y465" s="15"/>
      <c r="AA465" s="64"/>
    </row>
    <row r="466" spans="2:27" ht="21" hidden="1" customHeight="1" x14ac:dyDescent="0.2">
      <c r="B466" s="89" t="s">
        <v>213</v>
      </c>
      <c r="C466" s="87"/>
      <c r="D466" s="17"/>
      <c r="E466" s="96"/>
      <c r="F466" s="96"/>
      <c r="G466" s="24"/>
      <c r="H466" s="54"/>
      <c r="I466" s="2"/>
      <c r="J466" s="24"/>
      <c r="K466" s="54"/>
      <c r="L466" s="2"/>
      <c r="M466" s="24"/>
      <c r="N466" s="54"/>
      <c r="O466" s="2"/>
      <c r="P466" s="24"/>
      <c r="Q466" s="54"/>
      <c r="R466" s="2"/>
      <c r="S466" s="24"/>
      <c r="T466" s="54"/>
      <c r="U466" s="2"/>
      <c r="V466" s="24"/>
      <c r="W466" s="54"/>
      <c r="X466" s="2"/>
      <c r="Y466" s="15"/>
      <c r="AA466" s="64"/>
    </row>
    <row r="467" spans="2:27" ht="21" hidden="1" customHeight="1" x14ac:dyDescent="0.2">
      <c r="B467" s="89" t="s">
        <v>220</v>
      </c>
      <c r="C467" s="87"/>
      <c r="D467" s="17"/>
      <c r="E467" s="96"/>
      <c r="F467" s="96"/>
      <c r="G467" s="24"/>
      <c r="H467" s="210">
        <f>ROUND(IFERROR(H465*H466,0),2)</f>
        <v>0</v>
      </c>
      <c r="I467" s="2"/>
      <c r="J467" s="24"/>
      <c r="K467" s="210">
        <f>ROUND(IFERROR(K465*K466,0),2)</f>
        <v>0</v>
      </c>
      <c r="L467" s="2"/>
      <c r="M467" s="24"/>
      <c r="N467" s="210">
        <f>ROUND(IFERROR(N465*N466,0),2)</f>
        <v>0</v>
      </c>
      <c r="O467" s="2"/>
      <c r="P467" s="24"/>
      <c r="Q467" s="210">
        <f>ROUND(IFERROR(Q465*Q466,0),2)</f>
        <v>0</v>
      </c>
      <c r="R467" s="2"/>
      <c r="S467" s="24"/>
      <c r="T467" s="210">
        <f>ROUND(IFERROR(T465*T466,0),2)</f>
        <v>0</v>
      </c>
      <c r="U467" s="2"/>
      <c r="V467" s="24"/>
      <c r="W467" s="210">
        <f>ROUND(IFERROR(W465*W466,0),2)</f>
        <v>0</v>
      </c>
      <c r="X467" s="2"/>
      <c r="Y467" s="15"/>
      <c r="AA467" s="64"/>
    </row>
    <row r="468" spans="2:27" ht="10.25" hidden="1" customHeight="1" x14ac:dyDescent="0.2">
      <c r="B468" s="89"/>
      <c r="C468" s="87"/>
      <c r="D468" s="17"/>
      <c r="E468" s="96"/>
      <c r="F468" s="96"/>
      <c r="G468" s="24"/>
      <c r="H468" s="27"/>
      <c r="I468" s="2"/>
      <c r="J468" s="24"/>
      <c r="K468" s="27"/>
      <c r="L468" s="2"/>
      <c r="M468" s="24"/>
      <c r="N468" s="27"/>
      <c r="O468" s="2"/>
      <c r="P468" s="24"/>
      <c r="Q468" s="27"/>
      <c r="R468" s="2"/>
      <c r="S468" s="24"/>
      <c r="T468" s="27"/>
      <c r="U468" s="2"/>
      <c r="V468" s="24"/>
      <c r="W468" s="27"/>
      <c r="X468" s="2"/>
      <c r="Y468" s="15"/>
      <c r="AA468" s="64"/>
    </row>
    <row r="469" spans="2:27" ht="21" hidden="1" customHeight="1" x14ac:dyDescent="0.2">
      <c r="B469" s="89" t="s">
        <v>204</v>
      </c>
      <c r="C469" s="87"/>
      <c r="D469" s="17"/>
      <c r="E469" s="96"/>
      <c r="F469" s="96"/>
      <c r="G469" s="24"/>
      <c r="H469" s="208"/>
      <c r="I469" s="2"/>
      <c r="J469" s="24"/>
      <c r="K469" s="208"/>
      <c r="L469" s="2"/>
      <c r="M469" s="24"/>
      <c r="N469" s="208"/>
      <c r="O469" s="2"/>
      <c r="P469" s="24"/>
      <c r="Q469" s="208"/>
      <c r="R469" s="2"/>
      <c r="S469" s="24"/>
      <c r="T469" s="208"/>
      <c r="U469" s="2"/>
      <c r="V469" s="24"/>
      <c r="W469" s="208"/>
      <c r="X469" s="2"/>
      <c r="Y469" s="15"/>
      <c r="AA469" s="64"/>
    </row>
    <row r="470" spans="2:27" ht="6.5" hidden="1" customHeight="1" x14ac:dyDescent="0.2">
      <c r="B470" s="89"/>
      <c r="C470" s="87"/>
      <c r="D470" s="17"/>
      <c r="E470" s="96"/>
      <c r="F470" s="96"/>
      <c r="G470" s="24"/>
      <c r="H470" s="27"/>
      <c r="I470" s="2"/>
      <c r="J470" s="24"/>
      <c r="K470" s="27"/>
      <c r="L470" s="2"/>
      <c r="M470" s="24"/>
      <c r="N470" s="27"/>
      <c r="O470" s="2"/>
      <c r="P470" s="24"/>
      <c r="Q470" s="27"/>
      <c r="R470" s="2"/>
      <c r="S470" s="24"/>
      <c r="T470" s="27"/>
      <c r="U470" s="2"/>
      <c r="V470" s="24"/>
      <c r="W470" s="27"/>
      <c r="X470" s="2"/>
      <c r="Y470" s="15"/>
      <c r="AA470" s="2"/>
    </row>
    <row r="471" spans="2:27" ht="21" hidden="1" customHeight="1" x14ac:dyDescent="0.2">
      <c r="B471" s="90"/>
      <c r="C471" s="88"/>
      <c r="D471" s="99" t="s">
        <v>209</v>
      </c>
      <c r="E471" s="96" t="s">
        <v>199</v>
      </c>
      <c r="F471" s="96" t="s">
        <v>199</v>
      </c>
      <c r="G471" s="80"/>
      <c r="H471" s="210">
        <f>IFERROR(H467+H469,0)</f>
        <v>0</v>
      </c>
      <c r="I471" s="2"/>
      <c r="J471" s="80"/>
      <c r="K471" s="210">
        <f>IFERROR(K467+K469,0)</f>
        <v>0</v>
      </c>
      <c r="L471" s="2"/>
      <c r="M471" s="80"/>
      <c r="N471" s="210">
        <f>IFERROR(N467+N469,0)</f>
        <v>0</v>
      </c>
      <c r="O471" s="2"/>
      <c r="P471" s="80"/>
      <c r="Q471" s="210">
        <f>IFERROR(Q467+Q469,0)</f>
        <v>0</v>
      </c>
      <c r="R471" s="2"/>
      <c r="S471" s="80"/>
      <c r="T471" s="210">
        <f>IFERROR(T467+T469,0)</f>
        <v>0</v>
      </c>
      <c r="U471" s="2"/>
      <c r="V471" s="80"/>
      <c r="W471" s="210">
        <f>IFERROR(W467+W469,0)</f>
        <v>0</v>
      </c>
      <c r="X471" s="2"/>
      <c r="Y471" s="15"/>
      <c r="AA471" s="2"/>
    </row>
    <row r="472" spans="2:27" ht="21" hidden="1" customHeight="1" x14ac:dyDescent="0.2">
      <c r="B472" s="90"/>
      <c r="C472" s="88"/>
      <c r="D472" s="93" t="s">
        <v>210</v>
      </c>
      <c r="E472" s="96">
        <f>IF(MONTH(H453)=MONTH(H454),((YEAR(H454)-YEAR(H453))*12)-12+(12-MONTH(H453))+MONTH(H454)-1+(EOMONTH(H453,0)-H453+1)/DAY(EOMONTH(H453,0))+(1-(EOMONTH(H454,0)-H454)/DAY(EOMONTH(H454,0))),((YEAR(H454)-YEAR(H453))*12)-12+(12-MONTH(H453))+MONTH(H454)-1+(EOMONTH(H453,0)-H453+1)/DAY(EOMONTH(H453,0))+(1-(EOMONTH(H454,0)-H454)/DAY(EOMONTH(H454,0))))</f>
        <v>3.2258064516129004E-2</v>
      </c>
      <c r="F472" s="96">
        <f>ROUND(IF(AND(H453&lt;&gt;"",H454&lt;&gt;""),IF(E472&lt;=1,1,E472),0),2)</f>
        <v>0</v>
      </c>
      <c r="G472" s="17"/>
      <c r="H472" s="210">
        <f>ROUND(IFERROR(H471/F472,0),2)</f>
        <v>0</v>
      </c>
      <c r="I472" s="2"/>
      <c r="J472" s="17"/>
      <c r="K472" s="210">
        <f>ROUND(IFERROR(K471/F463,0),2)</f>
        <v>0</v>
      </c>
      <c r="L472" s="2"/>
      <c r="M472" s="17"/>
      <c r="N472" s="210">
        <f>ROUND(IFERROR(N471/F462,0),2)</f>
        <v>0</v>
      </c>
      <c r="O472" s="2"/>
      <c r="P472" s="17"/>
      <c r="Q472" s="210">
        <f>ROUND(IFERROR(Q471/F461,0),2)</f>
        <v>0</v>
      </c>
      <c r="R472" s="2"/>
      <c r="S472" s="17"/>
      <c r="T472" s="210">
        <f>ROUND(IFERROR(T471/F460,0),2)</f>
        <v>0</v>
      </c>
      <c r="U472" s="2"/>
      <c r="V472" s="17"/>
      <c r="W472" s="210">
        <f>ROUND(IFERROR(W471/F459,0),2)</f>
        <v>0</v>
      </c>
      <c r="X472" s="2"/>
      <c r="Y472" s="15"/>
      <c r="AA472" s="2"/>
    </row>
    <row r="473" spans="2:27" ht="8.25" hidden="1" customHeight="1" thickBot="1" x14ac:dyDescent="0.25">
      <c r="B473" s="18"/>
      <c r="C473" s="19"/>
      <c r="D473" s="19"/>
      <c r="E473" s="19"/>
      <c r="F473" s="19"/>
      <c r="G473" s="19"/>
      <c r="H473" s="19"/>
      <c r="I473" s="19"/>
      <c r="J473" s="19"/>
      <c r="K473" s="19"/>
      <c r="L473" s="19"/>
      <c r="M473" s="19"/>
      <c r="N473" s="19"/>
      <c r="O473" s="19"/>
      <c r="P473" s="19"/>
      <c r="Q473" s="19"/>
      <c r="R473" s="19"/>
      <c r="S473" s="19"/>
      <c r="T473" s="19"/>
      <c r="U473" s="19"/>
      <c r="V473" s="19"/>
      <c r="W473" s="19"/>
      <c r="X473" s="19"/>
      <c r="Y473" s="20"/>
      <c r="AA473" s="2"/>
    </row>
    <row r="474" spans="2:27" ht="14" customHeight="1" x14ac:dyDescent="0.2">
      <c r="B474" s="3"/>
      <c r="E474" s="21"/>
      <c r="F474" s="21"/>
      <c r="I474" s="21"/>
      <c r="J474" s="21"/>
      <c r="K474" s="21"/>
      <c r="L474" s="21"/>
      <c r="M474" s="21"/>
      <c r="N474" s="21"/>
      <c r="O474" s="21"/>
      <c r="P474" s="21"/>
      <c r="Q474" s="21"/>
      <c r="R474" s="21"/>
      <c r="S474" s="21"/>
      <c r="T474" s="21"/>
      <c r="U474" s="21"/>
      <c r="V474" s="21"/>
      <c r="W474" s="21"/>
      <c r="X474" s="21"/>
    </row>
    <row r="475" spans="2:27" s="2" customFormat="1" ht="5.5" customHeight="1" x14ac:dyDescent="0.2">
      <c r="C475" s="35"/>
    </row>
    <row r="476" spans="2:27" s="2" customFormat="1" ht="24" customHeight="1" x14ac:dyDescent="0.2">
      <c r="B476" s="46"/>
      <c r="C476" s="47" t="s">
        <v>148</v>
      </c>
      <c r="D476" s="48"/>
      <c r="E476" s="48"/>
      <c r="F476" s="48"/>
      <c r="G476" s="48"/>
      <c r="H476" s="48"/>
      <c r="I476" s="48"/>
      <c r="J476" s="48"/>
      <c r="K476" s="48"/>
      <c r="L476" s="48"/>
      <c r="M476" s="48"/>
      <c r="N476" s="48"/>
      <c r="O476" s="48"/>
      <c r="P476" s="48"/>
      <c r="Q476" s="48"/>
      <c r="R476" s="48"/>
      <c r="S476" s="48"/>
      <c r="T476" s="48"/>
      <c r="U476" s="48"/>
      <c r="V476" s="48"/>
      <c r="W476" s="48"/>
      <c r="X476" s="48"/>
      <c r="Y476" s="49"/>
    </row>
    <row r="477" spans="2:27" s="4" customFormat="1" ht="22.25" customHeight="1" x14ac:dyDescent="0.2">
      <c r="B477" s="50"/>
      <c r="C477" s="275"/>
      <c r="D477" s="276"/>
      <c r="E477" s="276"/>
      <c r="F477" s="276"/>
      <c r="G477" s="276"/>
      <c r="H477" s="276"/>
      <c r="I477" s="276"/>
      <c r="J477" s="276"/>
      <c r="K477" s="276"/>
      <c r="L477" s="276"/>
      <c r="M477" s="276"/>
      <c r="N477" s="276"/>
      <c r="O477" s="276"/>
      <c r="P477" s="276"/>
      <c r="Q477" s="276"/>
      <c r="R477" s="276"/>
      <c r="S477" s="276"/>
      <c r="T477" s="276"/>
      <c r="U477" s="276"/>
      <c r="V477" s="276"/>
      <c r="W477" s="276"/>
      <c r="X477" s="276"/>
      <c r="Y477" s="66" t="s">
        <v>65</v>
      </c>
      <c r="Z477" s="67" t="s">
        <v>65</v>
      </c>
    </row>
    <row r="478" spans="2:27" s="4" customFormat="1" ht="22.25" customHeight="1" x14ac:dyDescent="0.2">
      <c r="B478" s="50"/>
      <c r="C478" s="278"/>
      <c r="D478" s="279"/>
      <c r="E478" s="279"/>
      <c r="F478" s="279"/>
      <c r="G478" s="279"/>
      <c r="H478" s="279"/>
      <c r="I478" s="279"/>
      <c r="J478" s="279"/>
      <c r="K478" s="279"/>
      <c r="L478" s="279"/>
      <c r="M478" s="279"/>
      <c r="N478" s="279"/>
      <c r="O478" s="279"/>
      <c r="P478" s="279"/>
      <c r="Q478" s="279"/>
      <c r="R478" s="279"/>
      <c r="S478" s="279"/>
      <c r="T478" s="279"/>
      <c r="U478" s="279"/>
      <c r="V478" s="279"/>
      <c r="W478" s="279"/>
      <c r="X478" s="279"/>
      <c r="Y478" s="66" t="s">
        <v>65</v>
      </c>
      <c r="Z478" s="67" t="s">
        <v>65</v>
      </c>
    </row>
    <row r="479" spans="2:27" s="4" customFormat="1" ht="22.25" customHeight="1" x14ac:dyDescent="0.2">
      <c r="B479" s="50"/>
      <c r="C479" s="278"/>
      <c r="D479" s="279"/>
      <c r="E479" s="279"/>
      <c r="F479" s="279"/>
      <c r="G479" s="279"/>
      <c r="H479" s="279"/>
      <c r="I479" s="279"/>
      <c r="J479" s="279"/>
      <c r="K479" s="279"/>
      <c r="L479" s="279"/>
      <c r="M479" s="279"/>
      <c r="N479" s="279"/>
      <c r="O479" s="279"/>
      <c r="P479" s="279"/>
      <c r="Q479" s="279"/>
      <c r="R479" s="279"/>
      <c r="S479" s="279"/>
      <c r="T479" s="279"/>
      <c r="U479" s="279"/>
      <c r="V479" s="279"/>
      <c r="W479" s="279"/>
      <c r="X479" s="279"/>
      <c r="Y479" s="66" t="s">
        <v>65</v>
      </c>
      <c r="Z479" s="67" t="s">
        <v>65</v>
      </c>
    </row>
    <row r="480" spans="2:27" s="4" customFormat="1" ht="22.25" customHeight="1" x14ac:dyDescent="0.2">
      <c r="B480" s="50"/>
      <c r="C480" s="278"/>
      <c r="D480" s="279"/>
      <c r="E480" s="279"/>
      <c r="F480" s="279"/>
      <c r="G480" s="279"/>
      <c r="H480" s="279"/>
      <c r="I480" s="279"/>
      <c r="J480" s="279"/>
      <c r="K480" s="279"/>
      <c r="L480" s="279"/>
      <c r="M480" s="279"/>
      <c r="N480" s="279"/>
      <c r="O480" s="279"/>
      <c r="P480" s="279"/>
      <c r="Q480" s="279"/>
      <c r="R480" s="279"/>
      <c r="S480" s="279"/>
      <c r="T480" s="279"/>
      <c r="U480" s="279"/>
      <c r="V480" s="279"/>
      <c r="W480" s="279"/>
      <c r="X480" s="279"/>
      <c r="Y480" s="66" t="s">
        <v>65</v>
      </c>
      <c r="Z480" s="67" t="s">
        <v>65</v>
      </c>
    </row>
    <row r="481" spans="2:26" s="4" customFormat="1" ht="22.25" customHeight="1" x14ac:dyDescent="0.2">
      <c r="B481" s="50"/>
      <c r="C481" s="278"/>
      <c r="D481" s="279"/>
      <c r="E481" s="279"/>
      <c r="F481" s="279"/>
      <c r="G481" s="279"/>
      <c r="H481" s="279"/>
      <c r="I481" s="279"/>
      <c r="J481" s="279"/>
      <c r="K481" s="279"/>
      <c r="L481" s="279"/>
      <c r="M481" s="279"/>
      <c r="N481" s="279"/>
      <c r="O481" s="279"/>
      <c r="P481" s="279"/>
      <c r="Q481" s="279"/>
      <c r="R481" s="279"/>
      <c r="S481" s="279"/>
      <c r="T481" s="279"/>
      <c r="U481" s="279"/>
      <c r="V481" s="279"/>
      <c r="W481" s="279"/>
      <c r="X481" s="279"/>
      <c r="Y481" s="66" t="s">
        <v>65</v>
      </c>
      <c r="Z481" s="67" t="s">
        <v>65</v>
      </c>
    </row>
    <row r="482" spans="2:26" s="4" customFormat="1" ht="22.25" customHeight="1" x14ac:dyDescent="0.2">
      <c r="B482" s="50"/>
      <c r="C482" s="278"/>
      <c r="D482" s="279"/>
      <c r="E482" s="279"/>
      <c r="F482" s="279"/>
      <c r="G482" s="279"/>
      <c r="H482" s="279"/>
      <c r="I482" s="279"/>
      <c r="J482" s="279"/>
      <c r="K482" s="279"/>
      <c r="L482" s="279"/>
      <c r="M482" s="279"/>
      <c r="N482" s="279"/>
      <c r="O482" s="279"/>
      <c r="P482" s="279"/>
      <c r="Q482" s="279"/>
      <c r="R482" s="279"/>
      <c r="S482" s="279"/>
      <c r="T482" s="279"/>
      <c r="U482" s="279"/>
      <c r="V482" s="279"/>
      <c r="W482" s="279"/>
      <c r="X482" s="279"/>
      <c r="Y482" s="66" t="s">
        <v>65</v>
      </c>
      <c r="Z482" s="67" t="s">
        <v>65</v>
      </c>
    </row>
    <row r="483" spans="2:26" s="4" customFormat="1" ht="22.25" customHeight="1" x14ac:dyDescent="0.2">
      <c r="B483" s="50"/>
      <c r="C483" s="278"/>
      <c r="D483" s="279"/>
      <c r="E483" s="279"/>
      <c r="F483" s="279"/>
      <c r="G483" s="279"/>
      <c r="H483" s="279"/>
      <c r="I483" s="279"/>
      <c r="J483" s="279"/>
      <c r="K483" s="279"/>
      <c r="L483" s="279"/>
      <c r="M483" s="279"/>
      <c r="N483" s="279"/>
      <c r="O483" s="279"/>
      <c r="P483" s="279"/>
      <c r="Q483" s="279"/>
      <c r="R483" s="279"/>
      <c r="S483" s="279"/>
      <c r="T483" s="279"/>
      <c r="U483" s="279"/>
      <c r="V483" s="279"/>
      <c r="W483" s="279"/>
      <c r="X483" s="279"/>
      <c r="Y483" s="66" t="s">
        <v>65</v>
      </c>
      <c r="Z483" s="67" t="s">
        <v>65</v>
      </c>
    </row>
    <row r="484" spans="2:26" s="4" customFormat="1" ht="24" customHeight="1" x14ac:dyDescent="0.2">
      <c r="B484" s="50"/>
      <c r="C484" s="281"/>
      <c r="D484" s="282"/>
      <c r="E484" s="282"/>
      <c r="F484" s="282"/>
      <c r="G484" s="282"/>
      <c r="H484" s="282"/>
      <c r="I484" s="282"/>
      <c r="J484" s="282"/>
      <c r="K484" s="282"/>
      <c r="L484" s="282"/>
      <c r="M484" s="282"/>
      <c r="N484" s="282"/>
      <c r="O484" s="282"/>
      <c r="P484" s="282"/>
      <c r="Q484" s="282"/>
      <c r="R484" s="282"/>
      <c r="S484" s="282"/>
      <c r="T484" s="282"/>
      <c r="U484" s="282"/>
      <c r="V484" s="282"/>
      <c r="W484" s="282"/>
      <c r="X484" s="282"/>
      <c r="Y484" s="66" t="s">
        <v>65</v>
      </c>
      <c r="Z484" s="67" t="s">
        <v>65</v>
      </c>
    </row>
    <row r="485" spans="2:26" ht="21.5" customHeight="1" x14ac:dyDescent="0.2">
      <c r="B485" s="51"/>
      <c r="C485" s="52"/>
      <c r="D485" s="52"/>
      <c r="E485" s="52"/>
      <c r="F485" s="52"/>
      <c r="G485" s="52"/>
      <c r="H485" s="52"/>
      <c r="I485" s="52"/>
      <c r="J485" s="52"/>
      <c r="K485" s="52"/>
      <c r="L485" s="52"/>
      <c r="M485" s="52"/>
      <c r="N485" s="52"/>
      <c r="O485" s="52"/>
      <c r="P485" s="52"/>
      <c r="Q485" s="52"/>
      <c r="R485" s="52"/>
      <c r="S485" s="52"/>
      <c r="T485" s="52"/>
      <c r="U485" s="52"/>
      <c r="V485" s="52"/>
      <c r="W485" s="52"/>
      <c r="X485" s="52"/>
      <c r="Y485" s="53"/>
    </row>
  </sheetData>
  <sheetProtection algorithmName="SHA-512" hashValue="tBu6w4KYFE9ZJfgf60+fU00bpBNrLh4jBcZ0lWCGH413oZUJ8ZLZzmDXRi/PXjWSFdVLNZtfLbRVWvvyovZv/Q==" saltValue="Z7JOG4EpOhCiRrUsBqzT4Q==" spinCount="100000" sheet="1" objects="1" scenarios="1"/>
  <mergeCells count="22">
    <mergeCell ref="G113:L113"/>
    <mergeCell ref="G7:L7"/>
    <mergeCell ref="G26:L26"/>
    <mergeCell ref="G45:L45"/>
    <mergeCell ref="G66:L66"/>
    <mergeCell ref="G87:L87"/>
    <mergeCell ref="C2:K2"/>
    <mergeCell ref="C477:X484"/>
    <mergeCell ref="G139:L139"/>
    <mergeCell ref="G165:L165"/>
    <mergeCell ref="G191:L191"/>
    <mergeCell ref="G217:L217"/>
    <mergeCell ref="G320:L320"/>
    <mergeCell ref="G345:L345"/>
    <mergeCell ref="G370:L370"/>
    <mergeCell ref="G397:L397"/>
    <mergeCell ref="G423:L423"/>
    <mergeCell ref="G449:L449"/>
    <mergeCell ref="H3:V3"/>
    <mergeCell ref="G245:L245"/>
    <mergeCell ref="G270:L270"/>
    <mergeCell ref="G295:L295"/>
  </mergeCells>
  <dataValidations count="5">
    <dataValidation type="custom" allowBlank="1" showErrorMessage="1" errorTitle="Non-Numeric Entry" error="You have entered a non-numeric value in the current cell.  This is not allowed.  Please enter a number or leave the cell blank to continue." sqref="H14 H16:H21 K14 K16:K21 N16:N21 N94 W14 W16:W21 H94 K94 H105:H108 N105:N108 K105:K108 W94 N96:N102 W105:W108 H96:H102 K96:K102 W96:W102 N254:N260 H252 K254:K260 K252 N252 N263:N265 W254:W260 W252 H254:H260 W263:W265 K263:K265 H263:H265 N404 H404 H416:H418 K404 Q468:Q470 N416:N418 T407:T413 W404 H407:H413 W416:W418 K407:K413 K416:K418 N14 Q14 Q16:Q21 T16:T21 T94 Q94 T105:T108 Q105:Q108 T96:T102 Q96:Q102 T254:T260 Q254:Q260 Q252 T252 T263:T265 Q263:Q265 T404 Q404 N407:N413 T416:T418 Q407:Q413 Q416:Q418 T14 H33 H35:H40 K33 K35:K40 N35:N40 W33 W35:W40 N33 Q33 Q35:Q40 T35:T40 T33 H52 H54:H59 K52 K54:K59 N54:N59 W52 W54:W59 N52 Q52 Q54:Q59 T54:T59 T52 H73 H75:H80 K73 K75:K80 N75:N80 W73 W75:W80 N73 Q73 Q75:Q80 T75:T80 T73 N120 H120 K120 H131:H134 N131:N134 K131:K134 W120 N122:N128 W131:W134 H122:H128 K122:K128 W122:W128 T120 Q120 T131:T134 Q131:Q134 T122:T128 Q122:Q128 N146 H146 K146 H157:H160 N157:N160 K157:K160 W146 N148:N154 W157:W160 H148:H154 K148:K154 W148:W154 T146 Q146 T157:T160 Q157:Q160 T148:T154 Q148:Q154 N172 H172 K172 H183:H186 N183:N186 K183:K186 W172 N174:N180 W183:W186 H174:H180 K174:K180 W174:W180 T172 Q172 T183:T186 Q183:Q186 T174:T180 Q174:Q180 N198 H198 K198 H209:H212 N209:N212 K209:K212 W198 N200:N206 W209:W212 H200:H206 K200:K206 W200:W206 T198 Q198 T209:T212 Q209:Q212 T200:T206 Q200:Q206 N224 H224 K224 H235:H238 N235:N238 K235:K238 W224 N226:N232 W235:W238 H226:H232 K226:K232 W226:W232 T224 Q224 T235:T238 Q235:Q238 T226:T232 Q226:Q232 N279:N285 H277 K279:K285 K277 N277 N288:N290 W279:W285 W277 H279:H285 W288:W290 K288:K290 H288:H290 T279:T285 Q279:Q285 Q277 T277 T288:T290 Q288:Q290 N304:N310 H302 K304:K310 K302 N302 N313:N315 W304:W310 W302 H304:H310 W313:W315 K313:K315 H313:H315 T304:T310 Q304:Q310 Q302 T302 T313:T315 Q313:Q315 N329:N335 H327 K329:K335 K327 N327 N338:N340 W329:W335 W327 H329:H335 W338:W340 K338:K340 H338:H340 T329:T335 Q329:Q335 Q327 T327 T338:T340 Q338:Q340 N354:N360 H352 K354:K360 K352 N352 N363:N365 W354:W360 W352 H354:H360 W363:W365 K363:K365 H363:H365 T354:T360 Q354:Q360 Q352 T352 T363:T365 Q363:Q365 N379:N385 H377 K379:K385 K377 N377 N388:N390 W379:W385 W377 H379:H385 W388:W390 K388:K390 H388:H390 T379:T385 Q379:Q385 Q377 T377 T388:T390 Q388:Q390 N430 H430 H442:H444 K430 H433:H439 N442:N444 T433:T439 W430 W407:W413 W442:W444 K433:K439 K442:K444 T430 Q430 N433:N439 T442:T444 Q433:Q439 Q442:Q444 N456 H456 H468:H470 K456 H459:H465 N468:N470 T459:T465 W456 W433:W439 W468:W470 K459:K465 K468:K470 T456 Q456 N459:N465 T468:T470 Q459:Q465 W459:W465" xr:uid="{00000000-0002-0000-0100-000000000000}">
      <formula1>IF(ISNUMBER(H14),TRUE,FALSE)</formula1>
    </dataValidation>
    <dataValidation allowBlank="1" errorTitle="Too Many Characters" error="You have entered too many characters in this text field.  The maximum number of characters allowed is 186.  Please re-enter." sqref="C477" xr:uid="{00000000-0002-0000-0100-000001000000}"/>
    <dataValidation type="custom" allowBlank="1" showErrorMessage="1" errorTitle="Oops!" error="You have either entered a negative number or a non-numeric value.  Please re-enter the value as a positive number.  As this is a &quot;loss&quot; field, Excel will calculate it accordingly." sqref="H15 K15 N95 W15 H95 K95 W95 N253 H253 K253 W253 N405:N406 H405:H406 K405:K406 W405:W406 N15 Q15 T95 Q95 T253 Q253 T405:T406 Q405:Q406 T15 H34 K34 W34 N34 Q34 T34 H53 K53 W53 N53 Q53 T53 H74 K74 W74 N74 Q74 T74 N121 H121 K121 W121 T121 Q121 N147 H147 K147 W147 T147 Q147 N173 H173 K173 W173 T173 Q173 N199 H199 K199 W199 T199 Q199 N225 H225 K225 W225 T225 Q225 N278 H278 K278 W278 T278 Q278 N303 H303 K303 W303 T303 Q303 N328 H328 K328 W328 T328 Q328 N353 H353 K353 W353 T353 Q353 N378 H378 K378 W378 T378 Q378 N431:N432 H431:H432 K431:K432 W431:W432 T431:T432 Q431:Q432 N457:N458 H457:H458 K457:K458 W457:W458 T457:T458 Q457:Q458" xr:uid="{00000000-0002-0000-0100-000002000000}">
      <formula1>IF(OR(NOT(ISNUMBER(H15)),H15&lt;0),FALSE,TRUE)</formula1>
    </dataValidation>
    <dataValidation type="custom" allowBlank="1" showErrorMessage="1" errorTitle="Oops!" error="You have attempted to enter a percentage less than 0% or greater than 100%.  Please re-enter." sqref="H103 K103 W103 N261 H261 K261 W261 N414 H414 K414 W414 N103 Q103 T261 Q261 T414 Q414 T103 H129 K129 W129 N129 Q129 T129 H155 K155 W155 N155 Q155 T155 H181 K181 W181 N181 Q181 T181 H207 K207 W207 N207 Q207 T207 H233 K233 W233 N233 Q233 T233 N286 H286 K286 W286 T286 Q286 N311 H311 K311 W311 T311 Q311 N336 H336 K336 W336 T336 Q336 N361 H361 K361 W361 T361 Q361 N386 H386 K386 W386 T386 Q386 N440 H440 K440 W440 T440 Q440 N466 H466 K466 W466 T466 Q466" xr:uid="{00000000-0002-0000-0100-000003000000}">
      <formula1>IFERROR(IF(OR(H103&gt;1,H103&lt;0),FALSE,TRUE),FALSE)</formula1>
    </dataValidation>
    <dataValidation type="custom" allowBlank="1" showInputMessage="1" showErrorMessage="1" errorTitle="Date Out of Range" error="Use a date within the most recent 3 calendar years. Please re-enter." sqref="W453:W454 T453:T454 Q453:Q454 N453:N454 K453:K454 H453:H454 W427:W428 K30:K31 N30:N31 Q30:Q31 T30:T31 W30:W31 H49:H50 K49:K50 N49:N50 Q49:Q50 T49:T50 W49:W50 H70:H71 K70:K71 N70:N71 Q70:Q71 T70:T71 W70:W71 H91:H92 K91:K92 N91:N92 Q91:Q92 T91:T92 W91:W92 H117:H118 K117:K118 N117:N118 Q117:Q118 T117:T118 W117:W118 H143:H144 K143:K144 N143:N144 Q143:Q144 T143:T144 W143:W144 H169:H170 K169:K170 N169:N170 Q169:Q170 T169:T170 W169:W170 H195:H196 K195:K196 N195:N196 Q195:Q196 T195:T196 W195:W196 H221:H222 K221:K222 N221:N222 Q221:Q222 T221:T222 W221:W222 H249:H250 K249:K250 N249:N250 Q249:Q250 T249:T250 W249:W250 H274:H275 K274:K275 N274:N275 Q274:Q275 T274:T275 W274:W275 H299:H300 K299:K300 N299:N300 Q299:Q300 T299:T300 W299:W300 H324:H325 K324:K325 N324:N325 Q324:Q325 T324:T325 W324:W325 H349:H350 K349:K350 N349:N350 Q349:Q350 T349:T350 W349:W350 H374:H375 K374:K375 N374:N375 Q374:Q375 T374:T375 W374:W375 H401:H402 K401:K402 N401:N402 Q401:Q402 T401:T402 W401:W402 H427:H428 K427:K428 N427:N428 Q427:Q428 T427:T428 H30:H31 H11:H12 K11:K12 N11:N12 Q11:Q12 T11:T12 W11:W12" xr:uid="{00000000-0002-0000-0100-000004000000}">
      <formula1>AND(OR(YEAR(H11)=YEAR_3,YEAR(H11)=YEAR_2,YEAR(H11)=YEAR_1))</formula1>
    </dataValidation>
  </dataValidations>
  <pageMargins left="0.7" right="0.7" top="0.75" bottom="0.75" header="0.3" footer="0.3"/>
  <pageSetup scale="73" fitToHeight="0"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1FD9B6-C9C2-45B2-B1B7-2A73619784F5}">
  <sheetPr codeName="Sheet12">
    <pageSetUpPr fitToPage="1"/>
  </sheetPr>
  <dimension ref="A1:AT467"/>
  <sheetViews>
    <sheetView showGridLines="0" showRowColHeaders="0" zoomScaleNormal="100" workbookViewId="0"/>
  </sheetViews>
  <sheetFormatPr baseColWidth="10" defaultColWidth="0" defaultRowHeight="15" customHeight="1" zeroHeight="1" x14ac:dyDescent="0.2"/>
  <cols>
    <col min="1" max="1" width="5.6640625" customWidth="1"/>
    <col min="2" max="2" width="17.1640625" customWidth="1"/>
    <col min="3" max="42" width="1.5" customWidth="1"/>
    <col min="43" max="44" width="12.33203125" customWidth="1"/>
    <col min="45" max="45" width="5.6640625" customWidth="1"/>
    <col min="46" max="16384" width="9.1640625" hidden="1"/>
  </cols>
  <sheetData>
    <row r="1" spans="2:46" x14ac:dyDescent="0.2">
      <c r="AT1" t="s">
        <v>199</v>
      </c>
    </row>
    <row r="2" spans="2:46" s="1" customFormat="1" ht="39.5" customHeight="1" thickBot="1" x14ac:dyDescent="0.5">
      <c r="B2" s="223" t="s">
        <v>326</v>
      </c>
      <c r="C2" s="224"/>
      <c r="D2" s="225"/>
      <c r="E2" s="225"/>
      <c r="F2" s="225"/>
      <c r="G2" s="225"/>
      <c r="H2" s="225"/>
      <c r="I2" s="225"/>
      <c r="J2" s="225"/>
      <c r="K2" s="225"/>
      <c r="L2" s="225"/>
      <c r="M2" s="225"/>
      <c r="N2" s="225"/>
      <c r="O2" s="225"/>
      <c r="P2" s="225"/>
      <c r="Q2" s="225"/>
      <c r="R2" s="225"/>
      <c r="S2" s="225"/>
      <c r="T2" s="225"/>
      <c r="U2" s="225"/>
      <c r="V2" s="225"/>
      <c r="W2" s="225"/>
      <c r="X2" s="225"/>
      <c r="Y2" s="225"/>
      <c r="Z2" s="225"/>
      <c r="AA2" s="225"/>
      <c r="AB2" s="225"/>
      <c r="AC2" s="225"/>
      <c r="AD2" s="225"/>
      <c r="AE2" s="225"/>
      <c r="AF2" s="225"/>
      <c r="AG2" s="225"/>
      <c r="AH2" s="225"/>
      <c r="AI2" s="225"/>
      <c r="AJ2" s="225"/>
      <c r="AK2" s="225"/>
      <c r="AL2" s="225"/>
      <c r="AM2" s="225"/>
      <c r="AN2" s="225"/>
      <c r="AO2" s="225"/>
      <c r="AP2" s="225"/>
      <c r="AQ2" s="225"/>
      <c r="AR2" s="226"/>
    </row>
    <row r="3" spans="2:46" ht="16" thickTop="1" x14ac:dyDescent="0.2">
      <c r="B3" s="227"/>
      <c r="AR3" s="228" t="s">
        <v>594</v>
      </c>
    </row>
    <row r="4" spans="2:46" ht="7.5" customHeight="1" x14ac:dyDescent="0.2">
      <c r="B4" s="227"/>
    </row>
    <row r="5" spans="2:46" ht="37.5" customHeight="1" x14ac:dyDescent="0.2">
      <c r="B5" s="375" t="s">
        <v>327</v>
      </c>
      <c r="C5" s="375"/>
      <c r="D5" s="375"/>
      <c r="E5" s="375"/>
      <c r="F5" s="375"/>
      <c r="G5" s="375"/>
      <c r="H5" s="375"/>
      <c r="I5" s="375"/>
      <c r="J5" s="375"/>
      <c r="K5" s="375"/>
      <c r="L5" s="375"/>
      <c r="M5" s="375"/>
      <c r="N5" s="375"/>
      <c r="O5" s="375"/>
      <c r="P5" s="375"/>
      <c r="Q5" s="375"/>
      <c r="R5" s="375"/>
      <c r="S5" s="375"/>
      <c r="T5" s="375"/>
      <c r="U5" s="375"/>
      <c r="V5" s="375"/>
      <c r="W5" s="375"/>
      <c r="X5" s="375"/>
      <c r="Y5" s="375"/>
      <c r="Z5" s="375"/>
      <c r="AA5" s="375"/>
      <c r="AB5" s="375"/>
      <c r="AC5" s="375"/>
      <c r="AD5" s="375"/>
      <c r="AE5" s="375"/>
      <c r="AF5" s="375"/>
      <c r="AG5" s="375"/>
      <c r="AH5" s="375"/>
      <c r="AI5" s="375"/>
      <c r="AJ5" s="375"/>
      <c r="AK5" s="375"/>
      <c r="AL5" s="375"/>
      <c r="AM5" s="375"/>
      <c r="AN5" s="375"/>
      <c r="AO5" s="375"/>
      <c r="AP5" s="375"/>
      <c r="AQ5" s="375"/>
      <c r="AR5" s="375"/>
    </row>
    <row r="6" spans="2:46" ht="7.5" customHeight="1" x14ac:dyDescent="0.2">
      <c r="B6" s="227"/>
    </row>
    <row r="7" spans="2:46" ht="30" customHeight="1" x14ac:dyDescent="0.2">
      <c r="B7" s="367" t="s">
        <v>328</v>
      </c>
      <c r="C7" s="367"/>
      <c r="D7" s="367"/>
      <c r="E7" s="367"/>
      <c r="F7" s="367"/>
      <c r="G7" s="367"/>
      <c r="H7" s="367"/>
      <c r="I7" s="367"/>
      <c r="J7" s="367"/>
      <c r="K7" s="367"/>
      <c r="L7" s="367"/>
      <c r="M7" s="367"/>
      <c r="N7" s="367"/>
      <c r="O7" s="367"/>
      <c r="P7" s="367"/>
      <c r="Q7" s="367"/>
      <c r="R7" s="367"/>
      <c r="S7" s="367"/>
      <c r="T7" s="367"/>
      <c r="U7" s="367"/>
      <c r="V7" s="367"/>
      <c r="W7" s="367"/>
      <c r="X7" s="367"/>
      <c r="Y7" s="367"/>
      <c r="Z7" s="367"/>
      <c r="AA7" s="367"/>
      <c r="AB7" s="367"/>
      <c r="AC7" s="367"/>
      <c r="AD7" s="367"/>
      <c r="AE7" s="367"/>
      <c r="AF7" s="367"/>
      <c r="AG7" s="367"/>
      <c r="AH7" s="367"/>
      <c r="AI7" s="367"/>
      <c r="AJ7" s="367"/>
      <c r="AK7" s="367"/>
      <c r="AL7" s="367"/>
      <c r="AM7" s="367"/>
      <c r="AN7" s="367"/>
      <c r="AO7" s="367"/>
      <c r="AP7" s="367"/>
      <c r="AQ7" s="367"/>
      <c r="AR7" s="367"/>
    </row>
    <row r="8" spans="2:46" ht="7.5" customHeight="1" x14ac:dyDescent="0.2">
      <c r="B8" s="227"/>
    </row>
    <row r="9" spans="2:46" ht="30" customHeight="1" x14ac:dyDescent="0.2">
      <c r="B9" s="367" t="s">
        <v>329</v>
      </c>
      <c r="C9" s="367"/>
      <c r="D9" s="367"/>
      <c r="E9" s="367"/>
      <c r="F9" s="367"/>
      <c r="G9" s="367"/>
      <c r="H9" s="367"/>
      <c r="I9" s="367"/>
      <c r="J9" s="367"/>
      <c r="K9" s="367"/>
      <c r="L9" s="367"/>
      <c r="M9" s="367"/>
      <c r="N9" s="367"/>
      <c r="O9" s="367"/>
      <c r="P9" s="367"/>
      <c r="Q9" s="367"/>
      <c r="R9" s="367"/>
      <c r="S9" s="367"/>
      <c r="T9" s="367"/>
      <c r="U9" s="367"/>
      <c r="V9" s="367"/>
      <c r="W9" s="367"/>
      <c r="X9" s="367"/>
      <c r="Y9" s="367"/>
      <c r="Z9" s="367"/>
      <c r="AA9" s="367"/>
      <c r="AB9" s="367"/>
      <c r="AC9" s="367"/>
      <c r="AD9" s="367"/>
      <c r="AE9" s="367"/>
      <c r="AF9" s="367"/>
      <c r="AG9" s="367"/>
      <c r="AH9" s="367"/>
      <c r="AI9" s="367"/>
      <c r="AJ9" s="367"/>
      <c r="AK9" s="367"/>
      <c r="AL9" s="367"/>
      <c r="AM9" s="367"/>
      <c r="AN9" s="367"/>
      <c r="AO9" s="367"/>
      <c r="AP9" s="367"/>
      <c r="AQ9" s="367"/>
      <c r="AR9" s="367"/>
    </row>
    <row r="10" spans="2:46" ht="18.75" customHeight="1" x14ac:dyDescent="0.2">
      <c r="B10" s="229"/>
    </row>
    <row r="11" spans="2:46" ht="55.5" customHeight="1" x14ac:dyDescent="0.2">
      <c r="B11" s="379" t="s">
        <v>330</v>
      </c>
      <c r="C11" s="379"/>
      <c r="D11" s="379"/>
      <c r="E11" s="379"/>
      <c r="F11" s="379"/>
      <c r="G11" s="379"/>
      <c r="H11" s="379"/>
      <c r="I11" s="379"/>
      <c r="J11" s="379"/>
      <c r="K11" s="379"/>
      <c r="L11" s="379"/>
      <c r="M11" s="379"/>
      <c r="N11" s="379"/>
      <c r="O11" s="379"/>
      <c r="P11" s="379"/>
      <c r="Q11" s="379"/>
      <c r="R11" s="379"/>
      <c r="S11" s="379"/>
      <c r="T11" s="379"/>
      <c r="U11" s="379"/>
      <c r="V11" s="379"/>
      <c r="W11" s="379"/>
      <c r="X11" s="379"/>
      <c r="Y11" s="379"/>
      <c r="Z11" s="379"/>
      <c r="AA11" s="379"/>
      <c r="AB11" s="379"/>
      <c r="AC11" s="379"/>
      <c r="AD11" s="379"/>
      <c r="AE11" s="379"/>
      <c r="AF11" s="379"/>
      <c r="AG11" s="379"/>
      <c r="AH11" s="379"/>
      <c r="AI11" s="379"/>
      <c r="AJ11" s="379"/>
      <c r="AK11" s="379"/>
      <c r="AL11" s="379"/>
      <c r="AM11" s="379"/>
      <c r="AN11" s="379"/>
      <c r="AO11" s="379"/>
      <c r="AP11" s="379"/>
      <c r="AQ11" s="379"/>
      <c r="AR11" s="379"/>
    </row>
    <row r="12" spans="2:46" x14ac:dyDescent="0.2">
      <c r="B12" s="230" t="s">
        <v>331</v>
      </c>
    </row>
    <row r="13" spans="2:46" ht="11.25" customHeight="1" x14ac:dyDescent="0.2">
      <c r="B13" s="227"/>
    </row>
    <row r="14" spans="2:46" x14ac:dyDescent="0.2">
      <c r="B14" s="231" t="s">
        <v>332</v>
      </c>
      <c r="C14" s="70"/>
      <c r="D14" s="70"/>
      <c r="E14" s="70"/>
      <c r="F14" s="70"/>
      <c r="G14" s="70"/>
    </row>
    <row r="15" spans="2:46" ht="7.5" customHeight="1" x14ac:dyDescent="0.2">
      <c r="B15" s="227"/>
    </row>
    <row r="16" spans="2:46" x14ac:dyDescent="0.2">
      <c r="B16" s="232" t="s">
        <v>333</v>
      </c>
    </row>
    <row r="17" spans="2:44" ht="7.5" customHeight="1" x14ac:dyDescent="0.2">
      <c r="B17" s="227"/>
    </row>
    <row r="18" spans="2:44" ht="26.25" customHeight="1" x14ac:dyDescent="0.2">
      <c r="B18" s="367" t="s">
        <v>334</v>
      </c>
      <c r="C18" s="367"/>
      <c r="D18" s="367"/>
      <c r="E18" s="367"/>
      <c r="F18" s="367"/>
      <c r="G18" s="367"/>
      <c r="H18" s="367"/>
      <c r="I18" s="367"/>
      <c r="J18" s="367"/>
      <c r="K18" s="367"/>
      <c r="L18" s="367"/>
      <c r="M18" s="367"/>
      <c r="N18" s="367"/>
      <c r="O18" s="367"/>
      <c r="P18" s="367"/>
      <c r="Q18" s="367"/>
      <c r="R18" s="367"/>
      <c r="S18" s="367"/>
      <c r="T18" s="367"/>
      <c r="U18" s="367"/>
      <c r="V18" s="367"/>
      <c r="W18" s="367"/>
      <c r="X18" s="367"/>
      <c r="Y18" s="367"/>
      <c r="Z18" s="367"/>
      <c r="AA18" s="367"/>
      <c r="AB18" s="367"/>
      <c r="AC18" s="367"/>
      <c r="AD18" s="367"/>
      <c r="AE18" s="367"/>
      <c r="AF18" s="367"/>
      <c r="AG18" s="367"/>
      <c r="AH18" s="367"/>
      <c r="AI18" s="367"/>
      <c r="AJ18" s="367"/>
      <c r="AK18" s="367"/>
      <c r="AL18" s="367"/>
      <c r="AM18" s="367"/>
      <c r="AN18" s="367"/>
      <c r="AO18" s="367"/>
      <c r="AP18" s="367"/>
      <c r="AQ18" s="367"/>
      <c r="AR18" s="367"/>
    </row>
    <row r="19" spans="2:44" ht="7.5" customHeight="1" x14ac:dyDescent="0.2">
      <c r="B19" s="227"/>
    </row>
    <row r="20" spans="2:44" x14ac:dyDescent="0.2">
      <c r="B20" s="233" t="s">
        <v>335</v>
      </c>
    </row>
    <row r="21" spans="2:44" x14ac:dyDescent="0.2">
      <c r="B21" s="234" t="s">
        <v>336</v>
      </c>
    </row>
    <row r="22" spans="2:44" ht="11.25" customHeight="1" x14ac:dyDescent="0.2">
      <c r="B22" s="227"/>
    </row>
    <row r="23" spans="2:44" x14ac:dyDescent="0.2">
      <c r="B23" s="231" t="s">
        <v>337</v>
      </c>
      <c r="C23" s="70"/>
      <c r="D23" s="70"/>
      <c r="E23" s="70"/>
      <c r="F23" s="70"/>
      <c r="G23" s="70"/>
    </row>
    <row r="24" spans="2:44" ht="7.5" customHeight="1" x14ac:dyDescent="0.2">
      <c r="B24" s="227"/>
    </row>
    <row r="25" spans="2:44" x14ac:dyDescent="0.2">
      <c r="B25" s="232" t="s">
        <v>338</v>
      </c>
    </row>
    <row r="26" spans="2:44" ht="7.5" customHeight="1" x14ac:dyDescent="0.2">
      <c r="B26" s="227"/>
    </row>
    <row r="27" spans="2:44" ht="30.75" customHeight="1" x14ac:dyDescent="0.2">
      <c r="B27" s="367" t="s">
        <v>339</v>
      </c>
      <c r="C27" s="367"/>
      <c r="D27" s="367"/>
      <c r="E27" s="367"/>
      <c r="F27" s="367"/>
      <c r="G27" s="367"/>
      <c r="H27" s="367"/>
      <c r="I27" s="367"/>
      <c r="J27" s="367"/>
      <c r="K27" s="367"/>
      <c r="L27" s="367"/>
      <c r="M27" s="367"/>
      <c r="N27" s="367"/>
      <c r="O27" s="367"/>
      <c r="P27" s="367"/>
      <c r="Q27" s="367"/>
      <c r="R27" s="367"/>
      <c r="S27" s="367"/>
      <c r="T27" s="367"/>
      <c r="U27" s="367"/>
      <c r="V27" s="367"/>
      <c r="W27" s="367"/>
      <c r="X27" s="367"/>
      <c r="Y27" s="367"/>
      <c r="Z27" s="367"/>
      <c r="AA27" s="367"/>
      <c r="AB27" s="367"/>
      <c r="AC27" s="367"/>
      <c r="AD27" s="367"/>
      <c r="AE27" s="367"/>
      <c r="AF27" s="367"/>
      <c r="AG27" s="367"/>
      <c r="AH27" s="367"/>
      <c r="AI27" s="367"/>
      <c r="AJ27" s="367"/>
      <c r="AK27" s="367"/>
      <c r="AL27" s="367"/>
      <c r="AM27" s="367"/>
      <c r="AN27" s="367"/>
      <c r="AO27" s="367"/>
      <c r="AP27" s="367"/>
      <c r="AQ27" s="367"/>
      <c r="AR27" s="367"/>
    </row>
    <row r="28" spans="2:44" x14ac:dyDescent="0.2">
      <c r="B28" s="233" t="s">
        <v>335</v>
      </c>
    </row>
    <row r="29" spans="2:44" x14ac:dyDescent="0.2">
      <c r="B29" s="234" t="s">
        <v>340</v>
      </c>
    </row>
    <row r="30" spans="2:44" ht="18.75" customHeight="1" x14ac:dyDescent="0.2"/>
    <row r="31" spans="2:44" ht="29.25" customHeight="1" x14ac:dyDescent="0.2">
      <c r="B31" s="235" t="s">
        <v>341</v>
      </c>
    </row>
    <row r="32" spans="2:44" ht="26.25" customHeight="1" x14ac:dyDescent="0.2">
      <c r="B32" s="367" t="s">
        <v>342</v>
      </c>
      <c r="C32" s="367"/>
      <c r="D32" s="367"/>
      <c r="E32" s="367"/>
      <c r="F32" s="367"/>
      <c r="G32" s="367"/>
      <c r="H32" s="367"/>
      <c r="I32" s="367"/>
      <c r="J32" s="367"/>
      <c r="K32" s="367"/>
      <c r="L32" s="367"/>
      <c r="M32" s="367"/>
      <c r="N32" s="367"/>
      <c r="O32" s="367"/>
      <c r="P32" s="367"/>
      <c r="Q32" s="367"/>
      <c r="R32" s="367"/>
      <c r="S32" s="367"/>
      <c r="T32" s="367"/>
      <c r="U32" s="367"/>
      <c r="V32" s="367"/>
      <c r="W32" s="367"/>
      <c r="X32" s="367"/>
      <c r="Y32" s="367"/>
      <c r="Z32" s="367"/>
      <c r="AA32" s="367"/>
      <c r="AB32" s="367"/>
      <c r="AC32" s="367"/>
      <c r="AD32" s="367"/>
      <c r="AE32" s="367"/>
      <c r="AF32" s="367"/>
      <c r="AG32" s="367"/>
      <c r="AH32" s="367"/>
      <c r="AI32" s="367"/>
      <c r="AJ32" s="367"/>
      <c r="AK32" s="367"/>
      <c r="AL32" s="367"/>
      <c r="AM32" s="367"/>
      <c r="AN32" s="367"/>
      <c r="AO32" s="367"/>
      <c r="AP32" s="367"/>
      <c r="AQ32" s="367"/>
      <c r="AR32" s="367"/>
    </row>
    <row r="33" spans="2:44" ht="11.25" customHeight="1" x14ac:dyDescent="0.2">
      <c r="B33" s="227"/>
    </row>
    <row r="34" spans="2:44" x14ac:dyDescent="0.2">
      <c r="B34" s="231" t="s">
        <v>343</v>
      </c>
      <c r="C34" s="70"/>
      <c r="D34" s="70"/>
      <c r="E34" s="70"/>
      <c r="F34" s="70"/>
      <c r="G34" s="70"/>
      <c r="H34" s="70"/>
    </row>
    <row r="35" spans="2:44" ht="7.5" customHeight="1" x14ac:dyDescent="0.2">
      <c r="B35" s="227"/>
    </row>
    <row r="36" spans="2:44" x14ac:dyDescent="0.2">
      <c r="B36" s="230" t="s">
        <v>344</v>
      </c>
    </row>
    <row r="37" spans="2:44" x14ac:dyDescent="0.2">
      <c r="B37" s="233" t="s">
        <v>335</v>
      </c>
    </row>
    <row r="38" spans="2:44" x14ac:dyDescent="0.2">
      <c r="B38" s="234" t="s">
        <v>345</v>
      </c>
    </row>
    <row r="39" spans="2:44" ht="11.25" customHeight="1" x14ac:dyDescent="0.2">
      <c r="B39" s="227"/>
    </row>
    <row r="40" spans="2:44" x14ac:dyDescent="0.2">
      <c r="B40" s="231" t="s">
        <v>346</v>
      </c>
      <c r="C40" s="70"/>
      <c r="D40" s="70"/>
    </row>
    <row r="41" spans="2:44" ht="7.5" customHeight="1" x14ac:dyDescent="0.2">
      <c r="B41" s="227"/>
    </row>
    <row r="42" spans="2:44" ht="39.75" customHeight="1" x14ac:dyDescent="0.2">
      <c r="B42" s="367" t="s">
        <v>347</v>
      </c>
      <c r="C42" s="367"/>
      <c r="D42" s="367"/>
      <c r="E42" s="367"/>
      <c r="F42" s="367"/>
      <c r="G42" s="367"/>
      <c r="H42" s="367"/>
      <c r="I42" s="367"/>
      <c r="J42" s="367"/>
      <c r="K42" s="367"/>
      <c r="L42" s="367"/>
      <c r="M42" s="367"/>
      <c r="N42" s="367"/>
      <c r="O42" s="367"/>
      <c r="P42" s="367"/>
      <c r="Q42" s="367"/>
      <c r="R42" s="367"/>
      <c r="S42" s="367"/>
      <c r="T42" s="367"/>
      <c r="U42" s="367"/>
      <c r="V42" s="367"/>
      <c r="W42" s="367"/>
      <c r="X42" s="367"/>
      <c r="Y42" s="367"/>
      <c r="Z42" s="367"/>
      <c r="AA42" s="367"/>
      <c r="AB42" s="367"/>
      <c r="AC42" s="367"/>
      <c r="AD42" s="367"/>
      <c r="AE42" s="367"/>
      <c r="AF42" s="367"/>
      <c r="AG42" s="367"/>
      <c r="AH42" s="367"/>
      <c r="AI42" s="367"/>
      <c r="AJ42" s="367"/>
      <c r="AK42" s="367"/>
      <c r="AL42" s="367"/>
      <c r="AM42" s="367"/>
      <c r="AN42" s="367"/>
      <c r="AO42" s="367"/>
      <c r="AP42" s="367"/>
      <c r="AQ42" s="367"/>
      <c r="AR42" s="367"/>
    </row>
    <row r="43" spans="2:44" x14ac:dyDescent="0.2">
      <c r="B43" s="233" t="s">
        <v>335</v>
      </c>
    </row>
    <row r="44" spans="2:44" x14ac:dyDescent="0.2">
      <c r="B44" s="234" t="s">
        <v>588</v>
      </c>
    </row>
    <row r="45" spans="2:44" ht="11.25" customHeight="1" x14ac:dyDescent="0.2">
      <c r="B45" s="227"/>
    </row>
    <row r="46" spans="2:44" x14ac:dyDescent="0.2">
      <c r="B46" s="231" t="s">
        <v>348</v>
      </c>
    </row>
    <row r="47" spans="2:44" ht="7.5" customHeight="1" x14ac:dyDescent="0.2">
      <c r="B47" s="227"/>
    </row>
    <row r="48" spans="2:44" x14ac:dyDescent="0.2">
      <c r="B48" s="230" t="s">
        <v>349</v>
      </c>
    </row>
    <row r="49" spans="2:44" x14ac:dyDescent="0.2">
      <c r="B49" s="233" t="s">
        <v>335</v>
      </c>
    </row>
    <row r="50" spans="2:44" x14ac:dyDescent="0.2">
      <c r="B50" s="234" t="s">
        <v>350</v>
      </c>
    </row>
    <row r="51" spans="2:44" ht="11.25" customHeight="1" x14ac:dyDescent="0.2">
      <c r="B51" s="227"/>
    </row>
    <row r="52" spans="2:44" x14ac:dyDescent="0.2">
      <c r="B52" s="231" t="s">
        <v>351</v>
      </c>
      <c r="C52" s="70"/>
      <c r="D52" s="70"/>
    </row>
    <row r="53" spans="2:44" ht="7.5" customHeight="1" x14ac:dyDescent="0.2">
      <c r="B53" s="227"/>
    </row>
    <row r="54" spans="2:44" x14ac:dyDescent="0.2">
      <c r="B54" s="230" t="s">
        <v>352</v>
      </c>
    </row>
    <row r="55" spans="2:44" x14ac:dyDescent="0.2">
      <c r="B55" s="233" t="s">
        <v>335</v>
      </c>
    </row>
    <row r="56" spans="2:44" x14ac:dyDescent="0.2">
      <c r="B56" s="234" t="s">
        <v>350</v>
      </c>
    </row>
    <row r="57" spans="2:44" ht="11.25" customHeight="1" x14ac:dyDescent="0.2">
      <c r="B57" s="227"/>
    </row>
    <row r="58" spans="2:44" x14ac:dyDescent="0.2">
      <c r="B58" s="231" t="s">
        <v>353</v>
      </c>
      <c r="C58" s="70"/>
      <c r="D58" s="70"/>
      <c r="E58" s="70"/>
      <c r="F58" s="70"/>
      <c r="G58" s="70"/>
      <c r="H58" s="70"/>
    </row>
    <row r="59" spans="2:44" ht="7.5" customHeight="1" x14ac:dyDescent="0.2">
      <c r="B59" s="227"/>
    </row>
    <row r="60" spans="2:44" ht="40.5" customHeight="1" x14ac:dyDescent="0.2">
      <c r="B60" s="367" t="s">
        <v>354</v>
      </c>
      <c r="C60" s="367"/>
      <c r="D60" s="367"/>
      <c r="E60" s="367"/>
      <c r="F60" s="367"/>
      <c r="G60" s="367"/>
      <c r="H60" s="367"/>
      <c r="I60" s="367"/>
      <c r="J60" s="367"/>
      <c r="K60" s="367"/>
      <c r="L60" s="367"/>
      <c r="M60" s="367"/>
      <c r="N60" s="367"/>
      <c r="O60" s="367"/>
      <c r="P60" s="367"/>
      <c r="Q60" s="367"/>
      <c r="R60" s="367"/>
      <c r="S60" s="367"/>
      <c r="T60" s="367"/>
      <c r="U60" s="367"/>
      <c r="V60" s="367"/>
      <c r="W60" s="367"/>
      <c r="X60" s="367"/>
      <c r="Y60" s="367"/>
      <c r="Z60" s="367"/>
      <c r="AA60" s="367"/>
      <c r="AB60" s="367"/>
      <c r="AC60" s="367"/>
      <c r="AD60" s="367"/>
      <c r="AE60" s="367"/>
      <c r="AF60" s="367"/>
      <c r="AG60" s="367"/>
      <c r="AH60" s="367"/>
      <c r="AI60" s="367"/>
      <c r="AJ60" s="367"/>
      <c r="AK60" s="367"/>
      <c r="AL60" s="367"/>
      <c r="AM60" s="367"/>
      <c r="AN60" s="367"/>
      <c r="AO60" s="367"/>
      <c r="AP60" s="367"/>
      <c r="AQ60" s="367"/>
      <c r="AR60" s="367"/>
    </row>
    <row r="61" spans="2:44" x14ac:dyDescent="0.2">
      <c r="B61" s="233" t="s">
        <v>335</v>
      </c>
    </row>
    <row r="62" spans="2:44" x14ac:dyDescent="0.2">
      <c r="B62" s="234" t="s">
        <v>355</v>
      </c>
    </row>
    <row r="63" spans="2:44" ht="11.25" customHeight="1" x14ac:dyDescent="0.2">
      <c r="B63" s="227"/>
    </row>
    <row r="64" spans="2:44" x14ac:dyDescent="0.2">
      <c r="B64" s="231" t="s">
        <v>356</v>
      </c>
      <c r="C64" s="70"/>
      <c r="D64" s="70"/>
      <c r="E64" s="70"/>
      <c r="F64" s="70"/>
      <c r="G64" s="70"/>
      <c r="H64" s="70"/>
      <c r="I64" s="70"/>
      <c r="J64" s="70"/>
      <c r="K64" s="70"/>
      <c r="L64" s="70"/>
      <c r="M64" s="70"/>
      <c r="N64" s="70"/>
      <c r="O64" s="70"/>
      <c r="P64" s="70"/>
      <c r="Q64" s="70"/>
      <c r="R64" s="70"/>
      <c r="S64" s="70"/>
      <c r="T64" s="70"/>
      <c r="U64" s="70"/>
    </row>
    <row r="65" spans="2:44" ht="7.5" customHeight="1" x14ac:dyDescent="0.2">
      <c r="B65" s="227"/>
    </row>
    <row r="66" spans="2:44" ht="28.5" customHeight="1" x14ac:dyDescent="0.2">
      <c r="B66" s="367" t="s">
        <v>357</v>
      </c>
      <c r="C66" s="367"/>
      <c r="D66" s="367"/>
      <c r="E66" s="367"/>
      <c r="F66" s="367"/>
      <c r="G66" s="367"/>
      <c r="H66" s="367"/>
      <c r="I66" s="367"/>
      <c r="J66" s="367"/>
      <c r="K66" s="367"/>
      <c r="L66" s="367"/>
      <c r="M66" s="367"/>
      <c r="N66" s="367"/>
      <c r="O66" s="367"/>
      <c r="P66" s="367"/>
      <c r="Q66" s="367"/>
      <c r="R66" s="367"/>
      <c r="S66" s="367"/>
      <c r="T66" s="367"/>
      <c r="U66" s="367"/>
      <c r="V66" s="367"/>
      <c r="W66" s="367"/>
      <c r="X66" s="367"/>
      <c r="Y66" s="367"/>
      <c r="Z66" s="367"/>
      <c r="AA66" s="367"/>
      <c r="AB66" s="367"/>
      <c r="AC66" s="367"/>
      <c r="AD66" s="367"/>
      <c r="AE66" s="367"/>
      <c r="AF66" s="367"/>
      <c r="AG66" s="367"/>
      <c r="AH66" s="367"/>
      <c r="AI66" s="367"/>
      <c r="AJ66" s="367"/>
      <c r="AK66" s="367"/>
      <c r="AL66" s="367"/>
      <c r="AM66" s="367"/>
      <c r="AN66" s="367"/>
      <c r="AO66" s="367"/>
      <c r="AP66" s="367"/>
      <c r="AQ66" s="367"/>
      <c r="AR66" s="367"/>
    </row>
    <row r="67" spans="2:44" x14ac:dyDescent="0.2">
      <c r="B67" s="233" t="s">
        <v>335</v>
      </c>
    </row>
    <row r="68" spans="2:44" x14ac:dyDescent="0.2">
      <c r="B68" s="234" t="s">
        <v>350</v>
      </c>
    </row>
    <row r="69" spans="2:44" ht="11.25" customHeight="1" x14ac:dyDescent="0.2"/>
    <row r="70" spans="2:44" ht="17" x14ac:dyDescent="0.2">
      <c r="B70" s="236" t="s">
        <v>358</v>
      </c>
    </row>
    <row r="71" spans="2:44" ht="39" customHeight="1" x14ac:dyDescent="0.2">
      <c r="B71" s="367" t="s">
        <v>359</v>
      </c>
      <c r="C71" s="367"/>
      <c r="D71" s="367"/>
      <c r="E71" s="367"/>
      <c r="F71" s="367"/>
      <c r="G71" s="367"/>
      <c r="H71" s="367"/>
      <c r="I71" s="367"/>
      <c r="J71" s="367"/>
      <c r="K71" s="367"/>
      <c r="L71" s="367"/>
      <c r="M71" s="367"/>
      <c r="N71" s="367"/>
      <c r="O71" s="367"/>
      <c r="P71" s="367"/>
      <c r="Q71" s="367"/>
      <c r="R71" s="367"/>
      <c r="S71" s="367"/>
      <c r="T71" s="367"/>
      <c r="U71" s="367"/>
      <c r="V71" s="367"/>
      <c r="W71" s="367"/>
      <c r="X71" s="367"/>
      <c r="Y71" s="367"/>
      <c r="Z71" s="367"/>
      <c r="AA71" s="367"/>
      <c r="AB71" s="367"/>
      <c r="AC71" s="367"/>
      <c r="AD71" s="367"/>
      <c r="AE71" s="367"/>
      <c r="AF71" s="367"/>
      <c r="AG71" s="367"/>
      <c r="AH71" s="367"/>
      <c r="AI71" s="367"/>
      <c r="AJ71" s="367"/>
      <c r="AK71" s="367"/>
      <c r="AL71" s="367"/>
      <c r="AM71" s="367"/>
      <c r="AN71" s="367"/>
      <c r="AO71" s="367"/>
      <c r="AP71" s="367"/>
      <c r="AQ71" s="367"/>
      <c r="AR71" s="367"/>
    </row>
    <row r="72" spans="2:44" ht="7.5" customHeight="1" x14ac:dyDescent="0.2">
      <c r="B72" s="237"/>
    </row>
    <row r="73" spans="2:44" ht="26.25" customHeight="1" x14ac:dyDescent="0.2">
      <c r="B73" s="238" t="s">
        <v>360</v>
      </c>
      <c r="C73" s="369" t="s">
        <v>361</v>
      </c>
      <c r="D73" s="370"/>
      <c r="E73" s="370"/>
      <c r="F73" s="370"/>
      <c r="G73" s="370"/>
      <c r="H73" s="370"/>
      <c r="I73" s="370"/>
      <c r="J73" s="370"/>
      <c r="K73" s="370"/>
      <c r="L73" s="370"/>
      <c r="M73" s="370"/>
      <c r="N73" s="371"/>
      <c r="O73" s="370" t="s">
        <v>155</v>
      </c>
      <c r="P73" s="370"/>
      <c r="Q73" s="370"/>
      <c r="R73" s="370"/>
      <c r="S73" s="370"/>
      <c r="T73" s="370"/>
      <c r="U73" s="370"/>
      <c r="V73" s="370"/>
      <c r="W73" s="370"/>
      <c r="X73" s="370"/>
      <c r="Y73" s="370"/>
      <c r="Z73" s="370"/>
    </row>
    <row r="74" spans="2:44" ht="16" thickBot="1" x14ac:dyDescent="0.25">
      <c r="B74" s="239" t="s">
        <v>363</v>
      </c>
      <c r="C74" s="372" t="s">
        <v>364</v>
      </c>
      <c r="D74" s="373"/>
      <c r="E74" s="373"/>
      <c r="F74" s="373"/>
      <c r="G74" s="373"/>
      <c r="H74" s="373"/>
      <c r="I74" s="373"/>
      <c r="J74" s="373"/>
      <c r="K74" s="373"/>
      <c r="L74" s="373"/>
      <c r="M74" s="373"/>
      <c r="N74" s="374"/>
      <c r="O74" s="373" t="s">
        <v>362</v>
      </c>
      <c r="P74" s="373"/>
      <c r="Q74" s="373"/>
      <c r="R74" s="373"/>
      <c r="S74" s="373"/>
      <c r="T74" s="373"/>
      <c r="U74" s="373"/>
      <c r="V74" s="373"/>
      <c r="W74" s="373"/>
      <c r="X74" s="373"/>
      <c r="Y74" s="373"/>
      <c r="Z74" s="373"/>
    </row>
    <row r="75" spans="2:44" ht="24" customHeight="1" thickBot="1" x14ac:dyDescent="0.25">
      <c r="B75" s="239" t="s">
        <v>365</v>
      </c>
      <c r="C75" s="372" t="s">
        <v>366</v>
      </c>
      <c r="D75" s="373"/>
      <c r="E75" s="373"/>
      <c r="F75" s="373"/>
      <c r="G75" s="373"/>
      <c r="H75" s="373"/>
      <c r="I75" s="373"/>
      <c r="J75" s="373"/>
      <c r="K75" s="373"/>
      <c r="L75" s="373"/>
      <c r="M75" s="373"/>
      <c r="N75" s="374"/>
      <c r="O75" s="373" t="s">
        <v>362</v>
      </c>
      <c r="P75" s="373"/>
      <c r="Q75" s="373"/>
      <c r="R75" s="373"/>
      <c r="S75" s="373"/>
      <c r="T75" s="373"/>
      <c r="U75" s="373"/>
      <c r="V75" s="373"/>
      <c r="W75" s="373"/>
      <c r="X75" s="373"/>
      <c r="Y75" s="373"/>
      <c r="Z75" s="373"/>
    </row>
    <row r="76" spans="2:44" ht="15.75" customHeight="1" thickBot="1" x14ac:dyDescent="0.25">
      <c r="B76" s="263">
        <v>2023</v>
      </c>
      <c r="C76" s="376" t="s">
        <v>565</v>
      </c>
      <c r="D76" s="377"/>
      <c r="E76" s="377"/>
      <c r="F76" s="377"/>
      <c r="G76" s="377"/>
      <c r="H76" s="377"/>
      <c r="I76" s="377"/>
      <c r="J76" s="377"/>
      <c r="K76" s="377"/>
      <c r="L76" s="377"/>
      <c r="M76" s="377"/>
      <c r="N76" s="378"/>
      <c r="O76" s="376" t="s">
        <v>566</v>
      </c>
      <c r="P76" s="377"/>
      <c r="Q76" s="377"/>
      <c r="R76" s="377"/>
      <c r="S76" s="377"/>
      <c r="T76" s="377"/>
      <c r="U76" s="377"/>
      <c r="V76" s="377"/>
      <c r="W76" s="377"/>
      <c r="X76" s="377"/>
      <c r="Y76" s="377"/>
      <c r="Z76" s="377"/>
    </row>
    <row r="77" spans="2:44" ht="15.75" customHeight="1" x14ac:dyDescent="0.2">
      <c r="B77" s="240">
        <v>2024</v>
      </c>
      <c r="C77" s="376" t="s">
        <v>589</v>
      </c>
      <c r="D77" s="377"/>
      <c r="E77" s="377"/>
      <c r="F77" s="377"/>
      <c r="G77" s="377"/>
      <c r="H77" s="377"/>
      <c r="I77" s="377"/>
      <c r="J77" s="377"/>
      <c r="K77" s="377"/>
      <c r="L77" s="377"/>
      <c r="M77" s="377"/>
      <c r="N77" s="378"/>
      <c r="O77" s="376" t="s">
        <v>590</v>
      </c>
      <c r="P77" s="377"/>
      <c r="Q77" s="377"/>
      <c r="R77" s="377"/>
      <c r="S77" s="377"/>
      <c r="T77" s="377"/>
      <c r="U77" s="377"/>
      <c r="V77" s="377"/>
      <c r="W77" s="377"/>
      <c r="X77" s="377"/>
      <c r="Y77" s="377"/>
      <c r="Z77" s="377"/>
    </row>
    <row r="78" spans="2:44" ht="7.5" customHeight="1" x14ac:dyDescent="0.2">
      <c r="B78" s="229"/>
    </row>
    <row r="79" spans="2:44" ht="11.25" customHeight="1" x14ac:dyDescent="0.2">
      <c r="B79" s="227"/>
    </row>
    <row r="80" spans="2:44" x14ac:dyDescent="0.2">
      <c r="B80" s="231" t="s">
        <v>367</v>
      </c>
      <c r="C80" s="70"/>
      <c r="D80" s="70"/>
      <c r="E80" s="70"/>
      <c r="F80" s="70"/>
      <c r="G80" s="70"/>
      <c r="H80" s="70"/>
      <c r="I80" s="70"/>
      <c r="J80" s="70"/>
    </row>
    <row r="81" spans="2:44" ht="7.5" customHeight="1" x14ac:dyDescent="0.2">
      <c r="B81" s="227"/>
    </row>
    <row r="82" spans="2:44" x14ac:dyDescent="0.2">
      <c r="B82" s="233" t="s">
        <v>335</v>
      </c>
    </row>
    <row r="83" spans="2:44" ht="27" customHeight="1" x14ac:dyDescent="0.2">
      <c r="B83" s="368" t="s">
        <v>567</v>
      </c>
      <c r="C83" s="368"/>
      <c r="D83" s="368"/>
      <c r="E83" s="368"/>
      <c r="F83" s="368"/>
      <c r="G83" s="368"/>
      <c r="H83" s="368"/>
      <c r="I83" s="368"/>
      <c r="J83" s="368"/>
      <c r="K83" s="368"/>
      <c r="L83" s="368"/>
      <c r="M83" s="368"/>
      <c r="N83" s="368"/>
      <c r="O83" s="368"/>
      <c r="P83" s="368"/>
      <c r="Q83" s="368"/>
      <c r="R83" s="368"/>
      <c r="S83" s="368"/>
      <c r="T83" s="368"/>
      <c r="U83" s="368"/>
      <c r="V83" s="368"/>
      <c r="W83" s="368"/>
      <c r="X83" s="368"/>
      <c r="Y83" s="368"/>
      <c r="Z83" s="368"/>
      <c r="AA83" s="368"/>
      <c r="AB83" s="368"/>
      <c r="AC83" s="368"/>
      <c r="AD83" s="368"/>
      <c r="AE83" s="368"/>
      <c r="AF83" s="368"/>
      <c r="AG83" s="368"/>
      <c r="AH83" s="368"/>
      <c r="AI83" s="368"/>
      <c r="AJ83" s="368"/>
      <c r="AK83" s="368"/>
      <c r="AL83" s="368"/>
      <c r="AM83" s="368"/>
      <c r="AN83" s="368"/>
      <c r="AO83" s="368"/>
      <c r="AP83" s="368"/>
      <c r="AQ83" s="368"/>
      <c r="AR83" s="368"/>
    </row>
    <row r="84" spans="2:44" x14ac:dyDescent="0.2"/>
    <row r="85" spans="2:44" ht="17" x14ac:dyDescent="0.2">
      <c r="B85" s="236" t="s">
        <v>368</v>
      </c>
    </row>
    <row r="86" spans="2:44" x14ac:dyDescent="0.2">
      <c r="B86" s="230" t="s">
        <v>369</v>
      </c>
    </row>
    <row r="87" spans="2:44" ht="7.5" customHeight="1" x14ac:dyDescent="0.2">
      <c r="B87" s="227"/>
    </row>
    <row r="88" spans="2:44" x14ac:dyDescent="0.2">
      <c r="B88" s="241" t="s">
        <v>370</v>
      </c>
    </row>
    <row r="89" spans="2:44" ht="7.5" customHeight="1" x14ac:dyDescent="0.2">
      <c r="B89" s="227"/>
    </row>
    <row r="90" spans="2:44" x14ac:dyDescent="0.2">
      <c r="B90" s="232" t="s">
        <v>371</v>
      </c>
    </row>
    <row r="91" spans="2:44" ht="7.5" customHeight="1" x14ac:dyDescent="0.2">
      <c r="B91" s="227"/>
    </row>
    <row r="92" spans="2:44" x14ac:dyDescent="0.2">
      <c r="B92" s="230" t="s">
        <v>372</v>
      </c>
    </row>
    <row r="93" spans="2:44" ht="7.5" customHeight="1" x14ac:dyDescent="0.2">
      <c r="B93" s="227"/>
    </row>
    <row r="94" spans="2:44" x14ac:dyDescent="0.2">
      <c r="B94" s="230" t="s">
        <v>373</v>
      </c>
    </row>
    <row r="95" spans="2:44" x14ac:dyDescent="0.2">
      <c r="B95" s="233" t="s">
        <v>335</v>
      </c>
    </row>
    <row r="96" spans="2:44" x14ac:dyDescent="0.2">
      <c r="B96" s="234" t="s">
        <v>350</v>
      </c>
    </row>
    <row r="97" spans="2:44" ht="7.5" customHeight="1" x14ac:dyDescent="0.2">
      <c r="B97" s="227"/>
    </row>
    <row r="98" spans="2:44" x14ac:dyDescent="0.2">
      <c r="B98" s="232" t="s">
        <v>374</v>
      </c>
    </row>
    <row r="99" spans="2:44" ht="7.5" customHeight="1" x14ac:dyDescent="0.2">
      <c r="B99" s="227"/>
    </row>
    <row r="100" spans="2:44" x14ac:dyDescent="0.2">
      <c r="B100" s="230" t="s">
        <v>375</v>
      </c>
    </row>
    <row r="101" spans="2:44" x14ac:dyDescent="0.2">
      <c r="B101" s="233" t="s">
        <v>335</v>
      </c>
    </row>
    <row r="102" spans="2:44" x14ac:dyDescent="0.2">
      <c r="B102" s="234" t="s">
        <v>350</v>
      </c>
    </row>
    <row r="103" spans="2:44" ht="18.75" customHeight="1" x14ac:dyDescent="0.2"/>
    <row r="104" spans="2:44" ht="26" x14ac:dyDescent="0.2">
      <c r="B104" s="235" t="s">
        <v>376</v>
      </c>
    </row>
    <row r="105" spans="2:44" ht="11.25" customHeight="1" x14ac:dyDescent="0.2">
      <c r="B105" s="227"/>
    </row>
    <row r="106" spans="2:44" x14ac:dyDescent="0.2">
      <c r="B106" s="231" t="s">
        <v>377</v>
      </c>
      <c r="C106" s="70"/>
      <c r="D106" s="70"/>
      <c r="E106" s="70"/>
      <c r="F106" s="70"/>
      <c r="G106" s="70"/>
      <c r="H106" s="70"/>
      <c r="I106" s="70"/>
      <c r="J106" s="70"/>
      <c r="K106" s="70"/>
    </row>
    <row r="107" spans="2:44" ht="7.5" customHeight="1" x14ac:dyDescent="0.2">
      <c r="B107" s="227"/>
    </row>
    <row r="108" spans="2:44" ht="26.25" customHeight="1" x14ac:dyDescent="0.2">
      <c r="B108" s="367" t="s">
        <v>378</v>
      </c>
      <c r="C108" s="367"/>
      <c r="D108" s="367"/>
      <c r="E108" s="367"/>
      <c r="F108" s="367"/>
      <c r="G108" s="367"/>
      <c r="H108" s="367"/>
      <c r="I108" s="367"/>
      <c r="J108" s="367"/>
      <c r="K108" s="367"/>
      <c r="L108" s="367"/>
      <c r="M108" s="367"/>
      <c r="N108" s="367"/>
      <c r="O108" s="367"/>
      <c r="P108" s="367"/>
      <c r="Q108" s="367"/>
      <c r="R108" s="367"/>
      <c r="S108" s="367"/>
      <c r="T108" s="367"/>
      <c r="U108" s="367"/>
      <c r="V108" s="367"/>
      <c r="W108" s="367"/>
      <c r="X108" s="367"/>
      <c r="Y108" s="367"/>
      <c r="Z108" s="367"/>
      <c r="AA108" s="367"/>
      <c r="AB108" s="367"/>
      <c r="AC108" s="367"/>
      <c r="AD108" s="367"/>
      <c r="AE108" s="367"/>
      <c r="AF108" s="367"/>
      <c r="AG108" s="367"/>
      <c r="AH108" s="367"/>
      <c r="AI108" s="367"/>
      <c r="AJ108" s="367"/>
      <c r="AK108" s="367"/>
      <c r="AL108" s="367"/>
      <c r="AM108" s="367"/>
      <c r="AN108" s="367"/>
      <c r="AO108" s="367"/>
      <c r="AP108" s="367"/>
      <c r="AQ108" s="367"/>
      <c r="AR108" s="367"/>
    </row>
    <row r="109" spans="2:44" ht="7.5" customHeight="1" x14ac:dyDescent="0.2">
      <c r="B109" s="227"/>
    </row>
    <row r="110" spans="2:44" x14ac:dyDescent="0.2">
      <c r="B110" s="232" t="s">
        <v>379</v>
      </c>
    </row>
    <row r="111" spans="2:44" ht="7.5" customHeight="1" x14ac:dyDescent="0.2">
      <c r="B111" s="227"/>
    </row>
    <row r="112" spans="2:44" ht="39.75" customHeight="1" x14ac:dyDescent="0.2">
      <c r="B112" s="367" t="s">
        <v>380</v>
      </c>
      <c r="C112" s="367"/>
      <c r="D112" s="367"/>
      <c r="E112" s="367"/>
      <c r="F112" s="367"/>
      <c r="G112" s="367"/>
      <c r="H112" s="367"/>
      <c r="I112" s="367"/>
      <c r="J112" s="367"/>
      <c r="K112" s="367"/>
      <c r="L112" s="367"/>
      <c r="M112" s="367"/>
      <c r="N112" s="367"/>
      <c r="O112" s="367"/>
      <c r="P112" s="367"/>
      <c r="Q112" s="367"/>
      <c r="R112" s="367"/>
      <c r="S112" s="367"/>
      <c r="T112" s="367"/>
      <c r="U112" s="367"/>
      <c r="V112" s="367"/>
      <c r="W112" s="367"/>
      <c r="X112" s="367"/>
      <c r="Y112" s="367"/>
      <c r="Z112" s="367"/>
      <c r="AA112" s="367"/>
      <c r="AB112" s="367"/>
      <c r="AC112" s="367"/>
      <c r="AD112" s="367"/>
      <c r="AE112" s="367"/>
      <c r="AF112" s="367"/>
      <c r="AG112" s="367"/>
      <c r="AH112" s="367"/>
      <c r="AI112" s="367"/>
      <c r="AJ112" s="367"/>
      <c r="AK112" s="367"/>
      <c r="AL112" s="367"/>
      <c r="AM112" s="367"/>
      <c r="AN112" s="367"/>
      <c r="AO112" s="367"/>
      <c r="AP112" s="367"/>
      <c r="AQ112" s="367"/>
      <c r="AR112" s="367"/>
    </row>
    <row r="113" spans="2:7" x14ac:dyDescent="0.2">
      <c r="B113" s="233" t="s">
        <v>335</v>
      </c>
    </row>
    <row r="114" spans="2:7" x14ac:dyDescent="0.2">
      <c r="B114" s="234" t="s">
        <v>381</v>
      </c>
    </row>
    <row r="115" spans="2:7" ht="7.5" customHeight="1" x14ac:dyDescent="0.2">
      <c r="B115" s="227"/>
    </row>
    <row r="116" spans="2:7" x14ac:dyDescent="0.2">
      <c r="B116" s="232" t="s">
        <v>382</v>
      </c>
    </row>
    <row r="117" spans="2:7" ht="7.5" customHeight="1" x14ac:dyDescent="0.2">
      <c r="B117" s="227"/>
    </row>
    <row r="118" spans="2:7" x14ac:dyDescent="0.2">
      <c r="B118" s="230" t="s">
        <v>383</v>
      </c>
    </row>
    <row r="119" spans="2:7" x14ac:dyDescent="0.2">
      <c r="B119" s="233" t="s">
        <v>335</v>
      </c>
    </row>
    <row r="120" spans="2:7" x14ac:dyDescent="0.2">
      <c r="B120" s="234" t="s">
        <v>384</v>
      </c>
    </row>
    <row r="121" spans="2:7" ht="7.5" customHeight="1" x14ac:dyDescent="0.2">
      <c r="B121" s="227"/>
    </row>
    <row r="122" spans="2:7" x14ac:dyDescent="0.2">
      <c r="B122" s="230" t="s">
        <v>385</v>
      </c>
    </row>
    <row r="123" spans="2:7" ht="18.75" customHeight="1" x14ac:dyDescent="0.2">
      <c r="B123" s="35"/>
    </row>
    <row r="124" spans="2:7" ht="26" x14ac:dyDescent="0.2">
      <c r="B124" s="235" t="s">
        <v>386</v>
      </c>
    </row>
    <row r="125" spans="2:7" x14ac:dyDescent="0.2">
      <c r="B125" s="230" t="s">
        <v>387</v>
      </c>
    </row>
    <row r="126" spans="2:7" ht="11.25" customHeight="1" x14ac:dyDescent="0.2">
      <c r="B126" s="242"/>
    </row>
    <row r="127" spans="2:7" x14ac:dyDescent="0.2">
      <c r="B127" s="231" t="s">
        <v>388</v>
      </c>
      <c r="C127" s="70"/>
      <c r="D127" s="70"/>
      <c r="E127" s="70"/>
      <c r="F127" s="70"/>
      <c r="G127" s="70"/>
    </row>
    <row r="128" spans="2:7" ht="7.5" customHeight="1" x14ac:dyDescent="0.2">
      <c r="B128" s="242"/>
    </row>
    <row r="129" spans="2:44" ht="39.75" customHeight="1" x14ac:dyDescent="0.2">
      <c r="B129" s="367" t="s">
        <v>389</v>
      </c>
      <c r="C129" s="367"/>
      <c r="D129" s="367"/>
      <c r="E129" s="367"/>
      <c r="F129" s="367"/>
      <c r="G129" s="367"/>
      <c r="H129" s="367"/>
      <c r="I129" s="367"/>
      <c r="J129" s="367"/>
      <c r="K129" s="367"/>
      <c r="L129" s="367"/>
      <c r="M129" s="367"/>
      <c r="N129" s="367"/>
      <c r="O129" s="367"/>
      <c r="P129" s="367"/>
      <c r="Q129" s="367"/>
      <c r="R129" s="367"/>
      <c r="S129" s="367"/>
      <c r="T129" s="367"/>
      <c r="U129" s="367"/>
      <c r="V129" s="367"/>
      <c r="W129" s="367"/>
      <c r="X129" s="367"/>
      <c r="Y129" s="367"/>
      <c r="Z129" s="367"/>
      <c r="AA129" s="367"/>
      <c r="AB129" s="367"/>
      <c r="AC129" s="367"/>
      <c r="AD129" s="367"/>
      <c r="AE129" s="367"/>
      <c r="AF129" s="367"/>
      <c r="AG129" s="367"/>
      <c r="AH129" s="367"/>
      <c r="AI129" s="367"/>
      <c r="AJ129" s="367"/>
      <c r="AK129" s="367"/>
      <c r="AL129" s="367"/>
      <c r="AM129" s="367"/>
      <c r="AN129" s="367"/>
      <c r="AO129" s="367"/>
      <c r="AP129" s="367"/>
      <c r="AQ129" s="367"/>
      <c r="AR129" s="367"/>
    </row>
    <row r="130" spans="2:44" x14ac:dyDescent="0.2">
      <c r="B130" s="233" t="s">
        <v>335</v>
      </c>
    </row>
    <row r="131" spans="2:44" x14ac:dyDescent="0.2">
      <c r="B131" s="234" t="s">
        <v>390</v>
      </c>
    </row>
    <row r="132" spans="2:44" ht="11.25" customHeight="1" x14ac:dyDescent="0.2">
      <c r="B132" s="242"/>
    </row>
    <row r="133" spans="2:44" x14ac:dyDescent="0.2">
      <c r="B133" s="231" t="s">
        <v>391</v>
      </c>
      <c r="C133" s="70"/>
      <c r="D133" s="70"/>
      <c r="E133" s="70"/>
    </row>
    <row r="134" spans="2:44" ht="7.5" customHeight="1" x14ac:dyDescent="0.2">
      <c r="B134" s="242"/>
    </row>
    <row r="135" spans="2:44" x14ac:dyDescent="0.2">
      <c r="B135" s="233" t="s">
        <v>335</v>
      </c>
    </row>
    <row r="136" spans="2:44" x14ac:dyDescent="0.2">
      <c r="B136" s="234" t="s">
        <v>392</v>
      </c>
    </row>
    <row r="137" spans="2:44" ht="11.25" customHeight="1" x14ac:dyDescent="0.2">
      <c r="B137" s="242"/>
    </row>
    <row r="138" spans="2:44" x14ac:dyDescent="0.2">
      <c r="B138" s="231" t="s">
        <v>393</v>
      </c>
      <c r="C138" s="70"/>
      <c r="D138" s="70"/>
      <c r="E138" s="70"/>
      <c r="F138" s="70"/>
      <c r="G138" s="70"/>
      <c r="H138" s="70"/>
      <c r="I138" s="70"/>
      <c r="J138" s="70"/>
      <c r="K138" s="70"/>
      <c r="L138" s="70"/>
      <c r="M138" s="70"/>
      <c r="N138" s="70"/>
      <c r="O138" s="70"/>
      <c r="P138" s="70"/>
      <c r="Q138" s="70"/>
      <c r="R138" s="70"/>
    </row>
    <row r="139" spans="2:44" ht="7.5" customHeight="1" x14ac:dyDescent="0.2">
      <c r="B139" s="242"/>
    </row>
    <row r="140" spans="2:44" ht="28.5" customHeight="1" x14ac:dyDescent="0.2">
      <c r="B140" s="367" t="s">
        <v>394</v>
      </c>
      <c r="C140" s="367"/>
      <c r="D140" s="367"/>
      <c r="E140" s="367"/>
      <c r="F140" s="367"/>
      <c r="G140" s="367"/>
      <c r="H140" s="367"/>
      <c r="I140" s="367"/>
      <c r="J140" s="367"/>
      <c r="K140" s="367"/>
      <c r="L140" s="367"/>
      <c r="M140" s="367"/>
      <c r="N140" s="367"/>
      <c r="O140" s="367"/>
      <c r="P140" s="367"/>
      <c r="Q140" s="367"/>
      <c r="R140" s="367"/>
      <c r="S140" s="367"/>
      <c r="T140" s="367"/>
      <c r="U140" s="367"/>
      <c r="V140" s="367"/>
      <c r="W140" s="367"/>
      <c r="X140" s="367"/>
      <c r="Y140" s="367"/>
      <c r="Z140" s="367"/>
      <c r="AA140" s="367"/>
      <c r="AB140" s="367"/>
      <c r="AC140" s="367"/>
      <c r="AD140" s="367"/>
      <c r="AE140" s="367"/>
      <c r="AF140" s="367"/>
      <c r="AG140" s="367"/>
      <c r="AH140" s="367"/>
      <c r="AI140" s="367"/>
      <c r="AJ140" s="367"/>
      <c r="AK140" s="367"/>
      <c r="AL140" s="367"/>
      <c r="AM140" s="367"/>
      <c r="AN140" s="367"/>
      <c r="AO140" s="367"/>
      <c r="AP140" s="367"/>
      <c r="AQ140" s="367"/>
      <c r="AR140" s="367"/>
    </row>
    <row r="141" spans="2:44" x14ac:dyDescent="0.2">
      <c r="B141" s="233" t="s">
        <v>335</v>
      </c>
    </row>
    <row r="142" spans="2:44" x14ac:dyDescent="0.2">
      <c r="B142" s="234" t="s">
        <v>350</v>
      </c>
    </row>
    <row r="143" spans="2:44" ht="18.75" customHeight="1" x14ac:dyDescent="0.2"/>
    <row r="144" spans="2:44" ht="26" x14ac:dyDescent="0.2">
      <c r="B144" s="235" t="s">
        <v>395</v>
      </c>
    </row>
    <row r="145" spans="2:44" x14ac:dyDescent="0.2">
      <c r="B145" s="230" t="s">
        <v>396</v>
      </c>
    </row>
    <row r="146" spans="2:44" ht="11.25" customHeight="1" x14ac:dyDescent="0.2">
      <c r="B146" s="242"/>
    </row>
    <row r="147" spans="2:44" x14ac:dyDescent="0.2">
      <c r="B147" s="231" t="s">
        <v>397</v>
      </c>
      <c r="C147" s="70"/>
      <c r="D147" s="70"/>
      <c r="E147" s="70"/>
      <c r="F147" s="70"/>
      <c r="G147" s="70"/>
      <c r="H147" s="70"/>
      <c r="I147" s="70"/>
      <c r="J147" s="70"/>
      <c r="K147" s="70"/>
    </row>
    <row r="148" spans="2:44" ht="7.5" customHeight="1" x14ac:dyDescent="0.2">
      <c r="B148" s="242"/>
    </row>
    <row r="149" spans="2:44" x14ac:dyDescent="0.2">
      <c r="B149" s="233" t="s">
        <v>335</v>
      </c>
    </row>
    <row r="150" spans="2:44" x14ac:dyDescent="0.2">
      <c r="B150" s="234" t="s">
        <v>345</v>
      </c>
    </row>
    <row r="151" spans="2:44" ht="11.25" customHeight="1" x14ac:dyDescent="0.2">
      <c r="B151" s="242"/>
    </row>
    <row r="152" spans="2:44" x14ac:dyDescent="0.2">
      <c r="B152" s="231" t="s">
        <v>398</v>
      </c>
      <c r="C152" s="70"/>
      <c r="D152" s="70"/>
      <c r="E152" s="70"/>
      <c r="F152" s="70"/>
      <c r="G152" s="70"/>
      <c r="H152" s="70"/>
      <c r="I152" s="70"/>
      <c r="J152" s="70"/>
      <c r="K152" s="70"/>
      <c r="L152" s="70"/>
      <c r="M152" s="70"/>
      <c r="N152" s="70"/>
      <c r="O152" s="70"/>
      <c r="P152" s="70"/>
      <c r="Q152" s="70"/>
      <c r="R152" s="70"/>
      <c r="S152" s="70"/>
      <c r="T152" s="70"/>
      <c r="U152" s="70"/>
      <c r="V152" s="70"/>
      <c r="W152" s="70"/>
      <c r="X152" s="70"/>
      <c r="Y152" s="70"/>
      <c r="Z152" s="70"/>
      <c r="AA152" s="70"/>
    </row>
    <row r="153" spans="2:44" ht="7.5" customHeight="1" x14ac:dyDescent="0.2">
      <c r="B153" s="242"/>
    </row>
    <row r="154" spans="2:44" ht="41.25" customHeight="1" x14ac:dyDescent="0.2">
      <c r="B154" s="367" t="s">
        <v>399</v>
      </c>
      <c r="C154" s="367"/>
      <c r="D154" s="367"/>
      <c r="E154" s="367"/>
      <c r="F154" s="367"/>
      <c r="G154" s="367"/>
      <c r="H154" s="367"/>
      <c r="I154" s="367"/>
      <c r="J154" s="367"/>
      <c r="K154" s="367"/>
      <c r="L154" s="367"/>
      <c r="M154" s="367"/>
      <c r="N154" s="367"/>
      <c r="O154" s="367"/>
      <c r="P154" s="367"/>
      <c r="Q154" s="367"/>
      <c r="R154" s="367"/>
      <c r="S154" s="367"/>
      <c r="T154" s="367"/>
      <c r="U154" s="367"/>
      <c r="V154" s="367"/>
      <c r="W154" s="367"/>
      <c r="X154" s="367"/>
      <c r="Y154" s="367"/>
      <c r="Z154" s="367"/>
      <c r="AA154" s="367"/>
      <c r="AB154" s="367"/>
      <c r="AC154" s="367"/>
      <c r="AD154" s="367"/>
      <c r="AE154" s="367"/>
      <c r="AF154" s="367"/>
      <c r="AG154" s="367"/>
      <c r="AH154" s="367"/>
      <c r="AI154" s="367"/>
      <c r="AJ154" s="367"/>
      <c r="AK154" s="367"/>
      <c r="AL154" s="367"/>
      <c r="AM154" s="367"/>
      <c r="AN154" s="367"/>
      <c r="AO154" s="367"/>
      <c r="AP154" s="367"/>
      <c r="AQ154" s="367"/>
      <c r="AR154" s="367"/>
    </row>
    <row r="155" spans="2:44" ht="7.5" customHeight="1" x14ac:dyDescent="0.2">
      <c r="B155" s="243"/>
    </row>
    <row r="156" spans="2:44" ht="29.25" customHeight="1" x14ac:dyDescent="0.2">
      <c r="B156" s="367" t="s">
        <v>400</v>
      </c>
      <c r="C156" s="367"/>
      <c r="D156" s="367"/>
      <c r="E156" s="367"/>
      <c r="F156" s="367"/>
      <c r="G156" s="367"/>
      <c r="H156" s="367"/>
      <c r="I156" s="367"/>
      <c r="J156" s="367"/>
      <c r="K156" s="367"/>
      <c r="L156" s="367"/>
      <c r="M156" s="367"/>
      <c r="N156" s="367"/>
      <c r="O156" s="367"/>
      <c r="P156" s="367"/>
      <c r="Q156" s="367"/>
      <c r="R156" s="367"/>
      <c r="S156" s="367"/>
      <c r="T156" s="367"/>
      <c r="U156" s="367"/>
      <c r="V156" s="367"/>
      <c r="W156" s="367"/>
      <c r="X156" s="367"/>
      <c r="Y156" s="367"/>
      <c r="Z156" s="367"/>
      <c r="AA156" s="367"/>
      <c r="AB156" s="367"/>
      <c r="AC156" s="367"/>
      <c r="AD156" s="367"/>
      <c r="AE156" s="367"/>
      <c r="AF156" s="367"/>
      <c r="AG156" s="367"/>
      <c r="AH156" s="367"/>
      <c r="AI156" s="367"/>
      <c r="AJ156" s="367"/>
      <c r="AK156" s="367"/>
      <c r="AL156" s="367"/>
      <c r="AM156" s="367"/>
      <c r="AN156" s="367"/>
      <c r="AO156" s="367"/>
      <c r="AP156" s="367"/>
      <c r="AQ156" s="367"/>
      <c r="AR156" s="367"/>
    </row>
    <row r="157" spans="2:44" x14ac:dyDescent="0.2">
      <c r="B157" s="233" t="s">
        <v>335</v>
      </c>
    </row>
    <row r="158" spans="2:44" ht="27" customHeight="1" x14ac:dyDescent="0.2">
      <c r="B158" s="368" t="s">
        <v>401</v>
      </c>
      <c r="C158" s="368"/>
      <c r="D158" s="368"/>
      <c r="E158" s="368"/>
      <c r="F158" s="368"/>
      <c r="G158" s="368"/>
      <c r="H158" s="368"/>
      <c r="I158" s="368"/>
      <c r="J158" s="368"/>
      <c r="K158" s="368"/>
      <c r="L158" s="368"/>
      <c r="M158" s="368"/>
      <c r="N158" s="368"/>
      <c r="O158" s="368"/>
      <c r="P158" s="368"/>
      <c r="Q158" s="368"/>
      <c r="R158" s="368"/>
      <c r="S158" s="368"/>
      <c r="T158" s="368"/>
      <c r="U158" s="368"/>
      <c r="V158" s="368"/>
      <c r="W158" s="368"/>
      <c r="X158" s="368"/>
      <c r="Y158" s="368"/>
      <c r="Z158" s="368"/>
      <c r="AA158" s="368"/>
      <c r="AB158" s="368"/>
      <c r="AC158" s="368"/>
      <c r="AD158" s="368"/>
      <c r="AE158" s="368"/>
      <c r="AF158" s="368"/>
      <c r="AG158" s="368"/>
      <c r="AH158" s="368"/>
      <c r="AI158" s="368"/>
      <c r="AJ158" s="368"/>
      <c r="AK158" s="368"/>
      <c r="AL158" s="368"/>
      <c r="AM158" s="368"/>
      <c r="AN158" s="368"/>
      <c r="AO158" s="368"/>
      <c r="AP158" s="368"/>
      <c r="AQ158" s="368"/>
      <c r="AR158" s="368"/>
    </row>
    <row r="159" spans="2:44" ht="11.25" customHeight="1" x14ac:dyDescent="0.2">
      <c r="B159" s="242"/>
    </row>
    <row r="160" spans="2:44" x14ac:dyDescent="0.2">
      <c r="B160" s="231" t="s">
        <v>402</v>
      </c>
      <c r="C160" s="70"/>
      <c r="D160" s="70"/>
    </row>
    <row r="161" spans="2:6" ht="7.5" customHeight="1" x14ac:dyDescent="0.2">
      <c r="B161" s="242"/>
    </row>
    <row r="162" spans="2:6" x14ac:dyDescent="0.2">
      <c r="B162" s="230" t="s">
        <v>403</v>
      </c>
    </row>
    <row r="163" spans="2:6" x14ac:dyDescent="0.2">
      <c r="B163" s="233" t="s">
        <v>335</v>
      </c>
    </row>
    <row r="164" spans="2:6" x14ac:dyDescent="0.2">
      <c r="B164" s="234" t="s">
        <v>404</v>
      </c>
    </row>
    <row r="165" spans="2:6" ht="11.25" customHeight="1" x14ac:dyDescent="0.2">
      <c r="B165" s="242"/>
    </row>
    <row r="166" spans="2:6" x14ac:dyDescent="0.2">
      <c r="B166" s="231" t="s">
        <v>405</v>
      </c>
      <c r="C166" s="70"/>
      <c r="D166" s="70"/>
    </row>
    <row r="167" spans="2:6" ht="7.5" customHeight="1" x14ac:dyDescent="0.2">
      <c r="B167" s="242"/>
    </row>
    <row r="168" spans="2:6" x14ac:dyDescent="0.2">
      <c r="B168" s="230" t="s">
        <v>352</v>
      </c>
    </row>
    <row r="169" spans="2:6" x14ac:dyDescent="0.2">
      <c r="B169" s="233" t="s">
        <v>335</v>
      </c>
    </row>
    <row r="170" spans="2:6" x14ac:dyDescent="0.2">
      <c r="B170" s="234" t="s">
        <v>350</v>
      </c>
    </row>
    <row r="171" spans="2:6" ht="11.25" customHeight="1" x14ac:dyDescent="0.2">
      <c r="B171" s="242"/>
    </row>
    <row r="172" spans="2:6" x14ac:dyDescent="0.2">
      <c r="B172" s="231" t="s">
        <v>406</v>
      </c>
      <c r="C172" s="70"/>
      <c r="D172" s="70"/>
      <c r="E172" s="70"/>
      <c r="F172" s="70"/>
    </row>
    <row r="173" spans="2:6" ht="7.5" customHeight="1" x14ac:dyDescent="0.2">
      <c r="B173" s="242"/>
    </row>
    <row r="174" spans="2:6" x14ac:dyDescent="0.2">
      <c r="B174" s="230" t="s">
        <v>407</v>
      </c>
    </row>
    <row r="175" spans="2:6" x14ac:dyDescent="0.2">
      <c r="B175" s="233" t="s">
        <v>335</v>
      </c>
    </row>
    <row r="176" spans="2:6" x14ac:dyDescent="0.2">
      <c r="B176" s="234" t="s">
        <v>408</v>
      </c>
    </row>
    <row r="177" spans="2:44" ht="18.75" customHeight="1" x14ac:dyDescent="0.2"/>
    <row r="178" spans="2:44" ht="26" x14ac:dyDescent="0.2">
      <c r="B178" s="235" t="s">
        <v>409</v>
      </c>
    </row>
    <row r="179" spans="2:44" x14ac:dyDescent="0.2">
      <c r="B179" s="230" t="s">
        <v>410</v>
      </c>
    </row>
    <row r="180" spans="2:44" ht="11.25" customHeight="1" x14ac:dyDescent="0.2">
      <c r="B180" s="242"/>
    </row>
    <row r="181" spans="2:44" x14ac:dyDescent="0.2">
      <c r="B181" s="231" t="s">
        <v>411</v>
      </c>
      <c r="C181" s="70"/>
      <c r="D181" s="70"/>
      <c r="E181" s="70"/>
      <c r="F181" s="70"/>
      <c r="G181" s="70"/>
    </row>
    <row r="182" spans="2:44" ht="7.5" customHeight="1" x14ac:dyDescent="0.2">
      <c r="B182" s="242"/>
    </row>
    <row r="183" spans="2:44" ht="27" customHeight="1" x14ac:dyDescent="0.2">
      <c r="B183" s="367" t="s">
        <v>412</v>
      </c>
      <c r="C183" s="367"/>
      <c r="D183" s="367"/>
      <c r="E183" s="367"/>
      <c r="F183" s="367"/>
      <c r="G183" s="367"/>
      <c r="H183" s="367"/>
      <c r="I183" s="367"/>
      <c r="J183" s="367"/>
      <c r="K183" s="367"/>
      <c r="L183" s="367"/>
      <c r="M183" s="367"/>
      <c r="N183" s="367"/>
      <c r="O183" s="367"/>
      <c r="P183" s="367"/>
      <c r="Q183" s="367"/>
      <c r="R183" s="367"/>
      <c r="S183" s="367"/>
      <c r="T183" s="367"/>
      <c r="U183" s="367"/>
      <c r="V183" s="367"/>
      <c r="W183" s="367"/>
      <c r="X183" s="367"/>
      <c r="Y183" s="367"/>
      <c r="Z183" s="367"/>
      <c r="AA183" s="367"/>
      <c r="AB183" s="367"/>
      <c r="AC183" s="367"/>
      <c r="AD183" s="367"/>
      <c r="AE183" s="367"/>
      <c r="AF183" s="367"/>
      <c r="AG183" s="367"/>
      <c r="AH183" s="367"/>
      <c r="AI183" s="367"/>
      <c r="AJ183" s="367"/>
      <c r="AK183" s="367"/>
      <c r="AL183" s="367"/>
      <c r="AM183" s="367"/>
      <c r="AN183" s="367"/>
      <c r="AO183" s="367"/>
      <c r="AP183" s="367"/>
      <c r="AQ183" s="367"/>
      <c r="AR183" s="367"/>
    </row>
    <row r="184" spans="2:44" ht="11.25" customHeight="1" x14ac:dyDescent="0.2">
      <c r="B184" s="242"/>
    </row>
    <row r="185" spans="2:44" x14ac:dyDescent="0.2">
      <c r="B185" s="231" t="s">
        <v>413</v>
      </c>
      <c r="C185" s="70"/>
      <c r="D185" s="70"/>
      <c r="E185" s="70"/>
      <c r="F185" s="70"/>
      <c r="G185" s="70"/>
      <c r="H185" s="70"/>
      <c r="I185" s="70"/>
      <c r="J185" s="70"/>
      <c r="K185" s="70"/>
      <c r="L185" s="70"/>
      <c r="M185" s="70"/>
      <c r="N185" s="70"/>
      <c r="O185" s="70"/>
    </row>
    <row r="186" spans="2:44" ht="7.5" customHeight="1" x14ac:dyDescent="0.2">
      <c r="B186" s="242"/>
    </row>
    <row r="187" spans="2:44" ht="38.25" customHeight="1" x14ac:dyDescent="0.2">
      <c r="B187" s="367" t="s">
        <v>568</v>
      </c>
      <c r="C187" s="367"/>
      <c r="D187" s="367"/>
      <c r="E187" s="367"/>
      <c r="F187" s="367"/>
      <c r="G187" s="367"/>
      <c r="H187" s="367"/>
      <c r="I187" s="367"/>
      <c r="J187" s="367"/>
      <c r="K187" s="367"/>
      <c r="L187" s="367"/>
      <c r="M187" s="367"/>
      <c r="N187" s="367"/>
      <c r="O187" s="367"/>
      <c r="P187" s="367"/>
      <c r="Q187" s="367"/>
      <c r="R187" s="367"/>
      <c r="S187" s="367"/>
      <c r="T187" s="367"/>
      <c r="U187" s="367"/>
      <c r="V187" s="367"/>
      <c r="W187" s="367"/>
      <c r="X187" s="367"/>
      <c r="Y187" s="367"/>
      <c r="Z187" s="367"/>
      <c r="AA187" s="367"/>
      <c r="AB187" s="367"/>
      <c r="AC187" s="367"/>
      <c r="AD187" s="367"/>
      <c r="AE187" s="367"/>
      <c r="AF187" s="367"/>
      <c r="AG187" s="367"/>
      <c r="AH187" s="367"/>
      <c r="AI187" s="367"/>
      <c r="AJ187" s="367"/>
      <c r="AK187" s="367"/>
      <c r="AL187" s="367"/>
      <c r="AM187" s="367"/>
      <c r="AN187" s="367"/>
      <c r="AO187" s="367"/>
      <c r="AP187" s="367"/>
      <c r="AQ187" s="367"/>
      <c r="AR187" s="367"/>
    </row>
    <row r="188" spans="2:44" ht="7.5" customHeight="1" x14ac:dyDescent="0.2">
      <c r="B188" s="242"/>
    </row>
    <row r="189" spans="2:44" ht="29.25" customHeight="1" x14ac:dyDescent="0.2">
      <c r="B189" s="367" t="s">
        <v>414</v>
      </c>
      <c r="C189" s="367"/>
      <c r="D189" s="367"/>
      <c r="E189" s="367"/>
      <c r="F189" s="367"/>
      <c r="G189" s="367"/>
      <c r="H189" s="367"/>
      <c r="I189" s="367"/>
      <c r="J189" s="367"/>
      <c r="K189" s="367"/>
      <c r="L189" s="367"/>
      <c r="M189" s="367"/>
      <c r="N189" s="367"/>
      <c r="O189" s="367"/>
      <c r="P189" s="367"/>
      <c r="Q189" s="367"/>
      <c r="R189" s="367"/>
      <c r="S189" s="367"/>
      <c r="T189" s="367"/>
      <c r="U189" s="367"/>
      <c r="V189" s="367"/>
      <c r="W189" s="367"/>
      <c r="X189" s="367"/>
      <c r="Y189" s="367"/>
      <c r="Z189" s="367"/>
      <c r="AA189" s="367"/>
      <c r="AB189" s="367"/>
      <c r="AC189" s="367"/>
      <c r="AD189" s="367"/>
      <c r="AE189" s="367"/>
      <c r="AF189" s="367"/>
      <c r="AG189" s="367"/>
      <c r="AH189" s="367"/>
      <c r="AI189" s="367"/>
      <c r="AJ189" s="367"/>
      <c r="AK189" s="367"/>
      <c r="AL189" s="367"/>
      <c r="AM189" s="367"/>
      <c r="AN189" s="367"/>
      <c r="AO189" s="367"/>
      <c r="AP189" s="367"/>
      <c r="AQ189" s="367"/>
      <c r="AR189" s="367"/>
    </row>
    <row r="190" spans="2:44" x14ac:dyDescent="0.2">
      <c r="B190" s="233" t="s">
        <v>335</v>
      </c>
    </row>
    <row r="191" spans="2:44" x14ac:dyDescent="0.2">
      <c r="B191" s="234" t="s">
        <v>415</v>
      </c>
    </row>
    <row r="192" spans="2:44" ht="15" customHeight="1" x14ac:dyDescent="0.2">
      <c r="B192" s="244" t="s">
        <v>416</v>
      </c>
      <c r="C192" s="244"/>
      <c r="D192" s="244"/>
      <c r="E192" s="244"/>
      <c r="F192" s="244"/>
      <c r="G192" s="244"/>
      <c r="H192" s="244"/>
      <c r="I192" s="244"/>
      <c r="J192" s="244"/>
      <c r="K192" s="244"/>
      <c r="L192" s="244"/>
      <c r="M192" s="244"/>
      <c r="N192" s="244"/>
      <c r="O192" s="244"/>
      <c r="P192" s="244"/>
      <c r="Q192" s="244"/>
      <c r="R192" s="244"/>
      <c r="S192" s="244"/>
      <c r="T192" s="244"/>
      <c r="U192" s="244"/>
      <c r="V192" s="244"/>
      <c r="W192" s="244"/>
      <c r="X192" s="244"/>
      <c r="Y192" s="244"/>
      <c r="Z192" s="244"/>
      <c r="AA192" s="244"/>
      <c r="AB192" s="244"/>
      <c r="AC192" s="244"/>
      <c r="AD192" s="244"/>
      <c r="AE192" s="244"/>
      <c r="AF192" s="244"/>
      <c r="AG192" s="244"/>
      <c r="AH192" s="244"/>
      <c r="AI192" s="244"/>
      <c r="AJ192" s="244"/>
      <c r="AK192" s="244"/>
      <c r="AL192" s="244"/>
      <c r="AM192" s="244"/>
      <c r="AN192" s="244"/>
      <c r="AO192" s="244"/>
      <c r="AP192" s="244"/>
      <c r="AQ192" s="244"/>
      <c r="AR192" s="244"/>
    </row>
    <row r="193" spans="2:44" ht="15" customHeight="1" x14ac:dyDescent="0.2">
      <c r="B193" s="245" t="s">
        <v>417</v>
      </c>
      <c r="C193" s="245"/>
      <c r="D193" s="245"/>
      <c r="E193" s="245"/>
      <c r="F193" s="245"/>
      <c r="G193" s="245"/>
      <c r="H193" s="245"/>
      <c r="I193" s="245"/>
      <c r="J193" s="245"/>
      <c r="K193" s="245"/>
      <c r="L193" s="245"/>
      <c r="M193" s="245"/>
      <c r="N193" s="245"/>
      <c r="O193" s="245"/>
      <c r="P193" s="245"/>
      <c r="Q193" s="245"/>
      <c r="R193" s="245"/>
      <c r="S193" s="245"/>
      <c r="T193" s="245"/>
      <c r="U193" s="245"/>
      <c r="V193" s="245"/>
      <c r="W193" s="245"/>
      <c r="X193" s="245"/>
      <c r="Y193" s="245"/>
      <c r="Z193" s="245"/>
      <c r="AA193" s="245"/>
      <c r="AB193" s="245"/>
      <c r="AC193" s="245"/>
      <c r="AD193" s="245"/>
      <c r="AE193" s="245"/>
      <c r="AF193" s="245"/>
      <c r="AG193" s="245"/>
      <c r="AH193" s="245"/>
      <c r="AI193" s="245"/>
      <c r="AJ193" s="245"/>
      <c r="AK193" s="245"/>
      <c r="AL193" s="245"/>
      <c r="AM193" s="245"/>
      <c r="AN193" s="245"/>
      <c r="AO193" s="245"/>
      <c r="AP193" s="245"/>
      <c r="AQ193" s="245"/>
      <c r="AR193" s="245"/>
    </row>
    <row r="194" spans="2:44" x14ac:dyDescent="0.2">
      <c r="B194" s="246" t="s">
        <v>418</v>
      </c>
    </row>
    <row r="195" spans="2:44" x14ac:dyDescent="0.2">
      <c r="B195" s="247" t="s">
        <v>419</v>
      </c>
    </row>
    <row r="196" spans="2:44" x14ac:dyDescent="0.2">
      <c r="B196" s="247" t="s">
        <v>420</v>
      </c>
    </row>
    <row r="197" spans="2:44" x14ac:dyDescent="0.2">
      <c r="B197" s="234" t="s">
        <v>421</v>
      </c>
    </row>
    <row r="198" spans="2:44" ht="11.25" customHeight="1" x14ac:dyDescent="0.2">
      <c r="B198" s="242"/>
    </row>
    <row r="199" spans="2:44" x14ac:dyDescent="0.2">
      <c r="B199" s="231" t="s">
        <v>422</v>
      </c>
      <c r="C199" s="70"/>
      <c r="D199" s="70"/>
      <c r="E199" s="70"/>
      <c r="F199" s="70"/>
      <c r="G199" s="70"/>
      <c r="H199" s="70"/>
      <c r="I199" s="70"/>
      <c r="J199" s="70"/>
      <c r="K199" s="70"/>
      <c r="L199" s="70"/>
      <c r="M199" s="70"/>
      <c r="N199" s="70"/>
      <c r="O199" s="70"/>
      <c r="P199" s="70"/>
      <c r="Q199" s="70"/>
      <c r="R199" s="70"/>
      <c r="S199" s="70"/>
      <c r="T199" s="70"/>
      <c r="U199" s="70"/>
      <c r="V199" s="70"/>
    </row>
    <row r="200" spans="2:44" ht="7.5" customHeight="1" x14ac:dyDescent="0.2">
      <c r="B200" s="242"/>
    </row>
    <row r="201" spans="2:44" ht="28.5" customHeight="1" x14ac:dyDescent="0.2">
      <c r="B201" s="367" t="s">
        <v>423</v>
      </c>
      <c r="C201" s="367"/>
      <c r="D201" s="367"/>
      <c r="E201" s="367"/>
      <c r="F201" s="367"/>
      <c r="G201" s="367"/>
      <c r="H201" s="367"/>
      <c r="I201" s="367"/>
      <c r="J201" s="367"/>
      <c r="K201" s="367"/>
      <c r="L201" s="367"/>
      <c r="M201" s="367"/>
      <c r="N201" s="367"/>
      <c r="O201" s="367"/>
      <c r="P201" s="367"/>
      <c r="Q201" s="367"/>
      <c r="R201" s="367"/>
      <c r="S201" s="367"/>
      <c r="T201" s="367"/>
      <c r="U201" s="367"/>
      <c r="V201" s="367"/>
      <c r="W201" s="367"/>
      <c r="X201" s="367"/>
      <c r="Y201" s="367"/>
      <c r="Z201" s="367"/>
      <c r="AA201" s="367"/>
      <c r="AB201" s="367"/>
      <c r="AC201" s="367"/>
      <c r="AD201" s="367"/>
      <c r="AE201" s="367"/>
      <c r="AF201" s="367"/>
      <c r="AG201" s="367"/>
      <c r="AH201" s="367"/>
      <c r="AI201" s="367"/>
      <c r="AJ201" s="367"/>
      <c r="AK201" s="367"/>
      <c r="AL201" s="367"/>
      <c r="AM201" s="367"/>
      <c r="AN201" s="367"/>
      <c r="AO201" s="367"/>
      <c r="AP201" s="367"/>
      <c r="AQ201" s="367"/>
      <c r="AR201" s="367"/>
    </row>
    <row r="202" spans="2:44" x14ac:dyDescent="0.2">
      <c r="B202" s="233" t="s">
        <v>335</v>
      </c>
    </row>
    <row r="203" spans="2:44" ht="27.75" customHeight="1" x14ac:dyDescent="0.2">
      <c r="B203" s="368" t="s">
        <v>424</v>
      </c>
      <c r="C203" s="368"/>
      <c r="D203" s="368"/>
      <c r="E203" s="368"/>
      <c r="F203" s="368"/>
      <c r="G203" s="368"/>
      <c r="H203" s="368"/>
      <c r="I203" s="368"/>
      <c r="J203" s="368"/>
      <c r="K203" s="368"/>
      <c r="L203" s="368"/>
      <c r="M203" s="368"/>
      <c r="N203" s="368"/>
      <c r="O203" s="368"/>
      <c r="P203" s="368"/>
      <c r="Q203" s="368"/>
      <c r="R203" s="368"/>
      <c r="S203" s="368"/>
      <c r="T203" s="368"/>
      <c r="U203" s="368"/>
      <c r="V203" s="368"/>
      <c r="W203" s="368"/>
      <c r="X203" s="368"/>
      <c r="Y203" s="368"/>
      <c r="Z203" s="368"/>
      <c r="AA203" s="368"/>
      <c r="AB203" s="368"/>
      <c r="AC203" s="368"/>
      <c r="AD203" s="368"/>
      <c r="AE203" s="368"/>
      <c r="AF203" s="368"/>
      <c r="AG203" s="368"/>
      <c r="AH203" s="368"/>
      <c r="AI203" s="368"/>
      <c r="AJ203" s="368"/>
      <c r="AK203" s="368"/>
      <c r="AL203" s="368"/>
      <c r="AM203" s="368"/>
      <c r="AN203" s="368"/>
      <c r="AO203" s="368"/>
      <c r="AP203" s="368"/>
      <c r="AQ203" s="368"/>
      <c r="AR203" s="368"/>
    </row>
    <row r="204" spans="2:44" x14ac:dyDescent="0.2">
      <c r="B204" s="234" t="s">
        <v>425</v>
      </c>
    </row>
    <row r="205" spans="2:44" ht="11.25" customHeight="1" x14ac:dyDescent="0.2">
      <c r="B205" s="242"/>
    </row>
    <row r="206" spans="2:44" x14ac:dyDescent="0.2">
      <c r="B206" s="231" t="s">
        <v>426</v>
      </c>
      <c r="C206" s="70"/>
      <c r="D206" s="70"/>
      <c r="E206" s="70"/>
      <c r="F206" s="70"/>
      <c r="G206" s="70"/>
      <c r="H206" s="70"/>
      <c r="I206" s="70"/>
      <c r="J206" s="70"/>
      <c r="K206" s="70"/>
      <c r="L206" s="70"/>
      <c r="M206" s="70"/>
    </row>
    <row r="207" spans="2:44" ht="7.5" customHeight="1" x14ac:dyDescent="0.2">
      <c r="B207" s="242"/>
    </row>
    <row r="208" spans="2:44" ht="26.25" customHeight="1" x14ac:dyDescent="0.2">
      <c r="B208" s="367" t="s">
        <v>427</v>
      </c>
      <c r="C208" s="367"/>
      <c r="D208" s="367"/>
      <c r="E208" s="367"/>
      <c r="F208" s="367"/>
      <c r="G208" s="367"/>
      <c r="H208" s="367"/>
      <c r="I208" s="367"/>
      <c r="J208" s="367"/>
      <c r="K208" s="367"/>
      <c r="L208" s="367"/>
      <c r="M208" s="367"/>
      <c r="N208" s="367"/>
      <c r="O208" s="367"/>
      <c r="P208" s="367"/>
      <c r="Q208" s="367"/>
      <c r="R208" s="367"/>
      <c r="S208" s="367"/>
      <c r="T208" s="367"/>
      <c r="U208" s="367"/>
      <c r="V208" s="367"/>
      <c r="W208" s="367"/>
      <c r="X208" s="367"/>
      <c r="Y208" s="367"/>
      <c r="Z208" s="367"/>
      <c r="AA208" s="367"/>
      <c r="AB208" s="367"/>
      <c r="AC208" s="367"/>
      <c r="AD208" s="367"/>
      <c r="AE208" s="367"/>
      <c r="AF208" s="367"/>
      <c r="AG208" s="367"/>
      <c r="AH208" s="367"/>
      <c r="AI208" s="367"/>
      <c r="AJ208" s="367"/>
      <c r="AK208" s="367"/>
      <c r="AL208" s="367"/>
      <c r="AM208" s="367"/>
      <c r="AN208" s="367"/>
      <c r="AO208" s="367"/>
      <c r="AP208" s="367"/>
      <c r="AQ208" s="367"/>
      <c r="AR208" s="367"/>
    </row>
    <row r="209" spans="2:44" ht="7.5" customHeight="1" x14ac:dyDescent="0.2">
      <c r="B209" s="242"/>
    </row>
    <row r="210" spans="2:44" x14ac:dyDescent="0.2">
      <c r="B210" s="230" t="s">
        <v>428</v>
      </c>
    </row>
    <row r="211" spans="2:44" x14ac:dyDescent="0.2">
      <c r="B211" s="233" t="s">
        <v>335</v>
      </c>
    </row>
    <row r="212" spans="2:44" x14ac:dyDescent="0.2">
      <c r="B212" s="234" t="s">
        <v>429</v>
      </c>
    </row>
    <row r="213" spans="2:44" ht="18.75" customHeight="1" x14ac:dyDescent="0.2">
      <c r="B213" s="236"/>
    </row>
    <row r="214" spans="2:44" ht="26" x14ac:dyDescent="0.2">
      <c r="B214" s="235" t="s">
        <v>430</v>
      </c>
    </row>
    <row r="215" spans="2:44" ht="27" customHeight="1" x14ac:dyDescent="0.2">
      <c r="B215" s="367" t="s">
        <v>431</v>
      </c>
      <c r="C215" s="367"/>
      <c r="D215" s="367"/>
      <c r="E215" s="367"/>
      <c r="F215" s="367"/>
      <c r="G215" s="367"/>
      <c r="H215" s="367"/>
      <c r="I215" s="367"/>
      <c r="J215" s="367"/>
      <c r="K215" s="367"/>
      <c r="L215" s="367"/>
      <c r="M215" s="367"/>
      <c r="N215" s="367"/>
      <c r="O215" s="367"/>
      <c r="P215" s="367"/>
      <c r="Q215" s="367"/>
      <c r="R215" s="367"/>
      <c r="S215" s="367"/>
      <c r="T215" s="367"/>
      <c r="U215" s="367"/>
      <c r="V215" s="367"/>
      <c r="W215" s="367"/>
      <c r="X215" s="367"/>
      <c r="Y215" s="367"/>
      <c r="Z215" s="367"/>
      <c r="AA215" s="367"/>
      <c r="AB215" s="367"/>
      <c r="AC215" s="367"/>
      <c r="AD215" s="367"/>
      <c r="AE215" s="367"/>
      <c r="AF215" s="367"/>
      <c r="AG215" s="367"/>
      <c r="AH215" s="367"/>
      <c r="AI215" s="367"/>
      <c r="AJ215" s="367"/>
      <c r="AK215" s="367"/>
      <c r="AL215" s="367"/>
      <c r="AM215" s="367"/>
      <c r="AN215" s="367"/>
      <c r="AO215" s="367"/>
      <c r="AP215" s="367"/>
      <c r="AQ215" s="367"/>
      <c r="AR215" s="367"/>
    </row>
    <row r="216" spans="2:44" ht="7.5" customHeight="1" x14ac:dyDescent="0.2">
      <c r="B216" s="242"/>
    </row>
    <row r="217" spans="2:44" ht="29.25" customHeight="1" x14ac:dyDescent="0.2">
      <c r="B217" s="367" t="s">
        <v>432</v>
      </c>
      <c r="C217" s="367"/>
      <c r="D217" s="367"/>
      <c r="E217" s="367"/>
      <c r="F217" s="367"/>
      <c r="G217" s="367"/>
      <c r="H217" s="367"/>
      <c r="I217" s="367"/>
      <c r="J217" s="367"/>
      <c r="K217" s="367"/>
      <c r="L217" s="367"/>
      <c r="M217" s="367"/>
      <c r="N217" s="367"/>
      <c r="O217" s="367"/>
      <c r="P217" s="367"/>
      <c r="Q217" s="367"/>
      <c r="R217" s="367"/>
      <c r="S217" s="367"/>
      <c r="T217" s="367"/>
      <c r="U217" s="367"/>
      <c r="V217" s="367"/>
      <c r="W217" s="367"/>
      <c r="X217" s="367"/>
      <c r="Y217" s="367"/>
      <c r="Z217" s="367"/>
      <c r="AA217" s="367"/>
      <c r="AB217" s="367"/>
      <c r="AC217" s="367"/>
      <c r="AD217" s="367"/>
      <c r="AE217" s="367"/>
      <c r="AF217" s="367"/>
      <c r="AG217" s="367"/>
      <c r="AH217" s="367"/>
      <c r="AI217" s="367"/>
      <c r="AJ217" s="367"/>
      <c r="AK217" s="367"/>
      <c r="AL217" s="367"/>
      <c r="AM217" s="367"/>
      <c r="AN217" s="367"/>
      <c r="AO217" s="367"/>
      <c r="AP217" s="367"/>
      <c r="AQ217" s="367"/>
      <c r="AR217" s="367"/>
    </row>
    <row r="218" spans="2:44" x14ac:dyDescent="0.2">
      <c r="B218" s="233" t="s">
        <v>335</v>
      </c>
    </row>
    <row r="219" spans="2:44" x14ac:dyDescent="0.2">
      <c r="B219" s="234" t="s">
        <v>433</v>
      </c>
    </row>
    <row r="220" spans="2:44" ht="18.75" customHeight="1" x14ac:dyDescent="0.2"/>
    <row r="221" spans="2:44" ht="26" x14ac:dyDescent="0.2">
      <c r="B221" s="235" t="s">
        <v>434</v>
      </c>
    </row>
    <row r="222" spans="2:44" ht="26.25" customHeight="1" x14ac:dyDescent="0.2">
      <c r="B222" s="367" t="s">
        <v>435</v>
      </c>
      <c r="C222" s="367"/>
      <c r="D222" s="367"/>
      <c r="E222" s="367"/>
      <c r="F222" s="367"/>
      <c r="G222" s="367"/>
      <c r="H222" s="367"/>
      <c r="I222" s="367"/>
      <c r="J222" s="367"/>
      <c r="K222" s="367"/>
      <c r="L222" s="367"/>
      <c r="M222" s="367"/>
      <c r="N222" s="367"/>
      <c r="O222" s="367"/>
      <c r="P222" s="367"/>
      <c r="Q222" s="367"/>
      <c r="R222" s="367"/>
      <c r="S222" s="367"/>
      <c r="T222" s="367"/>
      <c r="U222" s="367"/>
      <c r="V222" s="367"/>
      <c r="W222" s="367"/>
      <c r="X222" s="367"/>
      <c r="Y222" s="367"/>
      <c r="Z222" s="367"/>
      <c r="AA222" s="367"/>
      <c r="AB222" s="367"/>
      <c r="AC222" s="367"/>
      <c r="AD222" s="367"/>
      <c r="AE222" s="367"/>
      <c r="AF222" s="367"/>
      <c r="AG222" s="367"/>
      <c r="AH222" s="367"/>
      <c r="AI222" s="367"/>
      <c r="AJ222" s="367"/>
      <c r="AK222" s="367"/>
      <c r="AL222" s="367"/>
      <c r="AM222" s="367"/>
      <c r="AN222" s="367"/>
      <c r="AO222" s="367"/>
      <c r="AP222" s="367"/>
      <c r="AQ222" s="367"/>
      <c r="AR222" s="367"/>
    </row>
    <row r="223" spans="2:44" ht="7.5" customHeight="1" x14ac:dyDescent="0.2">
      <c r="B223" s="242"/>
    </row>
    <row r="224" spans="2:44" ht="25.5" customHeight="1" x14ac:dyDescent="0.2">
      <c r="B224" s="367" t="s">
        <v>436</v>
      </c>
      <c r="C224" s="367"/>
      <c r="D224" s="367"/>
      <c r="E224" s="367"/>
      <c r="F224" s="367"/>
      <c r="G224" s="367"/>
      <c r="H224" s="367"/>
      <c r="I224" s="367"/>
      <c r="J224" s="367"/>
      <c r="K224" s="367"/>
      <c r="L224" s="367"/>
      <c r="M224" s="367"/>
      <c r="N224" s="367"/>
      <c r="O224" s="367"/>
      <c r="P224" s="367"/>
      <c r="Q224" s="367"/>
      <c r="R224" s="367"/>
      <c r="S224" s="367"/>
      <c r="T224" s="367"/>
      <c r="U224" s="367"/>
      <c r="V224" s="367"/>
      <c r="W224" s="367"/>
      <c r="X224" s="367"/>
      <c r="Y224" s="367"/>
      <c r="Z224" s="367"/>
      <c r="AA224" s="367"/>
      <c r="AB224" s="367"/>
      <c r="AC224" s="367"/>
      <c r="AD224" s="367"/>
      <c r="AE224" s="367"/>
      <c r="AF224" s="367"/>
      <c r="AG224" s="367"/>
      <c r="AH224" s="367"/>
      <c r="AI224" s="367"/>
      <c r="AJ224" s="367"/>
      <c r="AK224" s="367"/>
      <c r="AL224" s="367"/>
      <c r="AM224" s="367"/>
      <c r="AN224" s="367"/>
      <c r="AO224" s="367"/>
      <c r="AP224" s="367"/>
      <c r="AQ224" s="367"/>
      <c r="AR224" s="367"/>
    </row>
    <row r="225" spans="2:44" ht="7.5" customHeight="1" x14ac:dyDescent="0.2">
      <c r="B225" s="242"/>
    </row>
    <row r="226" spans="2:44" ht="25.5" customHeight="1" x14ac:dyDescent="0.2">
      <c r="B226" s="367" t="s">
        <v>569</v>
      </c>
      <c r="C226" s="367"/>
      <c r="D226" s="367"/>
      <c r="E226" s="367"/>
      <c r="F226" s="367"/>
      <c r="G226" s="367"/>
      <c r="H226" s="367"/>
      <c r="I226" s="367"/>
      <c r="J226" s="367"/>
      <c r="K226" s="367"/>
      <c r="L226" s="367"/>
      <c r="M226" s="367"/>
      <c r="N226" s="367"/>
      <c r="O226" s="367"/>
      <c r="P226" s="367"/>
      <c r="Q226" s="367"/>
      <c r="R226" s="367"/>
      <c r="S226" s="367"/>
      <c r="T226" s="367"/>
      <c r="U226" s="367"/>
      <c r="V226" s="367"/>
      <c r="W226" s="367"/>
      <c r="X226" s="367"/>
      <c r="Y226" s="367"/>
      <c r="Z226" s="367"/>
      <c r="AA226" s="367"/>
      <c r="AB226" s="367"/>
      <c r="AC226" s="367"/>
      <c r="AD226" s="367"/>
      <c r="AE226" s="367"/>
      <c r="AF226" s="367"/>
      <c r="AG226" s="367"/>
      <c r="AH226" s="367"/>
      <c r="AI226" s="367"/>
      <c r="AJ226" s="367"/>
      <c r="AK226" s="367"/>
      <c r="AL226" s="367"/>
      <c r="AM226" s="367"/>
      <c r="AN226" s="367"/>
      <c r="AO226" s="367"/>
      <c r="AP226" s="367"/>
      <c r="AQ226" s="367"/>
      <c r="AR226" s="367"/>
    </row>
    <row r="227" spans="2:44" ht="7.5" customHeight="1" x14ac:dyDescent="0.2">
      <c r="B227" s="242"/>
    </row>
    <row r="228" spans="2:44" ht="25.5" customHeight="1" x14ac:dyDescent="0.2">
      <c r="B228" s="367" t="s">
        <v>437</v>
      </c>
      <c r="C228" s="367"/>
      <c r="D228" s="367"/>
      <c r="E228" s="367"/>
      <c r="F228" s="367"/>
      <c r="G228" s="367"/>
      <c r="H228" s="367"/>
      <c r="I228" s="367"/>
      <c r="J228" s="367"/>
      <c r="K228" s="367"/>
      <c r="L228" s="367"/>
      <c r="M228" s="367"/>
      <c r="N228" s="367"/>
      <c r="O228" s="367"/>
      <c r="P228" s="367"/>
      <c r="Q228" s="367"/>
      <c r="R228" s="367"/>
      <c r="S228" s="367"/>
      <c r="T228" s="367"/>
      <c r="U228" s="367"/>
      <c r="V228" s="367"/>
      <c r="W228" s="367"/>
      <c r="X228" s="367"/>
      <c r="Y228" s="367"/>
      <c r="Z228" s="367"/>
      <c r="AA228" s="367"/>
      <c r="AB228" s="367"/>
      <c r="AC228" s="367"/>
      <c r="AD228" s="367"/>
      <c r="AE228" s="367"/>
      <c r="AF228" s="367"/>
      <c r="AG228" s="367"/>
      <c r="AH228" s="367"/>
      <c r="AI228" s="367"/>
      <c r="AJ228" s="367"/>
      <c r="AK228" s="367"/>
      <c r="AL228" s="367"/>
      <c r="AM228" s="367"/>
      <c r="AN228" s="367"/>
      <c r="AO228" s="367"/>
      <c r="AP228" s="367"/>
      <c r="AQ228" s="367"/>
      <c r="AR228" s="367"/>
    </row>
    <row r="229" spans="2:44" ht="11.25" customHeight="1" x14ac:dyDescent="0.2">
      <c r="B229" s="242"/>
    </row>
    <row r="230" spans="2:44" x14ac:dyDescent="0.2">
      <c r="B230" s="231" t="s">
        <v>438</v>
      </c>
      <c r="C230" s="70"/>
      <c r="D230" s="70"/>
      <c r="E230" s="70"/>
      <c r="F230" s="70"/>
      <c r="G230" s="70"/>
      <c r="H230" s="70"/>
      <c r="I230" s="70"/>
      <c r="J230" s="70"/>
      <c r="K230" s="70"/>
      <c r="L230" s="70"/>
      <c r="M230" s="70"/>
      <c r="N230" s="70"/>
      <c r="O230" s="70"/>
      <c r="P230" s="70"/>
      <c r="Q230" s="70"/>
      <c r="R230" s="70"/>
      <c r="S230" s="70"/>
      <c r="T230" s="70"/>
      <c r="U230" s="70"/>
      <c r="V230" s="70"/>
      <c r="W230" s="70"/>
      <c r="X230" s="70"/>
      <c r="Y230" s="70"/>
      <c r="Z230" s="70"/>
      <c r="AA230" s="70"/>
      <c r="AB230" s="70"/>
      <c r="AC230" s="70"/>
      <c r="AD230" s="70"/>
      <c r="AE230" s="70"/>
      <c r="AF230" s="70"/>
      <c r="AG230" s="70"/>
      <c r="AH230" s="70"/>
      <c r="AI230" s="70"/>
      <c r="AJ230" s="70"/>
      <c r="AK230" s="70"/>
    </row>
    <row r="231" spans="2:44" ht="7.5" customHeight="1" x14ac:dyDescent="0.2">
      <c r="B231" s="242"/>
    </row>
    <row r="232" spans="2:44" x14ac:dyDescent="0.2">
      <c r="B232" s="230" t="s">
        <v>439</v>
      </c>
    </row>
    <row r="233" spans="2:44" x14ac:dyDescent="0.2">
      <c r="B233" s="233" t="s">
        <v>335</v>
      </c>
    </row>
    <row r="234" spans="2:44" x14ac:dyDescent="0.2">
      <c r="B234" s="234" t="s">
        <v>440</v>
      </c>
    </row>
    <row r="235" spans="2:44" ht="11.25" customHeight="1" x14ac:dyDescent="0.2">
      <c r="B235" s="242"/>
    </row>
    <row r="236" spans="2:44" x14ac:dyDescent="0.2">
      <c r="B236" s="231" t="s">
        <v>591</v>
      </c>
      <c r="C236" s="70"/>
      <c r="D236" s="70"/>
      <c r="E236" s="70"/>
      <c r="F236" s="70"/>
      <c r="G236" s="70"/>
      <c r="H236" s="70"/>
      <c r="I236" s="70"/>
      <c r="J236" s="70"/>
      <c r="K236" s="70"/>
      <c r="L236" s="70"/>
      <c r="M236" s="70"/>
      <c r="N236" s="70"/>
      <c r="O236" s="70"/>
      <c r="P236" s="70"/>
      <c r="Q236" s="70"/>
      <c r="R236" s="70"/>
      <c r="S236" s="70"/>
      <c r="T236" s="70"/>
      <c r="U236" s="70"/>
      <c r="V236" s="70"/>
      <c r="W236" s="70"/>
    </row>
    <row r="237" spans="2:44" ht="7.5" customHeight="1" x14ac:dyDescent="0.2">
      <c r="B237" s="242"/>
    </row>
    <row r="238" spans="2:44" x14ac:dyDescent="0.2">
      <c r="B238" s="230" t="s">
        <v>441</v>
      </c>
    </row>
    <row r="239" spans="2:44" x14ac:dyDescent="0.2">
      <c r="B239" s="233" t="s">
        <v>335</v>
      </c>
    </row>
    <row r="240" spans="2:44" x14ac:dyDescent="0.2">
      <c r="B240" s="234" t="s">
        <v>588</v>
      </c>
    </row>
    <row r="241" spans="2:7" ht="11.25" customHeight="1" x14ac:dyDescent="0.2">
      <c r="B241" s="242"/>
    </row>
    <row r="242" spans="2:7" x14ac:dyDescent="0.2">
      <c r="B242" s="231" t="s">
        <v>442</v>
      </c>
      <c r="C242" s="70"/>
      <c r="D242" s="70"/>
      <c r="E242" s="70"/>
    </row>
    <row r="243" spans="2:7" ht="7.5" customHeight="1" x14ac:dyDescent="0.2">
      <c r="B243" s="242"/>
    </row>
    <row r="244" spans="2:7" x14ac:dyDescent="0.2">
      <c r="B244" s="230" t="s">
        <v>352</v>
      </c>
    </row>
    <row r="245" spans="2:7" x14ac:dyDescent="0.2">
      <c r="B245" s="233" t="s">
        <v>335</v>
      </c>
    </row>
    <row r="246" spans="2:7" x14ac:dyDescent="0.2">
      <c r="B246" s="234" t="s">
        <v>350</v>
      </c>
    </row>
    <row r="247" spans="2:7" ht="11.25" customHeight="1" x14ac:dyDescent="0.2">
      <c r="B247" s="242"/>
    </row>
    <row r="248" spans="2:7" x14ac:dyDescent="0.2">
      <c r="B248" s="231" t="s">
        <v>443</v>
      </c>
    </row>
    <row r="249" spans="2:7" ht="7.5" customHeight="1" x14ac:dyDescent="0.2">
      <c r="B249" s="242"/>
    </row>
    <row r="250" spans="2:7" x14ac:dyDescent="0.2">
      <c r="B250" s="230" t="s">
        <v>349</v>
      </c>
    </row>
    <row r="251" spans="2:7" x14ac:dyDescent="0.2">
      <c r="B251" s="233" t="s">
        <v>335</v>
      </c>
    </row>
    <row r="252" spans="2:7" x14ac:dyDescent="0.2">
      <c r="B252" s="234" t="s">
        <v>350</v>
      </c>
    </row>
    <row r="253" spans="2:7" ht="11.25" customHeight="1" x14ac:dyDescent="0.2">
      <c r="B253" s="242"/>
    </row>
    <row r="254" spans="2:7" x14ac:dyDescent="0.2">
      <c r="B254" s="231" t="s">
        <v>570</v>
      </c>
      <c r="C254" s="70"/>
      <c r="D254" s="70"/>
      <c r="E254" s="70"/>
      <c r="F254" s="70"/>
      <c r="G254" s="70"/>
    </row>
    <row r="255" spans="2:7" ht="7.5" customHeight="1" x14ac:dyDescent="0.2">
      <c r="B255" s="242"/>
    </row>
    <row r="256" spans="2:7" x14ac:dyDescent="0.2">
      <c r="B256" s="230" t="s">
        <v>445</v>
      </c>
    </row>
    <row r="257" spans="2:44" x14ac:dyDescent="0.2">
      <c r="B257" s="233" t="s">
        <v>335</v>
      </c>
    </row>
    <row r="258" spans="2:44" x14ac:dyDescent="0.2">
      <c r="B258" s="234" t="s">
        <v>446</v>
      </c>
    </row>
    <row r="259" spans="2:44" x14ac:dyDescent="0.2">
      <c r="B259" s="229"/>
    </row>
    <row r="260" spans="2:44" ht="17" x14ac:dyDescent="0.2">
      <c r="B260" s="236" t="s">
        <v>447</v>
      </c>
    </row>
    <row r="261" spans="2:44" ht="26.25" customHeight="1" x14ac:dyDescent="0.2">
      <c r="B261" s="367" t="s">
        <v>448</v>
      </c>
      <c r="C261" s="367"/>
      <c r="D261" s="367"/>
      <c r="E261" s="367"/>
      <c r="F261" s="367"/>
      <c r="G261" s="367"/>
      <c r="H261" s="367"/>
      <c r="I261" s="367"/>
      <c r="J261" s="367"/>
      <c r="K261" s="367"/>
      <c r="L261" s="367"/>
      <c r="M261" s="367"/>
      <c r="N261" s="367"/>
      <c r="O261" s="367"/>
      <c r="P261" s="367"/>
      <c r="Q261" s="367"/>
      <c r="R261" s="367"/>
      <c r="S261" s="367"/>
      <c r="T261" s="367"/>
      <c r="U261" s="367"/>
      <c r="V261" s="367"/>
      <c r="W261" s="367"/>
      <c r="X261" s="367"/>
      <c r="Y261" s="367"/>
      <c r="Z261" s="367"/>
      <c r="AA261" s="367"/>
      <c r="AB261" s="367"/>
      <c r="AC261" s="367"/>
      <c r="AD261" s="367"/>
      <c r="AE261" s="367"/>
      <c r="AF261" s="367"/>
      <c r="AG261" s="367"/>
      <c r="AH261" s="367"/>
      <c r="AI261" s="367"/>
      <c r="AJ261" s="367"/>
      <c r="AK261" s="367"/>
      <c r="AL261" s="367"/>
      <c r="AM261" s="367"/>
      <c r="AN261" s="367"/>
      <c r="AO261" s="367"/>
      <c r="AP261" s="367"/>
      <c r="AQ261" s="367"/>
      <c r="AR261" s="367"/>
    </row>
    <row r="262" spans="2:44" ht="7.5" customHeight="1" x14ac:dyDescent="0.2">
      <c r="B262" s="242"/>
    </row>
    <row r="263" spans="2:44" x14ac:dyDescent="0.2">
      <c r="B263" s="230" t="s">
        <v>449</v>
      </c>
    </row>
    <row r="264" spans="2:44" ht="11.25" customHeight="1" x14ac:dyDescent="0.2">
      <c r="B264" s="242"/>
    </row>
    <row r="265" spans="2:44" x14ac:dyDescent="0.2">
      <c r="B265" s="231" t="s">
        <v>450</v>
      </c>
      <c r="C265" s="70"/>
      <c r="D265" s="70"/>
      <c r="E265" s="70"/>
      <c r="F265" s="70"/>
      <c r="G265" s="70"/>
      <c r="H265" s="70"/>
      <c r="I265" s="70"/>
      <c r="J265" s="70"/>
      <c r="K265" s="70"/>
      <c r="L265" s="70"/>
      <c r="M265" s="70"/>
      <c r="N265" s="70"/>
      <c r="O265" s="70"/>
      <c r="P265" s="70"/>
      <c r="Q265" s="70"/>
      <c r="R265" s="70"/>
      <c r="S265" s="70"/>
      <c r="T265" s="70"/>
      <c r="U265" s="70"/>
      <c r="V265" s="70"/>
      <c r="W265" s="70"/>
      <c r="X265" s="70"/>
      <c r="Y265" s="70"/>
      <c r="Z265" s="70"/>
      <c r="AA265" s="70"/>
      <c r="AB265" s="70"/>
      <c r="AC265" s="70"/>
      <c r="AD265" s="70"/>
      <c r="AE265" s="70"/>
      <c r="AF265" s="70"/>
      <c r="AG265" s="70"/>
      <c r="AH265" s="70"/>
      <c r="AI265" s="70"/>
      <c r="AJ265" s="70"/>
      <c r="AK265" s="70"/>
      <c r="AL265" s="70"/>
      <c r="AM265" s="70"/>
      <c r="AN265" s="70"/>
      <c r="AO265" s="70"/>
      <c r="AP265" s="70"/>
    </row>
    <row r="266" spans="2:44" ht="7.5" customHeight="1" x14ac:dyDescent="0.2">
      <c r="B266" s="242"/>
    </row>
    <row r="267" spans="2:44" x14ac:dyDescent="0.2">
      <c r="B267" s="230" t="s">
        <v>451</v>
      </c>
    </row>
    <row r="268" spans="2:44" x14ac:dyDescent="0.2">
      <c r="B268" s="233" t="s">
        <v>335</v>
      </c>
    </row>
    <row r="269" spans="2:44" ht="27" customHeight="1" x14ac:dyDescent="0.2">
      <c r="B269" s="368" t="s">
        <v>452</v>
      </c>
      <c r="C269" s="368"/>
      <c r="D269" s="368"/>
      <c r="E269" s="368"/>
      <c r="F269" s="368"/>
      <c r="G269" s="368"/>
      <c r="H269" s="368"/>
      <c r="I269" s="368"/>
      <c r="J269" s="368"/>
      <c r="K269" s="368"/>
      <c r="L269" s="368"/>
      <c r="M269" s="368"/>
      <c r="N269" s="368"/>
      <c r="O269" s="368"/>
      <c r="P269" s="368"/>
      <c r="Q269" s="368"/>
      <c r="R269" s="368"/>
      <c r="S269" s="368"/>
      <c r="T269" s="368"/>
      <c r="U269" s="368"/>
      <c r="V269" s="368"/>
      <c r="W269" s="368"/>
      <c r="X269" s="368"/>
      <c r="Y269" s="368"/>
      <c r="Z269" s="368"/>
      <c r="AA269" s="368"/>
      <c r="AB269" s="368"/>
      <c r="AC269" s="368"/>
      <c r="AD269" s="368"/>
      <c r="AE269" s="368"/>
      <c r="AF269" s="368"/>
      <c r="AG269" s="368"/>
      <c r="AH269" s="368"/>
      <c r="AI269" s="368"/>
      <c r="AJ269" s="368"/>
      <c r="AK269" s="368"/>
      <c r="AL269" s="368"/>
      <c r="AM269" s="368"/>
      <c r="AN269" s="368"/>
      <c r="AO269" s="368"/>
      <c r="AP269" s="368"/>
      <c r="AQ269" s="368"/>
      <c r="AR269" s="368"/>
    </row>
    <row r="270" spans="2:44" ht="15" customHeight="1" x14ac:dyDescent="0.2">
      <c r="B270" s="248"/>
    </row>
    <row r="271" spans="2:44" ht="17" x14ac:dyDescent="0.2">
      <c r="B271" s="375" t="s">
        <v>453</v>
      </c>
      <c r="C271" s="375"/>
      <c r="D271" s="375"/>
      <c r="E271" s="375"/>
      <c r="F271" s="375"/>
      <c r="G271" s="375"/>
      <c r="H271" s="375"/>
      <c r="I271" s="375"/>
      <c r="J271" s="375"/>
      <c r="K271" s="375"/>
      <c r="L271" s="375"/>
      <c r="M271" s="375"/>
      <c r="N271" s="375"/>
      <c r="O271" s="375"/>
      <c r="P271" s="375"/>
      <c r="Q271" s="375"/>
      <c r="R271" s="375"/>
      <c r="S271" s="375"/>
      <c r="T271" s="375"/>
      <c r="U271" s="375"/>
      <c r="V271" s="375"/>
      <c r="W271" s="375"/>
      <c r="X271" s="375"/>
      <c r="Y271" s="375"/>
      <c r="Z271" s="375"/>
      <c r="AA271" s="375"/>
      <c r="AB271" s="375"/>
      <c r="AC271" s="375"/>
      <c r="AD271" s="375"/>
      <c r="AE271" s="375"/>
      <c r="AF271" s="375"/>
      <c r="AG271" s="375"/>
      <c r="AH271" s="375"/>
      <c r="AI271" s="375"/>
      <c r="AJ271" s="375"/>
      <c r="AK271" s="375"/>
      <c r="AL271" s="375"/>
      <c r="AM271" s="375"/>
      <c r="AN271" s="375"/>
      <c r="AO271" s="375"/>
      <c r="AP271" s="375"/>
      <c r="AQ271" s="375"/>
      <c r="AR271" s="375"/>
    </row>
    <row r="272" spans="2:44" ht="11.25" customHeight="1" x14ac:dyDescent="0.2">
      <c r="B272" s="242"/>
    </row>
    <row r="273" spans="2:44" x14ac:dyDescent="0.2">
      <c r="B273" s="231" t="s">
        <v>454</v>
      </c>
      <c r="C273" s="70"/>
      <c r="D273" s="70"/>
      <c r="E273" s="70"/>
      <c r="F273" s="70"/>
      <c r="G273" s="70"/>
      <c r="H273" s="70"/>
      <c r="I273" s="70"/>
      <c r="J273" s="70"/>
      <c r="K273" s="70"/>
      <c r="L273" s="70"/>
    </row>
    <row r="274" spans="2:44" ht="7.5" customHeight="1" x14ac:dyDescent="0.2">
      <c r="B274" s="242"/>
    </row>
    <row r="275" spans="2:44" ht="29.25" customHeight="1" x14ac:dyDescent="0.2">
      <c r="B275" s="367" t="s">
        <v>455</v>
      </c>
      <c r="C275" s="367"/>
      <c r="D275" s="367"/>
      <c r="E275" s="367"/>
      <c r="F275" s="367"/>
      <c r="G275" s="367"/>
      <c r="H275" s="367"/>
      <c r="I275" s="367"/>
      <c r="J275" s="367"/>
      <c r="K275" s="367"/>
      <c r="L275" s="367"/>
      <c r="M275" s="367"/>
      <c r="N275" s="367"/>
      <c r="O275" s="367"/>
      <c r="P275" s="367"/>
      <c r="Q275" s="367"/>
      <c r="R275" s="367"/>
      <c r="S275" s="367"/>
      <c r="T275" s="367"/>
      <c r="U275" s="367"/>
      <c r="V275" s="367"/>
      <c r="W275" s="367"/>
      <c r="X275" s="367"/>
      <c r="Y275" s="367"/>
      <c r="Z275" s="367"/>
      <c r="AA275" s="367"/>
      <c r="AB275" s="367"/>
      <c r="AC275" s="367"/>
      <c r="AD275" s="367"/>
      <c r="AE275" s="367"/>
      <c r="AF275" s="367"/>
      <c r="AG275" s="367"/>
      <c r="AH275" s="367"/>
      <c r="AI275" s="367"/>
      <c r="AJ275" s="367"/>
      <c r="AK275" s="367"/>
      <c r="AL275" s="367"/>
      <c r="AM275" s="367"/>
      <c r="AN275" s="367"/>
      <c r="AO275" s="367"/>
      <c r="AP275" s="367"/>
      <c r="AQ275" s="367"/>
      <c r="AR275" s="367"/>
    </row>
    <row r="276" spans="2:44" x14ac:dyDescent="0.2">
      <c r="B276" s="233" t="s">
        <v>335</v>
      </c>
    </row>
    <row r="277" spans="2:44" x14ac:dyDescent="0.2">
      <c r="B277" s="234" t="s">
        <v>456</v>
      </c>
    </row>
    <row r="278" spans="2:44" ht="18.75" customHeight="1" x14ac:dyDescent="0.2"/>
    <row r="279" spans="2:44" ht="26" x14ac:dyDescent="0.2">
      <c r="B279" s="235" t="s">
        <v>457</v>
      </c>
    </row>
    <row r="280" spans="2:44" x14ac:dyDescent="0.2">
      <c r="B280" s="230" t="s">
        <v>458</v>
      </c>
    </row>
    <row r="281" spans="2:44" ht="11.25" customHeight="1" x14ac:dyDescent="0.2">
      <c r="B281" s="242"/>
    </row>
    <row r="282" spans="2:44" x14ac:dyDescent="0.2">
      <c r="B282" s="231" t="s">
        <v>459</v>
      </c>
      <c r="C282" s="70"/>
      <c r="D282" s="70"/>
      <c r="E282" s="70"/>
      <c r="F282" s="70"/>
      <c r="G282" s="70"/>
    </row>
    <row r="283" spans="2:44" ht="7.5" customHeight="1" x14ac:dyDescent="0.2">
      <c r="B283" s="242"/>
    </row>
    <row r="284" spans="2:44" ht="24.75" customHeight="1" x14ac:dyDescent="0.2">
      <c r="B284" s="367" t="s">
        <v>460</v>
      </c>
      <c r="C284" s="367"/>
      <c r="D284" s="367"/>
      <c r="E284" s="367"/>
      <c r="F284" s="367"/>
      <c r="G284" s="367"/>
      <c r="H284" s="367"/>
      <c r="I284" s="367"/>
      <c r="J284" s="367"/>
      <c r="K284" s="367"/>
      <c r="L284" s="367"/>
      <c r="M284" s="367"/>
      <c r="N284" s="367"/>
      <c r="O284" s="367"/>
      <c r="P284" s="367"/>
      <c r="Q284" s="367"/>
      <c r="R284" s="367"/>
      <c r="S284" s="367"/>
      <c r="T284" s="367"/>
      <c r="U284" s="367"/>
      <c r="V284" s="367"/>
      <c r="W284" s="367"/>
      <c r="X284" s="367"/>
      <c r="Y284" s="367"/>
      <c r="Z284" s="367"/>
      <c r="AA284" s="367"/>
      <c r="AB284" s="367"/>
      <c r="AC284" s="367"/>
      <c r="AD284" s="367"/>
      <c r="AE284" s="367"/>
      <c r="AF284" s="367"/>
      <c r="AG284" s="367"/>
      <c r="AH284" s="367"/>
      <c r="AI284" s="367"/>
      <c r="AJ284" s="367"/>
      <c r="AK284" s="367"/>
      <c r="AL284" s="367"/>
      <c r="AM284" s="367"/>
      <c r="AN284" s="367"/>
      <c r="AO284" s="367"/>
      <c r="AP284" s="367"/>
      <c r="AQ284" s="367"/>
      <c r="AR284" s="367"/>
    </row>
    <row r="285" spans="2:44" ht="11.25" customHeight="1" x14ac:dyDescent="0.2">
      <c r="B285" s="242"/>
    </row>
    <row r="286" spans="2:44" x14ac:dyDescent="0.2">
      <c r="B286" s="231" t="s">
        <v>413</v>
      </c>
      <c r="C286" s="70"/>
      <c r="D286" s="70"/>
      <c r="E286" s="70"/>
      <c r="F286" s="70"/>
      <c r="G286" s="70"/>
      <c r="H286" s="70"/>
      <c r="I286" s="70"/>
      <c r="J286" s="70"/>
      <c r="K286" s="70"/>
      <c r="L286" s="70"/>
      <c r="M286" s="70"/>
      <c r="N286" s="70"/>
      <c r="O286" s="70"/>
    </row>
    <row r="287" spans="2:44" ht="7.5" customHeight="1" x14ac:dyDescent="0.2">
      <c r="B287" s="242"/>
    </row>
    <row r="288" spans="2:44" ht="39" customHeight="1" x14ac:dyDescent="0.2">
      <c r="B288" s="367" t="s">
        <v>571</v>
      </c>
      <c r="C288" s="367"/>
      <c r="D288" s="367"/>
      <c r="E288" s="367"/>
      <c r="F288" s="367"/>
      <c r="G288" s="367"/>
      <c r="H288" s="367"/>
      <c r="I288" s="367"/>
      <c r="J288" s="367"/>
      <c r="K288" s="367"/>
      <c r="L288" s="367"/>
      <c r="M288" s="367"/>
      <c r="N288" s="367"/>
      <c r="O288" s="367"/>
      <c r="P288" s="367"/>
      <c r="Q288" s="367"/>
      <c r="R288" s="367"/>
      <c r="S288" s="367"/>
      <c r="T288" s="367"/>
      <c r="U288" s="367"/>
      <c r="V288" s="367"/>
      <c r="W288" s="367"/>
      <c r="X288" s="367"/>
      <c r="Y288" s="367"/>
      <c r="Z288" s="367"/>
      <c r="AA288" s="367"/>
      <c r="AB288" s="367"/>
      <c r="AC288" s="367"/>
      <c r="AD288" s="367"/>
      <c r="AE288" s="367"/>
      <c r="AF288" s="367"/>
      <c r="AG288" s="367"/>
      <c r="AH288" s="367"/>
      <c r="AI288" s="367"/>
      <c r="AJ288" s="367"/>
      <c r="AK288" s="367"/>
      <c r="AL288" s="367"/>
      <c r="AM288" s="367"/>
      <c r="AN288" s="367"/>
      <c r="AO288" s="367"/>
      <c r="AP288" s="367"/>
      <c r="AQ288" s="367"/>
      <c r="AR288" s="367"/>
    </row>
    <row r="289" spans="2:44" ht="7.5" customHeight="1" x14ac:dyDescent="0.2">
      <c r="B289" s="242"/>
    </row>
    <row r="290" spans="2:44" ht="28.5" customHeight="1" x14ac:dyDescent="0.2">
      <c r="B290" s="367" t="s">
        <v>461</v>
      </c>
      <c r="C290" s="367"/>
      <c r="D290" s="367"/>
      <c r="E290" s="367"/>
      <c r="F290" s="367"/>
      <c r="G290" s="367"/>
      <c r="H290" s="367"/>
      <c r="I290" s="367"/>
      <c r="J290" s="367"/>
      <c r="K290" s="367"/>
      <c r="L290" s="367"/>
      <c r="M290" s="367"/>
      <c r="N290" s="367"/>
      <c r="O290" s="367"/>
      <c r="P290" s="367"/>
      <c r="Q290" s="367"/>
      <c r="R290" s="367"/>
      <c r="S290" s="367"/>
      <c r="T290" s="367"/>
      <c r="U290" s="367"/>
      <c r="V290" s="367"/>
      <c r="W290" s="367"/>
      <c r="X290" s="367"/>
      <c r="Y290" s="367"/>
      <c r="Z290" s="367"/>
      <c r="AA290" s="367"/>
      <c r="AB290" s="367"/>
      <c r="AC290" s="367"/>
      <c r="AD290" s="367"/>
      <c r="AE290" s="367"/>
      <c r="AF290" s="367"/>
      <c r="AG290" s="367"/>
      <c r="AH290" s="367"/>
      <c r="AI290" s="367"/>
      <c r="AJ290" s="367"/>
      <c r="AK290" s="367"/>
      <c r="AL290" s="367"/>
      <c r="AM290" s="367"/>
      <c r="AN290" s="367"/>
      <c r="AO290" s="367"/>
      <c r="AP290" s="367"/>
      <c r="AQ290" s="367"/>
      <c r="AR290" s="367"/>
    </row>
    <row r="291" spans="2:44" x14ac:dyDescent="0.2">
      <c r="B291" s="233" t="s">
        <v>335</v>
      </c>
    </row>
    <row r="292" spans="2:44" x14ac:dyDescent="0.2">
      <c r="B292" s="234" t="s">
        <v>462</v>
      </c>
    </row>
    <row r="293" spans="2:44" x14ac:dyDescent="0.2">
      <c r="B293" s="246" t="s">
        <v>416</v>
      </c>
    </row>
    <row r="294" spans="2:44" x14ac:dyDescent="0.2">
      <c r="B294" s="246" t="s">
        <v>463</v>
      </c>
    </row>
    <row r="295" spans="2:44" x14ac:dyDescent="0.2">
      <c r="B295" s="246" t="s">
        <v>418</v>
      </c>
    </row>
    <row r="296" spans="2:44" x14ac:dyDescent="0.2">
      <c r="B296" s="247" t="s">
        <v>419</v>
      </c>
    </row>
    <row r="297" spans="2:44" x14ac:dyDescent="0.2">
      <c r="B297" s="247" t="s">
        <v>420</v>
      </c>
    </row>
    <row r="298" spans="2:44" x14ac:dyDescent="0.2">
      <c r="B298" s="234" t="s">
        <v>425</v>
      </c>
    </row>
    <row r="299" spans="2:44" ht="11.25" customHeight="1" x14ac:dyDescent="0.2">
      <c r="B299" s="242"/>
    </row>
    <row r="300" spans="2:44" x14ac:dyDescent="0.2">
      <c r="B300" s="231" t="s">
        <v>422</v>
      </c>
      <c r="C300" s="70"/>
      <c r="D300" s="70"/>
      <c r="E300" s="70"/>
      <c r="F300" s="70"/>
      <c r="G300" s="70"/>
      <c r="H300" s="70"/>
      <c r="I300" s="70"/>
      <c r="J300" s="70"/>
      <c r="K300" s="70"/>
      <c r="L300" s="70"/>
      <c r="M300" s="70"/>
      <c r="N300" s="70"/>
      <c r="O300" s="70"/>
      <c r="P300" s="70"/>
      <c r="Q300" s="70"/>
      <c r="R300" s="70"/>
      <c r="S300" s="70"/>
      <c r="T300" s="70"/>
      <c r="U300" s="70"/>
      <c r="V300" s="70"/>
    </row>
    <row r="301" spans="2:44" ht="7.5" customHeight="1" x14ac:dyDescent="0.2">
      <c r="B301" s="242"/>
    </row>
    <row r="302" spans="2:44" ht="30" customHeight="1" x14ac:dyDescent="0.2">
      <c r="B302" s="367" t="s">
        <v>464</v>
      </c>
      <c r="C302" s="367"/>
      <c r="D302" s="367"/>
      <c r="E302" s="367"/>
      <c r="F302" s="367"/>
      <c r="G302" s="367"/>
      <c r="H302" s="367"/>
      <c r="I302" s="367"/>
      <c r="J302" s="367"/>
      <c r="K302" s="367"/>
      <c r="L302" s="367"/>
      <c r="M302" s="367"/>
      <c r="N302" s="367"/>
      <c r="O302" s="367"/>
      <c r="P302" s="367"/>
      <c r="Q302" s="367"/>
      <c r="R302" s="367"/>
      <c r="S302" s="367"/>
      <c r="T302" s="367"/>
      <c r="U302" s="367"/>
      <c r="V302" s="367"/>
      <c r="W302" s="367"/>
      <c r="X302" s="367"/>
      <c r="Y302" s="367"/>
      <c r="Z302" s="367"/>
      <c r="AA302" s="367"/>
      <c r="AB302" s="367"/>
      <c r="AC302" s="367"/>
      <c r="AD302" s="367"/>
      <c r="AE302" s="367"/>
      <c r="AF302" s="367"/>
      <c r="AG302" s="367"/>
      <c r="AH302" s="367"/>
      <c r="AI302" s="367"/>
      <c r="AJ302" s="367"/>
      <c r="AK302" s="367"/>
      <c r="AL302" s="367"/>
      <c r="AM302" s="367"/>
      <c r="AN302" s="367"/>
      <c r="AO302" s="367"/>
      <c r="AP302" s="367"/>
      <c r="AQ302" s="367"/>
      <c r="AR302" s="367"/>
    </row>
    <row r="303" spans="2:44" x14ac:dyDescent="0.2">
      <c r="B303" s="233" t="s">
        <v>335</v>
      </c>
    </row>
    <row r="304" spans="2:44" ht="25.5" customHeight="1" x14ac:dyDescent="0.2">
      <c r="B304" s="368" t="s">
        <v>424</v>
      </c>
      <c r="C304" s="368"/>
      <c r="D304" s="368"/>
      <c r="E304" s="368"/>
      <c r="F304" s="368"/>
      <c r="G304" s="368"/>
      <c r="H304" s="368"/>
      <c r="I304" s="368"/>
      <c r="J304" s="368"/>
      <c r="K304" s="368"/>
      <c r="L304" s="368"/>
      <c r="M304" s="368"/>
      <c r="N304" s="368"/>
      <c r="O304" s="368"/>
      <c r="P304" s="368"/>
      <c r="Q304" s="368"/>
      <c r="R304" s="368"/>
      <c r="S304" s="368"/>
      <c r="T304" s="368"/>
      <c r="U304" s="368"/>
      <c r="V304" s="368"/>
      <c r="W304" s="368"/>
      <c r="X304" s="368"/>
      <c r="Y304" s="368"/>
      <c r="Z304" s="368"/>
      <c r="AA304" s="368"/>
      <c r="AB304" s="368"/>
      <c r="AC304" s="368"/>
      <c r="AD304" s="368"/>
      <c r="AE304" s="368"/>
      <c r="AF304" s="368"/>
      <c r="AG304" s="368"/>
      <c r="AH304" s="368"/>
      <c r="AI304" s="368"/>
      <c r="AJ304" s="368"/>
      <c r="AK304" s="368"/>
      <c r="AL304" s="368"/>
      <c r="AM304" s="368"/>
      <c r="AN304" s="368"/>
      <c r="AO304" s="368"/>
      <c r="AP304" s="368"/>
      <c r="AQ304" s="368"/>
      <c r="AR304" s="368"/>
    </row>
    <row r="305" spans="2:44" x14ac:dyDescent="0.2">
      <c r="B305" s="234" t="s">
        <v>425</v>
      </c>
    </row>
    <row r="306" spans="2:44" ht="18.75" customHeight="1" x14ac:dyDescent="0.2">
      <c r="B306" s="230"/>
    </row>
    <row r="307" spans="2:44" ht="26" x14ac:dyDescent="0.2">
      <c r="B307" s="235" t="s">
        <v>430</v>
      </c>
    </row>
    <row r="308" spans="2:44" ht="26.25" customHeight="1" x14ac:dyDescent="0.2">
      <c r="B308" s="367" t="s">
        <v>431</v>
      </c>
      <c r="C308" s="367"/>
      <c r="D308" s="367"/>
      <c r="E308" s="367"/>
      <c r="F308" s="367"/>
      <c r="G308" s="367"/>
      <c r="H308" s="367"/>
      <c r="I308" s="367"/>
      <c r="J308" s="367"/>
      <c r="K308" s="367"/>
      <c r="L308" s="367"/>
      <c r="M308" s="367"/>
      <c r="N308" s="367"/>
      <c r="O308" s="367"/>
      <c r="P308" s="367"/>
      <c r="Q308" s="367"/>
      <c r="R308" s="367"/>
      <c r="S308" s="367"/>
      <c r="T308" s="367"/>
      <c r="U308" s="367"/>
      <c r="V308" s="367"/>
      <c r="W308" s="367"/>
      <c r="X308" s="367"/>
      <c r="Y308" s="367"/>
      <c r="Z308" s="367"/>
      <c r="AA308" s="367"/>
      <c r="AB308" s="367"/>
      <c r="AC308" s="367"/>
      <c r="AD308" s="367"/>
      <c r="AE308" s="367"/>
      <c r="AF308" s="367"/>
      <c r="AG308" s="367"/>
      <c r="AH308" s="367"/>
      <c r="AI308" s="367"/>
      <c r="AJ308" s="367"/>
      <c r="AK308" s="367"/>
      <c r="AL308" s="367"/>
      <c r="AM308" s="367"/>
      <c r="AN308" s="367"/>
      <c r="AO308" s="367"/>
      <c r="AP308" s="367"/>
      <c r="AQ308" s="367"/>
      <c r="AR308" s="367"/>
    </row>
    <row r="309" spans="2:44" ht="7.5" customHeight="1" x14ac:dyDescent="0.2">
      <c r="B309" s="242"/>
    </row>
    <row r="310" spans="2:44" ht="27" customHeight="1" x14ac:dyDescent="0.2">
      <c r="B310" s="367" t="s">
        <v>432</v>
      </c>
      <c r="C310" s="367"/>
      <c r="D310" s="367"/>
      <c r="E310" s="367"/>
      <c r="F310" s="367"/>
      <c r="G310" s="367"/>
      <c r="H310" s="367"/>
      <c r="I310" s="367"/>
      <c r="J310" s="367"/>
      <c r="K310" s="367"/>
      <c r="L310" s="367"/>
      <c r="M310" s="367"/>
      <c r="N310" s="367"/>
      <c r="O310" s="367"/>
      <c r="P310" s="367"/>
      <c r="Q310" s="367"/>
      <c r="R310" s="367"/>
      <c r="S310" s="367"/>
      <c r="T310" s="367"/>
      <c r="U310" s="367"/>
      <c r="V310" s="367"/>
      <c r="W310" s="367"/>
      <c r="X310" s="367"/>
      <c r="Y310" s="367"/>
      <c r="Z310" s="367"/>
      <c r="AA310" s="367"/>
      <c r="AB310" s="367"/>
      <c r="AC310" s="367"/>
      <c r="AD310" s="367"/>
      <c r="AE310" s="367"/>
      <c r="AF310" s="367"/>
      <c r="AG310" s="367"/>
      <c r="AH310" s="367"/>
      <c r="AI310" s="367"/>
      <c r="AJ310" s="367"/>
      <c r="AK310" s="367"/>
      <c r="AL310" s="367"/>
      <c r="AM310" s="367"/>
      <c r="AN310" s="367"/>
      <c r="AO310" s="367"/>
      <c r="AP310" s="367"/>
      <c r="AQ310" s="367"/>
      <c r="AR310" s="367"/>
    </row>
    <row r="311" spans="2:44" x14ac:dyDescent="0.2">
      <c r="B311" s="233" t="s">
        <v>335</v>
      </c>
    </row>
    <row r="312" spans="2:44" x14ac:dyDescent="0.2">
      <c r="B312" s="234" t="s">
        <v>433</v>
      </c>
    </row>
    <row r="313" spans="2:44" ht="18.75" customHeight="1" x14ac:dyDescent="0.2"/>
    <row r="314" spans="2:44" ht="26" x14ac:dyDescent="0.2">
      <c r="B314" s="235" t="s">
        <v>465</v>
      </c>
    </row>
    <row r="315" spans="2:44" ht="26.25" customHeight="1" x14ac:dyDescent="0.2">
      <c r="B315" s="367" t="s">
        <v>466</v>
      </c>
      <c r="C315" s="367"/>
      <c r="D315" s="367"/>
      <c r="E315" s="367"/>
      <c r="F315" s="367"/>
      <c r="G315" s="367"/>
      <c r="H315" s="367"/>
      <c r="I315" s="367"/>
      <c r="J315" s="367"/>
      <c r="K315" s="367"/>
      <c r="L315" s="367"/>
      <c r="M315" s="367"/>
      <c r="N315" s="367"/>
      <c r="O315" s="367"/>
      <c r="P315" s="367"/>
      <c r="Q315" s="367"/>
      <c r="R315" s="367"/>
      <c r="S315" s="367"/>
      <c r="T315" s="367"/>
      <c r="U315" s="367"/>
      <c r="V315" s="367"/>
      <c r="W315" s="367"/>
      <c r="X315" s="367"/>
      <c r="Y315" s="367"/>
      <c r="Z315" s="367"/>
      <c r="AA315" s="367"/>
      <c r="AB315" s="367"/>
      <c r="AC315" s="367"/>
      <c r="AD315" s="367"/>
      <c r="AE315" s="367"/>
      <c r="AF315" s="367"/>
      <c r="AG315" s="367"/>
      <c r="AH315" s="367"/>
      <c r="AI315" s="367"/>
      <c r="AJ315" s="367"/>
      <c r="AK315" s="367"/>
      <c r="AL315" s="367"/>
      <c r="AM315" s="367"/>
      <c r="AN315" s="367"/>
      <c r="AO315" s="367"/>
      <c r="AP315" s="367"/>
      <c r="AQ315" s="367"/>
      <c r="AR315" s="367"/>
    </row>
    <row r="316" spans="2:44" ht="7.5" customHeight="1" x14ac:dyDescent="0.2">
      <c r="B316" s="242"/>
    </row>
    <row r="317" spans="2:44" ht="25.5" customHeight="1" x14ac:dyDescent="0.2">
      <c r="B317" s="367" t="s">
        <v>467</v>
      </c>
      <c r="C317" s="367"/>
      <c r="D317" s="367"/>
      <c r="E317" s="367"/>
      <c r="F317" s="367"/>
      <c r="G317" s="367"/>
      <c r="H317" s="367"/>
      <c r="I317" s="367"/>
      <c r="J317" s="367"/>
      <c r="K317" s="367"/>
      <c r="L317" s="367"/>
      <c r="M317" s="367"/>
      <c r="N317" s="367"/>
      <c r="O317" s="367"/>
      <c r="P317" s="367"/>
      <c r="Q317" s="367"/>
      <c r="R317" s="367"/>
      <c r="S317" s="367"/>
      <c r="T317" s="367"/>
      <c r="U317" s="367"/>
      <c r="V317" s="367"/>
      <c r="W317" s="367"/>
      <c r="X317" s="367"/>
      <c r="Y317" s="367"/>
      <c r="Z317" s="367"/>
      <c r="AA317" s="367"/>
      <c r="AB317" s="367"/>
      <c r="AC317" s="367"/>
      <c r="AD317" s="367"/>
      <c r="AE317" s="367"/>
      <c r="AF317" s="367"/>
      <c r="AG317" s="367"/>
      <c r="AH317" s="367"/>
      <c r="AI317" s="367"/>
      <c r="AJ317" s="367"/>
      <c r="AK317" s="367"/>
      <c r="AL317" s="367"/>
      <c r="AM317" s="367"/>
      <c r="AN317" s="367"/>
      <c r="AO317" s="367"/>
      <c r="AP317" s="367"/>
      <c r="AQ317" s="367"/>
      <c r="AR317" s="367"/>
    </row>
    <row r="318" spans="2:44" ht="7.5" customHeight="1" x14ac:dyDescent="0.2">
      <c r="B318" s="242"/>
    </row>
    <row r="319" spans="2:44" ht="26.25" customHeight="1" x14ac:dyDescent="0.2">
      <c r="B319" s="367" t="s">
        <v>468</v>
      </c>
      <c r="C319" s="367"/>
      <c r="D319" s="367"/>
      <c r="E319" s="367"/>
      <c r="F319" s="367"/>
      <c r="G319" s="367"/>
      <c r="H319" s="367"/>
      <c r="I319" s="367"/>
      <c r="J319" s="367"/>
      <c r="K319" s="367"/>
      <c r="L319" s="367"/>
      <c r="M319" s="367"/>
      <c r="N319" s="367"/>
      <c r="O319" s="367"/>
      <c r="P319" s="367"/>
      <c r="Q319" s="367"/>
      <c r="R319" s="367"/>
      <c r="S319" s="367"/>
      <c r="T319" s="367"/>
      <c r="U319" s="367"/>
      <c r="V319" s="367"/>
      <c r="W319" s="367"/>
      <c r="X319" s="367"/>
      <c r="Y319" s="367"/>
      <c r="Z319" s="367"/>
      <c r="AA319" s="367"/>
      <c r="AB319" s="367"/>
      <c r="AC319" s="367"/>
      <c r="AD319" s="367"/>
      <c r="AE319" s="367"/>
      <c r="AF319" s="367"/>
      <c r="AG319" s="367"/>
      <c r="AH319" s="367"/>
      <c r="AI319" s="367"/>
      <c r="AJ319" s="367"/>
      <c r="AK319" s="367"/>
      <c r="AL319" s="367"/>
      <c r="AM319" s="367"/>
      <c r="AN319" s="367"/>
      <c r="AO319" s="367"/>
      <c r="AP319" s="367"/>
      <c r="AQ319" s="367"/>
      <c r="AR319" s="367"/>
    </row>
    <row r="320" spans="2:44" ht="7.5" customHeight="1" x14ac:dyDescent="0.2">
      <c r="B320" s="242"/>
    </row>
    <row r="321" spans="2:44" ht="25.5" customHeight="1" x14ac:dyDescent="0.2">
      <c r="B321" s="367" t="s">
        <v>469</v>
      </c>
      <c r="C321" s="367"/>
      <c r="D321" s="367"/>
      <c r="E321" s="367"/>
      <c r="F321" s="367"/>
      <c r="G321" s="367"/>
      <c r="H321" s="367"/>
      <c r="I321" s="367"/>
      <c r="J321" s="367"/>
      <c r="K321" s="367"/>
      <c r="L321" s="367"/>
      <c r="M321" s="367"/>
      <c r="N321" s="367"/>
      <c r="O321" s="367"/>
      <c r="P321" s="367"/>
      <c r="Q321" s="367"/>
      <c r="R321" s="367"/>
      <c r="S321" s="367"/>
      <c r="T321" s="367"/>
      <c r="U321" s="367"/>
      <c r="V321" s="367"/>
      <c r="W321" s="367"/>
      <c r="X321" s="367"/>
      <c r="Y321" s="367"/>
      <c r="Z321" s="367"/>
      <c r="AA321" s="367"/>
      <c r="AB321" s="367"/>
      <c r="AC321" s="367"/>
      <c r="AD321" s="367"/>
      <c r="AE321" s="367"/>
      <c r="AF321" s="367"/>
      <c r="AG321" s="367"/>
      <c r="AH321" s="367"/>
      <c r="AI321" s="367"/>
      <c r="AJ321" s="367"/>
      <c r="AK321" s="367"/>
      <c r="AL321" s="367"/>
      <c r="AM321" s="367"/>
      <c r="AN321" s="367"/>
      <c r="AO321" s="367"/>
      <c r="AP321" s="367"/>
      <c r="AQ321" s="367"/>
      <c r="AR321" s="367"/>
    </row>
    <row r="322" spans="2:44" ht="11.25" customHeight="1" x14ac:dyDescent="0.2">
      <c r="B322" s="242"/>
    </row>
    <row r="323" spans="2:44" x14ac:dyDescent="0.2">
      <c r="B323" s="231" t="s">
        <v>592</v>
      </c>
      <c r="C323" s="70"/>
      <c r="D323" s="70"/>
      <c r="E323" s="70"/>
      <c r="F323" s="70"/>
      <c r="G323" s="70"/>
      <c r="H323" s="70"/>
      <c r="I323" s="70"/>
      <c r="J323" s="70"/>
      <c r="K323" s="70"/>
      <c r="L323" s="70"/>
      <c r="M323" s="70"/>
      <c r="N323" s="70"/>
      <c r="O323" s="70"/>
      <c r="P323" s="70"/>
      <c r="Q323" s="70"/>
      <c r="R323" s="70"/>
      <c r="S323" s="70"/>
      <c r="T323" s="70"/>
      <c r="U323" s="70"/>
      <c r="V323" s="70"/>
    </row>
    <row r="324" spans="2:44" ht="7.5" customHeight="1" x14ac:dyDescent="0.2">
      <c r="B324" s="242"/>
    </row>
    <row r="325" spans="2:44" x14ac:dyDescent="0.2">
      <c r="B325" s="230" t="s">
        <v>593</v>
      </c>
    </row>
    <row r="326" spans="2:44" x14ac:dyDescent="0.2">
      <c r="B326" s="233" t="s">
        <v>335</v>
      </c>
    </row>
    <row r="327" spans="2:44" x14ac:dyDescent="0.2">
      <c r="B327" s="234" t="s">
        <v>588</v>
      </c>
    </row>
    <row r="328" spans="2:44" ht="11.25" customHeight="1" x14ac:dyDescent="0.2">
      <c r="B328" s="242"/>
    </row>
    <row r="329" spans="2:44" x14ac:dyDescent="0.2">
      <c r="B329" s="231" t="s">
        <v>572</v>
      </c>
      <c r="C329" s="70"/>
      <c r="D329" s="70"/>
    </row>
    <row r="330" spans="2:44" ht="7.5" customHeight="1" x14ac:dyDescent="0.2">
      <c r="B330" s="242"/>
    </row>
    <row r="331" spans="2:44" x14ac:dyDescent="0.2">
      <c r="B331" s="230" t="s">
        <v>352</v>
      </c>
    </row>
    <row r="332" spans="2:44" x14ac:dyDescent="0.2">
      <c r="B332" s="233" t="s">
        <v>335</v>
      </c>
    </row>
    <row r="333" spans="2:44" x14ac:dyDescent="0.2">
      <c r="B333" s="234" t="s">
        <v>350</v>
      </c>
    </row>
    <row r="334" spans="2:44" ht="11.25" customHeight="1" x14ac:dyDescent="0.2">
      <c r="B334" s="242"/>
    </row>
    <row r="335" spans="2:44" x14ac:dyDescent="0.2">
      <c r="B335" s="231" t="s">
        <v>443</v>
      </c>
    </row>
    <row r="336" spans="2:44" ht="7.5" customHeight="1" x14ac:dyDescent="0.2">
      <c r="B336" s="242"/>
    </row>
    <row r="337" spans="2:44" x14ac:dyDescent="0.2">
      <c r="B337" s="230" t="s">
        <v>349</v>
      </c>
    </row>
    <row r="338" spans="2:44" x14ac:dyDescent="0.2">
      <c r="B338" s="233" t="s">
        <v>335</v>
      </c>
    </row>
    <row r="339" spans="2:44" x14ac:dyDescent="0.2">
      <c r="B339" s="234" t="s">
        <v>350</v>
      </c>
    </row>
    <row r="340" spans="2:44" ht="11.25" customHeight="1" x14ac:dyDescent="0.2">
      <c r="B340" s="242"/>
    </row>
    <row r="341" spans="2:44" x14ac:dyDescent="0.2">
      <c r="B341" s="231" t="s">
        <v>444</v>
      </c>
      <c r="C341" s="70"/>
      <c r="D341" s="70"/>
      <c r="E341" s="70"/>
      <c r="F341" s="70"/>
      <c r="G341" s="70"/>
    </row>
    <row r="342" spans="2:44" ht="7.5" customHeight="1" x14ac:dyDescent="0.2">
      <c r="B342" s="242"/>
    </row>
    <row r="343" spans="2:44" x14ac:dyDescent="0.2">
      <c r="B343" s="230" t="s">
        <v>445</v>
      </c>
    </row>
    <row r="344" spans="2:44" x14ac:dyDescent="0.2">
      <c r="B344" s="233" t="s">
        <v>335</v>
      </c>
    </row>
    <row r="345" spans="2:44" x14ac:dyDescent="0.2">
      <c r="B345" s="234" t="s">
        <v>446</v>
      </c>
    </row>
    <row r="346" spans="2:44" x14ac:dyDescent="0.2">
      <c r="B346" s="229"/>
    </row>
    <row r="347" spans="2:44" ht="17" x14ac:dyDescent="0.2">
      <c r="B347" s="236" t="s">
        <v>447</v>
      </c>
    </row>
    <row r="348" spans="2:44" ht="25.5" customHeight="1" x14ac:dyDescent="0.2">
      <c r="B348" s="367" t="s">
        <v>470</v>
      </c>
      <c r="C348" s="367"/>
      <c r="D348" s="367"/>
      <c r="E348" s="367"/>
      <c r="F348" s="367"/>
      <c r="G348" s="367"/>
      <c r="H348" s="367"/>
      <c r="I348" s="367"/>
      <c r="J348" s="367"/>
      <c r="K348" s="367"/>
      <c r="L348" s="367"/>
      <c r="M348" s="367"/>
      <c r="N348" s="367"/>
      <c r="O348" s="367"/>
      <c r="P348" s="367"/>
      <c r="Q348" s="367"/>
      <c r="R348" s="367"/>
      <c r="S348" s="367"/>
      <c r="T348" s="367"/>
      <c r="U348" s="367"/>
      <c r="V348" s="367"/>
      <c r="W348" s="367"/>
      <c r="X348" s="367"/>
      <c r="Y348" s="367"/>
      <c r="Z348" s="367"/>
      <c r="AA348" s="367"/>
      <c r="AB348" s="367"/>
      <c r="AC348" s="367"/>
      <c r="AD348" s="367"/>
      <c r="AE348" s="367"/>
      <c r="AF348" s="367"/>
      <c r="AG348" s="367"/>
      <c r="AH348" s="367"/>
      <c r="AI348" s="367"/>
      <c r="AJ348" s="367"/>
      <c r="AK348" s="367"/>
      <c r="AL348" s="367"/>
      <c r="AM348" s="367"/>
      <c r="AN348" s="367"/>
      <c r="AO348" s="367"/>
      <c r="AP348" s="367"/>
      <c r="AQ348" s="367"/>
      <c r="AR348" s="367"/>
    </row>
    <row r="349" spans="2:44" ht="7.5" customHeight="1" x14ac:dyDescent="0.2">
      <c r="B349" s="242"/>
    </row>
    <row r="350" spans="2:44" x14ac:dyDescent="0.2">
      <c r="B350" s="230" t="s">
        <v>449</v>
      </c>
    </row>
    <row r="351" spans="2:44" ht="11.25" customHeight="1" x14ac:dyDescent="0.2">
      <c r="B351" s="242"/>
    </row>
    <row r="352" spans="2:44" x14ac:dyDescent="0.2">
      <c r="B352" s="231" t="s">
        <v>573</v>
      </c>
      <c r="C352" s="70"/>
      <c r="D352" s="70"/>
      <c r="E352" s="70"/>
      <c r="F352" s="70"/>
      <c r="G352" s="70"/>
      <c r="H352" s="70"/>
      <c r="I352" s="70"/>
      <c r="J352" s="70"/>
      <c r="K352" s="70"/>
      <c r="L352" s="70"/>
      <c r="M352" s="70"/>
      <c r="N352" s="70"/>
      <c r="O352" s="70"/>
      <c r="P352" s="70"/>
      <c r="Q352" s="70"/>
      <c r="R352" s="70"/>
      <c r="S352" s="70"/>
      <c r="T352" s="70"/>
      <c r="U352" s="70"/>
      <c r="V352" s="70"/>
      <c r="W352" s="70"/>
      <c r="X352" s="70"/>
      <c r="Y352" s="70"/>
      <c r="Z352" s="70"/>
      <c r="AA352" s="70"/>
      <c r="AB352" s="70"/>
      <c r="AC352" s="70"/>
      <c r="AD352" s="70"/>
      <c r="AE352" s="70"/>
      <c r="AF352" s="70"/>
      <c r="AG352" s="70"/>
      <c r="AH352" s="70"/>
      <c r="AI352" s="70"/>
    </row>
    <row r="353" spans="2:44" ht="7.5" customHeight="1" x14ac:dyDescent="0.2">
      <c r="B353" s="242"/>
    </row>
    <row r="354" spans="2:44" x14ac:dyDescent="0.2">
      <c r="B354" s="230" t="s">
        <v>471</v>
      </c>
    </row>
    <row r="355" spans="2:44" x14ac:dyDescent="0.2">
      <c r="B355" s="233" t="s">
        <v>335</v>
      </c>
    </row>
    <row r="356" spans="2:44" ht="28.5" customHeight="1" x14ac:dyDescent="0.2">
      <c r="B356" s="368" t="s">
        <v>452</v>
      </c>
      <c r="C356" s="368"/>
      <c r="D356" s="368"/>
      <c r="E356" s="368"/>
      <c r="F356" s="368"/>
      <c r="G356" s="368"/>
      <c r="H356" s="368"/>
      <c r="I356" s="368"/>
      <c r="J356" s="368"/>
      <c r="K356" s="368"/>
      <c r="L356" s="368"/>
      <c r="M356" s="368"/>
      <c r="N356" s="368"/>
      <c r="O356" s="368"/>
      <c r="P356" s="368"/>
      <c r="Q356" s="368"/>
      <c r="R356" s="368"/>
      <c r="S356" s="368"/>
      <c r="T356" s="368"/>
      <c r="U356" s="368"/>
      <c r="V356" s="368"/>
      <c r="W356" s="368"/>
      <c r="X356" s="368"/>
      <c r="Y356" s="368"/>
      <c r="Z356" s="368"/>
      <c r="AA356" s="368"/>
      <c r="AB356" s="368"/>
      <c r="AC356" s="368"/>
      <c r="AD356" s="368"/>
      <c r="AE356" s="368"/>
      <c r="AF356" s="368"/>
      <c r="AG356" s="368"/>
      <c r="AH356" s="368"/>
      <c r="AI356" s="368"/>
      <c r="AJ356" s="368"/>
      <c r="AK356" s="368"/>
      <c r="AL356" s="368"/>
      <c r="AM356" s="368"/>
      <c r="AN356" s="368"/>
      <c r="AO356" s="368"/>
      <c r="AP356" s="368"/>
      <c r="AQ356" s="368"/>
      <c r="AR356" s="368"/>
    </row>
    <row r="357" spans="2:44" x14ac:dyDescent="0.2">
      <c r="B357" s="248"/>
    </row>
    <row r="358" spans="2:44" ht="17" x14ac:dyDescent="0.2">
      <c r="B358" s="375" t="s">
        <v>453</v>
      </c>
      <c r="C358" s="375"/>
      <c r="D358" s="375"/>
      <c r="E358" s="375"/>
      <c r="F358" s="375"/>
      <c r="G358" s="375"/>
      <c r="H358" s="375"/>
      <c r="I358" s="375"/>
      <c r="J358" s="375"/>
      <c r="K358" s="375"/>
      <c r="L358" s="375"/>
      <c r="M358" s="375"/>
      <c r="N358" s="375"/>
      <c r="O358" s="375"/>
      <c r="P358" s="375"/>
      <c r="Q358" s="375"/>
      <c r="R358" s="375"/>
      <c r="S358" s="375"/>
      <c r="T358" s="375"/>
      <c r="U358" s="375"/>
      <c r="V358" s="375"/>
      <c r="W358" s="375"/>
      <c r="X358" s="375"/>
      <c r="Y358" s="375"/>
      <c r="Z358" s="375"/>
      <c r="AA358" s="375"/>
      <c r="AB358" s="375"/>
      <c r="AC358" s="375"/>
      <c r="AD358" s="375"/>
      <c r="AE358" s="375"/>
      <c r="AF358" s="375"/>
      <c r="AG358" s="375"/>
      <c r="AH358" s="375"/>
      <c r="AI358" s="375"/>
      <c r="AJ358" s="375"/>
      <c r="AK358" s="375"/>
      <c r="AL358" s="375"/>
      <c r="AM358" s="375"/>
      <c r="AN358" s="375"/>
      <c r="AO358" s="375"/>
      <c r="AP358" s="375"/>
      <c r="AQ358" s="375"/>
      <c r="AR358" s="375"/>
    </row>
    <row r="359" spans="2:44" ht="11.25" customHeight="1" x14ac:dyDescent="0.2">
      <c r="B359" s="242"/>
    </row>
    <row r="360" spans="2:44" x14ac:dyDescent="0.2">
      <c r="B360" s="231" t="s">
        <v>472</v>
      </c>
      <c r="C360" s="70"/>
      <c r="D360" s="70"/>
      <c r="E360" s="70"/>
      <c r="F360" s="70"/>
      <c r="G360" s="70"/>
      <c r="H360" s="70"/>
      <c r="I360" s="70"/>
      <c r="J360" s="70"/>
      <c r="K360" s="70"/>
      <c r="L360" s="70"/>
    </row>
    <row r="361" spans="2:44" ht="7.5" customHeight="1" x14ac:dyDescent="0.2">
      <c r="B361" s="242"/>
    </row>
    <row r="362" spans="2:44" ht="27.75" customHeight="1" x14ac:dyDescent="0.2">
      <c r="B362" s="367" t="s">
        <v>455</v>
      </c>
      <c r="C362" s="367"/>
      <c r="D362" s="367"/>
      <c r="E362" s="367"/>
      <c r="F362" s="367"/>
      <c r="G362" s="367"/>
      <c r="H362" s="367"/>
      <c r="I362" s="367"/>
      <c r="J362" s="367"/>
      <c r="K362" s="367"/>
      <c r="L362" s="367"/>
      <c r="M362" s="367"/>
      <c r="N362" s="367"/>
      <c r="O362" s="367"/>
      <c r="P362" s="367"/>
      <c r="Q362" s="367"/>
      <c r="R362" s="367"/>
      <c r="S362" s="367"/>
      <c r="T362" s="367"/>
      <c r="U362" s="367"/>
      <c r="V362" s="367"/>
      <c r="W362" s="367"/>
      <c r="X362" s="367"/>
      <c r="Y362" s="367"/>
      <c r="Z362" s="367"/>
      <c r="AA362" s="367"/>
      <c r="AB362" s="367"/>
      <c r="AC362" s="367"/>
      <c r="AD362" s="367"/>
      <c r="AE362" s="367"/>
      <c r="AF362" s="367"/>
      <c r="AG362" s="367"/>
      <c r="AH362" s="367"/>
      <c r="AI362" s="367"/>
      <c r="AJ362" s="367"/>
      <c r="AK362" s="367"/>
      <c r="AL362" s="367"/>
      <c r="AM362" s="367"/>
      <c r="AN362" s="367"/>
      <c r="AO362" s="367"/>
      <c r="AP362" s="367"/>
      <c r="AQ362" s="367"/>
      <c r="AR362" s="367"/>
    </row>
    <row r="363" spans="2:44" x14ac:dyDescent="0.2">
      <c r="B363" s="233" t="s">
        <v>335</v>
      </c>
    </row>
    <row r="364" spans="2:44" x14ac:dyDescent="0.2">
      <c r="B364" s="234" t="s">
        <v>473</v>
      </c>
    </row>
    <row r="365" spans="2:44" ht="18.75" customHeight="1" x14ac:dyDescent="0.2">
      <c r="B365" s="35"/>
    </row>
    <row r="366" spans="2:44" ht="26" x14ac:dyDescent="0.2">
      <c r="B366" s="235" t="s">
        <v>474</v>
      </c>
    </row>
    <row r="367" spans="2:44" x14ac:dyDescent="0.2">
      <c r="B367" s="230" t="s">
        <v>475</v>
      </c>
    </row>
    <row r="368" spans="2:44" ht="18.75" customHeight="1" x14ac:dyDescent="0.2">
      <c r="B368" s="242"/>
    </row>
    <row r="369" spans="2:44" ht="26" x14ac:dyDescent="0.2">
      <c r="B369" s="235" t="s">
        <v>430</v>
      </c>
    </row>
    <row r="370" spans="2:44" ht="25.5" customHeight="1" x14ac:dyDescent="0.2">
      <c r="B370" s="367" t="s">
        <v>431</v>
      </c>
      <c r="C370" s="367"/>
      <c r="D370" s="367"/>
      <c r="E370" s="367"/>
      <c r="F370" s="367"/>
      <c r="G370" s="367"/>
      <c r="H370" s="367"/>
      <c r="I370" s="367"/>
      <c r="J370" s="367"/>
      <c r="K370" s="367"/>
      <c r="L370" s="367"/>
      <c r="M370" s="367"/>
      <c r="N370" s="367"/>
      <c r="O370" s="367"/>
      <c r="P370" s="367"/>
      <c r="Q370" s="367"/>
      <c r="R370" s="367"/>
      <c r="S370" s="367"/>
      <c r="T370" s="367"/>
      <c r="U370" s="367"/>
      <c r="V370" s="367"/>
      <c r="W370" s="367"/>
      <c r="X370" s="367"/>
      <c r="Y370" s="367"/>
      <c r="Z370" s="367"/>
      <c r="AA370" s="367"/>
      <c r="AB370" s="367"/>
      <c r="AC370" s="367"/>
      <c r="AD370" s="367"/>
      <c r="AE370" s="367"/>
      <c r="AF370" s="367"/>
      <c r="AG370" s="367"/>
      <c r="AH370" s="367"/>
      <c r="AI370" s="367"/>
      <c r="AJ370" s="367"/>
      <c r="AK370" s="367"/>
      <c r="AL370" s="367"/>
      <c r="AM370" s="367"/>
      <c r="AN370" s="367"/>
      <c r="AO370" s="367"/>
      <c r="AP370" s="367"/>
      <c r="AQ370" s="367"/>
      <c r="AR370" s="367"/>
    </row>
    <row r="371" spans="2:44" ht="7.5" customHeight="1" x14ac:dyDescent="0.2">
      <c r="B371" s="242"/>
    </row>
    <row r="372" spans="2:44" ht="26.25" customHeight="1" x14ac:dyDescent="0.2">
      <c r="B372" s="367" t="s">
        <v>432</v>
      </c>
      <c r="C372" s="367"/>
      <c r="D372" s="367"/>
      <c r="E372" s="367"/>
      <c r="F372" s="367"/>
      <c r="G372" s="367"/>
      <c r="H372" s="367"/>
      <c r="I372" s="367"/>
      <c r="J372" s="367"/>
      <c r="K372" s="367"/>
      <c r="L372" s="367"/>
      <c r="M372" s="367"/>
      <c r="N372" s="367"/>
      <c r="O372" s="367"/>
      <c r="P372" s="367"/>
      <c r="Q372" s="367"/>
      <c r="R372" s="367"/>
      <c r="S372" s="367"/>
      <c r="T372" s="367"/>
      <c r="U372" s="367"/>
      <c r="V372" s="367"/>
      <c r="W372" s="367"/>
      <c r="X372" s="367"/>
      <c r="Y372" s="367"/>
      <c r="Z372" s="367"/>
      <c r="AA372" s="367"/>
      <c r="AB372" s="367"/>
      <c r="AC372" s="367"/>
      <c r="AD372" s="367"/>
      <c r="AE372" s="367"/>
      <c r="AF372" s="367"/>
      <c r="AG372" s="367"/>
      <c r="AH372" s="367"/>
      <c r="AI372" s="367"/>
      <c r="AJ372" s="367"/>
      <c r="AK372" s="367"/>
      <c r="AL372" s="367"/>
      <c r="AM372" s="367"/>
      <c r="AN372" s="367"/>
      <c r="AO372" s="367"/>
      <c r="AP372" s="367"/>
      <c r="AQ372" s="367"/>
      <c r="AR372" s="367"/>
    </row>
    <row r="373" spans="2:44" x14ac:dyDescent="0.2">
      <c r="B373" s="233" t="s">
        <v>335</v>
      </c>
    </row>
    <row r="374" spans="2:44" x14ac:dyDescent="0.2">
      <c r="B374" s="234" t="s">
        <v>433</v>
      </c>
    </row>
    <row r="375" spans="2:44" ht="18.75" customHeight="1" x14ac:dyDescent="0.2"/>
    <row r="376" spans="2:44" ht="26" x14ac:dyDescent="0.2">
      <c r="B376" s="235" t="s">
        <v>476</v>
      </c>
    </row>
    <row r="377" spans="2:44" ht="26.25" customHeight="1" x14ac:dyDescent="0.2">
      <c r="B377" s="367" t="s">
        <v>477</v>
      </c>
      <c r="C377" s="367"/>
      <c r="D377" s="367"/>
      <c r="E377" s="367"/>
      <c r="F377" s="367"/>
      <c r="G377" s="367"/>
      <c r="H377" s="367"/>
      <c r="I377" s="367"/>
      <c r="J377" s="367"/>
      <c r="K377" s="367"/>
      <c r="L377" s="367"/>
      <c r="M377" s="367"/>
      <c r="N377" s="367"/>
      <c r="O377" s="367"/>
      <c r="P377" s="367"/>
      <c r="Q377" s="367"/>
      <c r="R377" s="367"/>
      <c r="S377" s="367"/>
      <c r="T377" s="367"/>
      <c r="U377" s="367"/>
      <c r="V377" s="367"/>
      <c r="W377" s="367"/>
      <c r="X377" s="367"/>
      <c r="Y377" s="367"/>
      <c r="Z377" s="367"/>
      <c r="AA377" s="367"/>
      <c r="AB377" s="367"/>
      <c r="AC377" s="367"/>
      <c r="AD377" s="367"/>
      <c r="AE377" s="367"/>
      <c r="AF377" s="367"/>
      <c r="AG377" s="367"/>
      <c r="AH377" s="367"/>
      <c r="AI377" s="367"/>
      <c r="AJ377" s="367"/>
      <c r="AK377" s="367"/>
      <c r="AL377" s="367"/>
      <c r="AM377" s="367"/>
      <c r="AN377" s="367"/>
      <c r="AO377" s="367"/>
      <c r="AP377" s="367"/>
      <c r="AQ377" s="367"/>
      <c r="AR377" s="367"/>
    </row>
    <row r="378" spans="2:44" ht="7.5" customHeight="1" x14ac:dyDescent="0.2">
      <c r="B378" s="242"/>
    </row>
    <row r="379" spans="2:44" ht="25.5" customHeight="1" x14ac:dyDescent="0.2">
      <c r="B379" s="367" t="s">
        <v>478</v>
      </c>
      <c r="C379" s="367"/>
      <c r="D379" s="367"/>
      <c r="E379" s="367"/>
      <c r="F379" s="367"/>
      <c r="G379" s="367"/>
      <c r="H379" s="367"/>
      <c r="I379" s="367"/>
      <c r="J379" s="367"/>
      <c r="K379" s="367"/>
      <c r="L379" s="367"/>
      <c r="M379" s="367"/>
      <c r="N379" s="367"/>
      <c r="O379" s="367"/>
      <c r="P379" s="367"/>
      <c r="Q379" s="367"/>
      <c r="R379" s="367"/>
      <c r="S379" s="367"/>
      <c r="T379" s="367"/>
      <c r="U379" s="367"/>
      <c r="V379" s="367"/>
      <c r="W379" s="367"/>
      <c r="X379" s="367"/>
      <c r="Y379" s="367"/>
      <c r="Z379" s="367"/>
      <c r="AA379" s="367"/>
      <c r="AB379" s="367"/>
      <c r="AC379" s="367"/>
      <c r="AD379" s="367"/>
      <c r="AE379" s="367"/>
      <c r="AF379" s="367"/>
      <c r="AG379" s="367"/>
      <c r="AH379" s="367"/>
      <c r="AI379" s="367"/>
      <c r="AJ379" s="367"/>
      <c r="AK379" s="367"/>
      <c r="AL379" s="367"/>
      <c r="AM379" s="367"/>
      <c r="AN379" s="367"/>
      <c r="AO379" s="367"/>
      <c r="AP379" s="367"/>
      <c r="AQ379" s="367"/>
      <c r="AR379" s="367"/>
    </row>
    <row r="380" spans="2:44" ht="7.5" customHeight="1" x14ac:dyDescent="0.2">
      <c r="B380" s="242"/>
    </row>
    <row r="381" spans="2:44" ht="25.5" customHeight="1" x14ac:dyDescent="0.2">
      <c r="B381" s="367" t="s">
        <v>479</v>
      </c>
      <c r="C381" s="367"/>
      <c r="D381" s="367"/>
      <c r="E381" s="367"/>
      <c r="F381" s="367"/>
      <c r="G381" s="367"/>
      <c r="H381" s="367"/>
      <c r="I381" s="367"/>
      <c r="J381" s="367"/>
      <c r="K381" s="367"/>
      <c r="L381" s="367"/>
      <c r="M381" s="367"/>
      <c r="N381" s="367"/>
      <c r="O381" s="367"/>
      <c r="P381" s="367"/>
      <c r="Q381" s="367"/>
      <c r="R381" s="367"/>
      <c r="S381" s="367"/>
      <c r="T381" s="367"/>
      <c r="U381" s="367"/>
      <c r="V381" s="367"/>
      <c r="W381" s="367"/>
      <c r="X381" s="367"/>
      <c r="Y381" s="367"/>
      <c r="Z381" s="367"/>
      <c r="AA381" s="367"/>
      <c r="AB381" s="367"/>
      <c r="AC381" s="367"/>
      <c r="AD381" s="367"/>
      <c r="AE381" s="367"/>
      <c r="AF381" s="367"/>
      <c r="AG381" s="367"/>
      <c r="AH381" s="367"/>
      <c r="AI381" s="367"/>
      <c r="AJ381" s="367"/>
      <c r="AK381" s="367"/>
      <c r="AL381" s="367"/>
      <c r="AM381" s="367"/>
      <c r="AN381" s="367"/>
      <c r="AO381" s="367"/>
      <c r="AP381" s="367"/>
      <c r="AQ381" s="367"/>
      <c r="AR381" s="367"/>
    </row>
    <row r="382" spans="2:44" ht="7.5" customHeight="1" x14ac:dyDescent="0.2">
      <c r="B382" s="242"/>
    </row>
    <row r="383" spans="2:44" ht="24.75" customHeight="1" x14ac:dyDescent="0.2">
      <c r="B383" s="367" t="s">
        <v>480</v>
      </c>
      <c r="C383" s="367"/>
      <c r="D383" s="367"/>
      <c r="E383" s="367"/>
      <c r="F383" s="367"/>
      <c r="G383" s="367"/>
      <c r="H383" s="367"/>
      <c r="I383" s="367"/>
      <c r="J383" s="367"/>
      <c r="K383" s="367"/>
      <c r="L383" s="367"/>
      <c r="M383" s="367"/>
      <c r="N383" s="367"/>
      <c r="O383" s="367"/>
      <c r="P383" s="367"/>
      <c r="Q383" s="367"/>
      <c r="R383" s="367"/>
      <c r="S383" s="367"/>
      <c r="T383" s="367"/>
      <c r="U383" s="367"/>
      <c r="V383" s="367"/>
      <c r="W383" s="367"/>
      <c r="X383" s="367"/>
      <c r="Y383" s="367"/>
      <c r="Z383" s="367"/>
      <c r="AA383" s="367"/>
      <c r="AB383" s="367"/>
      <c r="AC383" s="367"/>
      <c r="AD383" s="367"/>
      <c r="AE383" s="367"/>
      <c r="AF383" s="367"/>
      <c r="AG383" s="367"/>
      <c r="AH383" s="367"/>
      <c r="AI383" s="367"/>
      <c r="AJ383" s="367"/>
      <c r="AK383" s="367"/>
      <c r="AL383" s="367"/>
      <c r="AM383" s="367"/>
      <c r="AN383" s="367"/>
      <c r="AO383" s="367"/>
      <c r="AP383" s="367"/>
      <c r="AQ383" s="367"/>
      <c r="AR383" s="367"/>
    </row>
    <row r="384" spans="2:44" ht="7.5" customHeight="1" x14ac:dyDescent="0.2">
      <c r="B384" s="242"/>
    </row>
    <row r="385" spans="2:44" ht="25.5" customHeight="1" x14ac:dyDescent="0.2">
      <c r="B385" s="367" t="s">
        <v>481</v>
      </c>
      <c r="C385" s="367"/>
      <c r="D385" s="367"/>
      <c r="E385" s="367"/>
      <c r="F385" s="367"/>
      <c r="G385" s="367"/>
      <c r="H385" s="367"/>
      <c r="I385" s="367"/>
      <c r="J385" s="367"/>
      <c r="K385" s="367"/>
      <c r="L385" s="367"/>
      <c r="M385" s="367"/>
      <c r="N385" s="367"/>
      <c r="O385" s="367"/>
      <c r="P385" s="367"/>
      <c r="Q385" s="367"/>
      <c r="R385" s="367"/>
      <c r="S385" s="367"/>
      <c r="T385" s="367"/>
      <c r="U385" s="367"/>
      <c r="V385" s="367"/>
      <c r="W385" s="367"/>
      <c r="X385" s="367"/>
      <c r="Y385" s="367"/>
      <c r="Z385" s="367"/>
      <c r="AA385" s="367"/>
      <c r="AB385" s="367"/>
      <c r="AC385" s="367"/>
      <c r="AD385" s="367"/>
      <c r="AE385" s="367"/>
      <c r="AF385" s="367"/>
      <c r="AG385" s="367"/>
      <c r="AH385" s="367"/>
      <c r="AI385" s="367"/>
      <c r="AJ385" s="367"/>
      <c r="AK385" s="367"/>
      <c r="AL385" s="367"/>
      <c r="AM385" s="367"/>
      <c r="AN385" s="367"/>
      <c r="AO385" s="367"/>
      <c r="AP385" s="367"/>
      <c r="AQ385" s="367"/>
      <c r="AR385" s="367"/>
    </row>
    <row r="386" spans="2:44" ht="11.25" customHeight="1" x14ac:dyDescent="0.2">
      <c r="B386" s="242"/>
    </row>
    <row r="387" spans="2:44" x14ac:dyDescent="0.2">
      <c r="B387" s="231" t="s">
        <v>482</v>
      </c>
      <c r="C387" s="70"/>
      <c r="D387" s="70"/>
      <c r="E387" s="70"/>
      <c r="F387" s="70"/>
    </row>
    <row r="388" spans="2:44" ht="7.5" customHeight="1" x14ac:dyDescent="0.2">
      <c r="B388" s="242"/>
    </row>
    <row r="389" spans="2:44" ht="26.25" customHeight="1" x14ac:dyDescent="0.2">
      <c r="B389" s="367" t="s">
        <v>483</v>
      </c>
      <c r="C389" s="367"/>
      <c r="D389" s="367"/>
      <c r="E389" s="367"/>
      <c r="F389" s="367"/>
      <c r="G389" s="367"/>
      <c r="H389" s="367"/>
      <c r="I389" s="367"/>
      <c r="J389" s="367"/>
      <c r="K389" s="367"/>
      <c r="L389" s="367"/>
      <c r="M389" s="367"/>
      <c r="N389" s="367"/>
      <c r="O389" s="367"/>
      <c r="P389" s="367"/>
      <c r="Q389" s="367"/>
      <c r="R389" s="367"/>
      <c r="S389" s="367"/>
      <c r="T389" s="367"/>
      <c r="U389" s="367"/>
      <c r="V389" s="367"/>
      <c r="W389" s="367"/>
      <c r="X389" s="367"/>
      <c r="Y389" s="367"/>
      <c r="Z389" s="367"/>
      <c r="AA389" s="367"/>
      <c r="AB389" s="367"/>
      <c r="AC389" s="367"/>
      <c r="AD389" s="367"/>
      <c r="AE389" s="367"/>
      <c r="AF389" s="367"/>
      <c r="AG389" s="367"/>
      <c r="AH389" s="367"/>
      <c r="AI389" s="367"/>
      <c r="AJ389" s="367"/>
      <c r="AK389" s="367"/>
      <c r="AL389" s="367"/>
      <c r="AM389" s="367"/>
      <c r="AN389" s="367"/>
      <c r="AO389" s="367"/>
      <c r="AP389" s="367"/>
      <c r="AQ389" s="367"/>
      <c r="AR389" s="367"/>
    </row>
    <row r="390" spans="2:44" x14ac:dyDescent="0.2">
      <c r="B390" s="233" t="s">
        <v>335</v>
      </c>
    </row>
    <row r="391" spans="2:44" x14ac:dyDescent="0.2">
      <c r="B391" s="234" t="s">
        <v>484</v>
      </c>
    </row>
    <row r="392" spans="2:44" ht="11.25" customHeight="1" x14ac:dyDescent="0.2">
      <c r="B392" s="242"/>
    </row>
    <row r="393" spans="2:44" x14ac:dyDescent="0.2">
      <c r="B393" s="231" t="s">
        <v>485</v>
      </c>
    </row>
    <row r="394" spans="2:44" ht="7.5" customHeight="1" x14ac:dyDescent="0.2">
      <c r="B394" s="242"/>
    </row>
    <row r="395" spans="2:44" x14ac:dyDescent="0.2">
      <c r="B395" s="230" t="s">
        <v>486</v>
      </c>
    </row>
    <row r="396" spans="2:44" x14ac:dyDescent="0.2">
      <c r="B396" s="233" t="s">
        <v>335</v>
      </c>
    </row>
    <row r="397" spans="2:44" x14ac:dyDescent="0.2">
      <c r="B397" s="234" t="s">
        <v>487</v>
      </c>
    </row>
    <row r="398" spans="2:44" ht="11.25" customHeight="1" x14ac:dyDescent="0.2">
      <c r="B398" s="242"/>
    </row>
    <row r="399" spans="2:44" x14ac:dyDescent="0.2">
      <c r="B399" s="231" t="s">
        <v>488</v>
      </c>
      <c r="C399" s="70"/>
      <c r="D399" s="70"/>
      <c r="E399" s="70"/>
      <c r="F399" s="70"/>
      <c r="G399" s="70"/>
      <c r="H399" s="70"/>
      <c r="I399" s="70"/>
      <c r="J399" s="70"/>
      <c r="K399" s="70"/>
      <c r="L399" s="70"/>
      <c r="M399" s="70"/>
    </row>
    <row r="400" spans="2:44" ht="7.5" customHeight="1" x14ac:dyDescent="0.2">
      <c r="B400" s="242"/>
    </row>
    <row r="401" spans="2:44" ht="28.5" customHeight="1" x14ac:dyDescent="0.2">
      <c r="B401" s="367" t="s">
        <v>489</v>
      </c>
      <c r="C401" s="367"/>
      <c r="D401" s="367"/>
      <c r="E401" s="367"/>
      <c r="F401" s="367"/>
      <c r="G401" s="367"/>
      <c r="H401" s="367"/>
      <c r="I401" s="367"/>
      <c r="J401" s="367"/>
      <c r="K401" s="367"/>
      <c r="L401" s="367"/>
      <c r="M401" s="367"/>
      <c r="N401" s="367"/>
      <c r="O401" s="367"/>
      <c r="P401" s="367"/>
      <c r="Q401" s="367"/>
      <c r="R401" s="367"/>
      <c r="S401" s="367"/>
      <c r="T401" s="367"/>
      <c r="U401" s="367"/>
      <c r="V401" s="367"/>
      <c r="W401" s="367"/>
      <c r="X401" s="367"/>
      <c r="Y401" s="367"/>
      <c r="Z401" s="367"/>
      <c r="AA401" s="367"/>
      <c r="AB401" s="367"/>
      <c r="AC401" s="367"/>
      <c r="AD401" s="367"/>
      <c r="AE401" s="367"/>
      <c r="AF401" s="367"/>
      <c r="AG401" s="367"/>
      <c r="AH401" s="367"/>
      <c r="AI401" s="367"/>
      <c r="AJ401" s="367"/>
      <c r="AK401" s="367"/>
      <c r="AL401" s="367"/>
      <c r="AM401" s="367"/>
      <c r="AN401" s="367"/>
      <c r="AO401" s="367"/>
      <c r="AP401" s="367"/>
      <c r="AQ401" s="367"/>
      <c r="AR401" s="367"/>
    </row>
    <row r="402" spans="2:44" x14ac:dyDescent="0.2">
      <c r="B402" s="233" t="s">
        <v>335</v>
      </c>
    </row>
    <row r="403" spans="2:44" x14ac:dyDescent="0.2">
      <c r="B403" s="234" t="s">
        <v>490</v>
      </c>
    </row>
    <row r="404" spans="2:44" ht="11.25" customHeight="1" x14ac:dyDescent="0.2">
      <c r="B404" s="242"/>
    </row>
    <row r="405" spans="2:44" x14ac:dyDescent="0.2">
      <c r="B405" s="231" t="s">
        <v>491</v>
      </c>
      <c r="C405" s="70"/>
      <c r="D405" s="70"/>
      <c r="E405" s="70"/>
    </row>
    <row r="406" spans="2:44" ht="7.5" customHeight="1" x14ac:dyDescent="0.2">
      <c r="B406" s="242"/>
    </row>
    <row r="407" spans="2:44" x14ac:dyDescent="0.2">
      <c r="B407" s="230" t="s">
        <v>492</v>
      </c>
    </row>
    <row r="408" spans="2:44" x14ac:dyDescent="0.2">
      <c r="B408" s="233" t="s">
        <v>335</v>
      </c>
    </row>
    <row r="409" spans="2:44" x14ac:dyDescent="0.2">
      <c r="B409" s="234" t="s">
        <v>588</v>
      </c>
    </row>
    <row r="410" spans="2:44" ht="11.25" customHeight="1" x14ac:dyDescent="0.2">
      <c r="B410" s="242"/>
    </row>
    <row r="411" spans="2:44" x14ac:dyDescent="0.2">
      <c r="B411" s="231" t="s">
        <v>493</v>
      </c>
      <c r="C411" s="70"/>
      <c r="D411" s="70"/>
    </row>
    <row r="412" spans="2:44" ht="7.5" customHeight="1" x14ac:dyDescent="0.2">
      <c r="B412" s="242"/>
    </row>
    <row r="413" spans="2:44" x14ac:dyDescent="0.2">
      <c r="B413" s="230" t="s">
        <v>352</v>
      </c>
    </row>
    <row r="414" spans="2:44" x14ac:dyDescent="0.2">
      <c r="B414" s="233" t="s">
        <v>335</v>
      </c>
    </row>
    <row r="415" spans="2:44" x14ac:dyDescent="0.2">
      <c r="B415" s="234" t="s">
        <v>350</v>
      </c>
    </row>
    <row r="416" spans="2:44" ht="11.25" customHeight="1" x14ac:dyDescent="0.2">
      <c r="B416" s="242"/>
    </row>
    <row r="417" spans="2:29" x14ac:dyDescent="0.2">
      <c r="B417" s="231" t="s">
        <v>494</v>
      </c>
    </row>
    <row r="418" spans="2:29" ht="7.5" customHeight="1" x14ac:dyDescent="0.2">
      <c r="B418" s="242"/>
    </row>
    <row r="419" spans="2:29" x14ac:dyDescent="0.2">
      <c r="B419" s="230" t="s">
        <v>349</v>
      </c>
    </row>
    <row r="420" spans="2:29" x14ac:dyDescent="0.2">
      <c r="B420" s="233" t="s">
        <v>335</v>
      </c>
    </row>
    <row r="421" spans="2:29" x14ac:dyDescent="0.2">
      <c r="B421" s="234" t="s">
        <v>350</v>
      </c>
    </row>
    <row r="422" spans="2:29" ht="11.25" customHeight="1" x14ac:dyDescent="0.2">
      <c r="B422" s="242"/>
    </row>
    <row r="423" spans="2:29" x14ac:dyDescent="0.2">
      <c r="B423" s="231" t="s">
        <v>495</v>
      </c>
      <c r="C423" s="70"/>
      <c r="D423" s="70"/>
      <c r="E423" s="70"/>
      <c r="F423" s="70"/>
      <c r="G423" s="70"/>
    </row>
    <row r="424" spans="2:29" ht="7.5" customHeight="1" x14ac:dyDescent="0.2">
      <c r="B424" s="242"/>
    </row>
    <row r="425" spans="2:29" x14ac:dyDescent="0.2">
      <c r="B425" s="230" t="s">
        <v>445</v>
      </c>
    </row>
    <row r="426" spans="2:29" x14ac:dyDescent="0.2">
      <c r="B426" s="233" t="s">
        <v>335</v>
      </c>
    </row>
    <row r="427" spans="2:29" x14ac:dyDescent="0.2">
      <c r="B427" s="234" t="s">
        <v>446</v>
      </c>
    </row>
    <row r="428" spans="2:29" ht="11.25" customHeight="1" x14ac:dyDescent="0.2">
      <c r="B428" s="242"/>
    </row>
    <row r="429" spans="2:29" x14ac:dyDescent="0.2">
      <c r="B429" s="231" t="s">
        <v>496</v>
      </c>
      <c r="C429" s="70"/>
      <c r="D429" s="70"/>
      <c r="E429" s="70"/>
      <c r="F429" s="70"/>
      <c r="G429" s="70"/>
      <c r="H429" s="70"/>
      <c r="I429" s="70"/>
      <c r="J429" s="70"/>
      <c r="K429" s="70"/>
      <c r="L429" s="70"/>
      <c r="M429" s="70"/>
      <c r="N429" s="70"/>
      <c r="O429" s="70"/>
      <c r="P429" s="70"/>
      <c r="Q429" s="70"/>
      <c r="R429" s="70"/>
      <c r="S429" s="70"/>
      <c r="T429" s="70"/>
      <c r="U429" s="70"/>
      <c r="V429" s="70"/>
      <c r="W429" s="70"/>
      <c r="X429" s="70"/>
      <c r="Y429" s="70"/>
      <c r="Z429" s="70"/>
      <c r="AA429" s="70"/>
      <c r="AB429" s="70"/>
      <c r="AC429" s="70"/>
    </row>
    <row r="430" spans="2:29" ht="7.5" customHeight="1" x14ac:dyDescent="0.2">
      <c r="B430" s="242"/>
    </row>
    <row r="431" spans="2:29" x14ac:dyDescent="0.2">
      <c r="B431" s="230" t="s">
        <v>497</v>
      </c>
    </row>
    <row r="432" spans="2:29" ht="7.5" customHeight="1" x14ac:dyDescent="0.2">
      <c r="B432" s="242"/>
    </row>
    <row r="433" spans="2:44" ht="26.25" customHeight="1" x14ac:dyDescent="0.2">
      <c r="B433" s="367" t="s">
        <v>498</v>
      </c>
      <c r="C433" s="367"/>
      <c r="D433" s="367"/>
      <c r="E433" s="367"/>
      <c r="F433" s="367"/>
      <c r="G433" s="367"/>
      <c r="H433" s="367"/>
      <c r="I433" s="367"/>
      <c r="J433" s="367"/>
      <c r="K433" s="367"/>
      <c r="L433" s="367"/>
      <c r="M433" s="367"/>
      <c r="N433" s="367"/>
      <c r="O433" s="367"/>
      <c r="P433" s="367"/>
      <c r="Q433" s="367"/>
      <c r="R433" s="367"/>
      <c r="S433" s="367"/>
      <c r="T433" s="367"/>
      <c r="U433" s="367"/>
      <c r="V433" s="367"/>
      <c r="W433" s="367"/>
      <c r="X433" s="367"/>
      <c r="Y433" s="367"/>
      <c r="Z433" s="367"/>
      <c r="AA433" s="367"/>
      <c r="AB433" s="367"/>
      <c r="AC433" s="367"/>
      <c r="AD433" s="367"/>
      <c r="AE433" s="367"/>
      <c r="AF433" s="367"/>
      <c r="AG433" s="367"/>
      <c r="AH433" s="367"/>
      <c r="AI433" s="367"/>
      <c r="AJ433" s="367"/>
      <c r="AK433" s="367"/>
      <c r="AL433" s="367"/>
      <c r="AM433" s="367"/>
      <c r="AN433" s="367"/>
      <c r="AO433" s="367"/>
      <c r="AP433" s="367"/>
      <c r="AQ433" s="367"/>
      <c r="AR433" s="367"/>
    </row>
    <row r="434" spans="2:44" ht="7.5" customHeight="1" x14ac:dyDescent="0.2">
      <c r="B434" s="242"/>
    </row>
    <row r="435" spans="2:44" ht="27.75" customHeight="1" x14ac:dyDescent="0.2">
      <c r="B435" s="367" t="s">
        <v>499</v>
      </c>
      <c r="C435" s="367"/>
      <c r="D435" s="367"/>
      <c r="E435" s="367"/>
      <c r="F435" s="367"/>
      <c r="G435" s="367"/>
      <c r="H435" s="367"/>
      <c r="I435" s="367"/>
      <c r="J435" s="367"/>
      <c r="K435" s="367"/>
      <c r="L435" s="367"/>
      <c r="M435" s="367"/>
      <c r="N435" s="367"/>
      <c r="O435" s="367"/>
      <c r="P435" s="367"/>
      <c r="Q435" s="367"/>
      <c r="R435" s="367"/>
      <c r="S435" s="367"/>
      <c r="T435" s="367"/>
      <c r="U435" s="367"/>
      <c r="V435" s="367"/>
      <c r="W435" s="367"/>
      <c r="X435" s="367"/>
      <c r="Y435" s="367"/>
      <c r="Z435" s="367"/>
      <c r="AA435" s="367"/>
      <c r="AB435" s="367"/>
      <c r="AC435" s="367"/>
      <c r="AD435" s="367"/>
      <c r="AE435" s="367"/>
      <c r="AF435" s="367"/>
      <c r="AG435" s="367"/>
      <c r="AH435" s="367"/>
      <c r="AI435" s="367"/>
      <c r="AJ435" s="367"/>
      <c r="AK435" s="367"/>
      <c r="AL435" s="367"/>
      <c r="AM435" s="367"/>
      <c r="AN435" s="367"/>
      <c r="AO435" s="367"/>
      <c r="AP435" s="367"/>
      <c r="AQ435" s="367"/>
      <c r="AR435" s="367"/>
    </row>
    <row r="436" spans="2:44" x14ac:dyDescent="0.2">
      <c r="B436" s="233" t="s">
        <v>335</v>
      </c>
    </row>
    <row r="437" spans="2:44" x14ac:dyDescent="0.2">
      <c r="B437" s="234" t="s">
        <v>350</v>
      </c>
    </row>
    <row r="438" spans="2:44" x14ac:dyDescent="0.2">
      <c r="B438" s="248"/>
    </row>
    <row r="439" spans="2:44" ht="17" x14ac:dyDescent="0.2">
      <c r="B439" s="375" t="s">
        <v>447</v>
      </c>
      <c r="C439" s="375"/>
      <c r="D439" s="375"/>
      <c r="E439" s="375"/>
      <c r="F439" s="375"/>
      <c r="G439" s="375"/>
      <c r="H439" s="375"/>
      <c r="I439" s="375"/>
      <c r="J439" s="375"/>
      <c r="K439" s="375"/>
      <c r="L439" s="375"/>
      <c r="M439" s="375"/>
      <c r="N439" s="375"/>
      <c r="O439" s="375"/>
      <c r="P439" s="375"/>
      <c r="Q439" s="375"/>
      <c r="R439" s="375"/>
      <c r="S439" s="375"/>
      <c r="T439" s="375"/>
      <c r="U439" s="375"/>
      <c r="V439" s="375"/>
      <c r="W439" s="375"/>
      <c r="X439" s="375"/>
      <c r="Y439" s="375"/>
      <c r="Z439" s="375"/>
      <c r="AA439" s="375"/>
      <c r="AB439" s="375"/>
      <c r="AC439" s="375"/>
      <c r="AD439" s="375"/>
      <c r="AE439" s="375"/>
      <c r="AF439" s="375"/>
      <c r="AG439" s="375"/>
      <c r="AH439" s="375"/>
      <c r="AI439" s="375"/>
      <c r="AJ439" s="375"/>
      <c r="AK439" s="375"/>
      <c r="AL439" s="375"/>
      <c r="AM439" s="375"/>
      <c r="AN439" s="375"/>
      <c r="AO439" s="375"/>
      <c r="AP439" s="375"/>
      <c r="AQ439" s="375"/>
      <c r="AR439" s="375"/>
    </row>
    <row r="440" spans="2:44" ht="26.25" customHeight="1" x14ac:dyDescent="0.2">
      <c r="B440" s="367" t="s">
        <v>500</v>
      </c>
      <c r="C440" s="367"/>
      <c r="D440" s="367"/>
      <c r="E440" s="367"/>
      <c r="F440" s="367"/>
      <c r="G440" s="367"/>
      <c r="H440" s="367"/>
      <c r="I440" s="367"/>
      <c r="J440" s="367"/>
      <c r="K440" s="367"/>
      <c r="L440" s="367"/>
      <c r="M440" s="367"/>
      <c r="N440" s="367"/>
      <c r="O440" s="367"/>
      <c r="P440" s="367"/>
      <c r="Q440" s="367"/>
      <c r="R440" s="367"/>
      <c r="S440" s="367"/>
      <c r="T440" s="367"/>
      <c r="U440" s="367"/>
      <c r="V440" s="367"/>
      <c r="W440" s="367"/>
      <c r="X440" s="367"/>
      <c r="Y440" s="367"/>
      <c r="Z440" s="367"/>
      <c r="AA440" s="367"/>
      <c r="AB440" s="367"/>
      <c r="AC440" s="367"/>
      <c r="AD440" s="367"/>
      <c r="AE440" s="367"/>
      <c r="AF440" s="367"/>
      <c r="AG440" s="367"/>
      <c r="AH440" s="367"/>
      <c r="AI440" s="367"/>
      <c r="AJ440" s="367"/>
      <c r="AK440" s="367"/>
      <c r="AL440" s="367"/>
      <c r="AM440" s="367"/>
      <c r="AN440" s="367"/>
      <c r="AO440" s="367"/>
      <c r="AP440" s="367"/>
      <c r="AQ440" s="367"/>
      <c r="AR440" s="367"/>
    </row>
    <row r="441" spans="2:44" ht="7.5" customHeight="1" x14ac:dyDescent="0.2">
      <c r="B441" s="242"/>
    </row>
    <row r="442" spans="2:44" x14ac:dyDescent="0.2">
      <c r="B442" s="230" t="s">
        <v>501</v>
      </c>
    </row>
    <row r="443" spans="2:44" ht="11.25" customHeight="1" x14ac:dyDescent="0.2">
      <c r="B443" s="242"/>
    </row>
    <row r="444" spans="2:44" x14ac:dyDescent="0.2">
      <c r="B444" s="231" t="s">
        <v>502</v>
      </c>
      <c r="C444" s="70"/>
      <c r="D444" s="70"/>
      <c r="E444" s="70"/>
      <c r="F444" s="70"/>
      <c r="G444" s="70"/>
      <c r="H444" s="70"/>
      <c r="I444" s="70"/>
      <c r="J444" s="70"/>
      <c r="K444" s="70"/>
      <c r="L444" s="70"/>
      <c r="M444" s="70"/>
      <c r="N444" s="70"/>
      <c r="O444" s="70"/>
      <c r="P444" s="70"/>
      <c r="Q444" s="70"/>
      <c r="R444" s="70"/>
      <c r="S444" s="70"/>
      <c r="T444" s="70"/>
      <c r="U444" s="70"/>
      <c r="V444" s="70"/>
      <c r="W444" s="70"/>
      <c r="X444" s="70"/>
      <c r="Y444" s="70"/>
      <c r="Z444" s="70"/>
      <c r="AA444" s="70"/>
      <c r="AB444" s="70"/>
      <c r="AC444" s="70"/>
      <c r="AD444" s="70"/>
      <c r="AE444" s="70"/>
      <c r="AF444" s="70"/>
      <c r="AG444" s="70"/>
      <c r="AH444" s="70"/>
      <c r="AI444" s="70"/>
    </row>
    <row r="445" spans="2:44" ht="7.5" customHeight="1" x14ac:dyDescent="0.2">
      <c r="B445" s="242"/>
    </row>
    <row r="446" spans="2:44" x14ac:dyDescent="0.2">
      <c r="B446" s="230" t="s">
        <v>471</v>
      </c>
    </row>
    <row r="447" spans="2:44" x14ac:dyDescent="0.2">
      <c r="B447" s="233" t="s">
        <v>335</v>
      </c>
    </row>
    <row r="448" spans="2:44" ht="27" customHeight="1" x14ac:dyDescent="0.2">
      <c r="B448" s="368" t="s">
        <v>452</v>
      </c>
      <c r="C448" s="368"/>
      <c r="D448" s="368"/>
      <c r="E448" s="368"/>
      <c r="F448" s="368"/>
      <c r="G448" s="368"/>
      <c r="H448" s="368"/>
      <c r="I448" s="368"/>
      <c r="J448" s="368"/>
      <c r="K448" s="368"/>
      <c r="L448" s="368"/>
      <c r="M448" s="368"/>
      <c r="N448" s="368"/>
      <c r="O448" s="368"/>
      <c r="P448" s="368"/>
      <c r="Q448" s="368"/>
      <c r="R448" s="368"/>
      <c r="S448" s="368"/>
      <c r="T448" s="368"/>
      <c r="U448" s="368"/>
      <c r="V448" s="368"/>
      <c r="W448" s="368"/>
      <c r="X448" s="368"/>
      <c r="Y448" s="368"/>
      <c r="Z448" s="368"/>
      <c r="AA448" s="368"/>
      <c r="AB448" s="368"/>
      <c r="AC448" s="368"/>
      <c r="AD448" s="368"/>
      <c r="AE448" s="368"/>
      <c r="AF448" s="368"/>
      <c r="AG448" s="368"/>
      <c r="AH448" s="368"/>
      <c r="AI448" s="368"/>
      <c r="AJ448" s="368"/>
      <c r="AK448" s="368"/>
      <c r="AL448" s="368"/>
      <c r="AM448" s="368"/>
      <c r="AN448" s="368"/>
      <c r="AO448" s="368"/>
      <c r="AP448" s="368"/>
      <c r="AQ448" s="368"/>
      <c r="AR448" s="368"/>
    </row>
    <row r="449" spans="2:44" ht="20" x14ac:dyDescent="0.2">
      <c r="B449" s="249"/>
    </row>
    <row r="450" spans="2:44" ht="17" x14ac:dyDescent="0.2">
      <c r="B450" s="236" t="s">
        <v>503</v>
      </c>
    </row>
    <row r="451" spans="2:44" ht="11.25" customHeight="1" x14ac:dyDescent="0.2">
      <c r="B451" s="242"/>
    </row>
    <row r="452" spans="2:44" x14ac:dyDescent="0.2">
      <c r="B452" s="231" t="s">
        <v>504</v>
      </c>
      <c r="C452" s="70"/>
      <c r="D452" s="70"/>
      <c r="E452" s="70"/>
      <c r="F452" s="70"/>
      <c r="G452" s="70"/>
      <c r="H452" s="70"/>
      <c r="I452" s="70"/>
      <c r="J452" s="70"/>
      <c r="K452" s="70"/>
      <c r="L452" s="70"/>
    </row>
    <row r="453" spans="2:44" ht="7.5" customHeight="1" x14ac:dyDescent="0.2">
      <c r="B453" s="242"/>
    </row>
    <row r="454" spans="2:44" ht="27" customHeight="1" x14ac:dyDescent="0.2">
      <c r="B454" s="367" t="s">
        <v>455</v>
      </c>
      <c r="C454" s="367"/>
      <c r="D454" s="367"/>
      <c r="E454" s="367"/>
      <c r="F454" s="367"/>
      <c r="G454" s="367"/>
      <c r="H454" s="367"/>
      <c r="I454" s="367"/>
      <c r="J454" s="367"/>
      <c r="K454" s="367"/>
      <c r="L454" s="367"/>
      <c r="M454" s="367"/>
      <c r="N454" s="367"/>
      <c r="O454" s="367"/>
      <c r="P454" s="367"/>
      <c r="Q454" s="367"/>
      <c r="R454" s="367"/>
      <c r="S454" s="367"/>
      <c r="T454" s="367"/>
      <c r="U454" s="367"/>
      <c r="V454" s="367"/>
      <c r="W454" s="367"/>
      <c r="X454" s="367"/>
      <c r="Y454" s="367"/>
      <c r="Z454" s="367"/>
      <c r="AA454" s="367"/>
      <c r="AB454" s="367"/>
      <c r="AC454" s="367"/>
      <c r="AD454" s="367"/>
      <c r="AE454" s="367"/>
      <c r="AF454" s="367"/>
      <c r="AG454" s="367"/>
      <c r="AH454" s="367"/>
      <c r="AI454" s="367"/>
      <c r="AJ454" s="367"/>
      <c r="AK454" s="367"/>
      <c r="AL454" s="367"/>
      <c r="AM454" s="367"/>
      <c r="AN454" s="367"/>
      <c r="AO454" s="367"/>
      <c r="AP454" s="367"/>
      <c r="AQ454" s="367"/>
      <c r="AR454" s="367"/>
    </row>
    <row r="455" spans="2:44" x14ac:dyDescent="0.2">
      <c r="B455" s="233" t="s">
        <v>335</v>
      </c>
    </row>
    <row r="456" spans="2:44" x14ac:dyDescent="0.2">
      <c r="B456" s="234" t="s">
        <v>505</v>
      </c>
    </row>
    <row r="457" spans="2:44" ht="20" x14ac:dyDescent="0.2">
      <c r="B457" s="249"/>
    </row>
    <row r="458" spans="2:44" ht="17" x14ac:dyDescent="0.2">
      <c r="B458" s="236" t="s">
        <v>574</v>
      </c>
    </row>
    <row r="459" spans="2:44" ht="11.25" customHeight="1" x14ac:dyDescent="0.2">
      <c r="B459" s="242"/>
    </row>
    <row r="460" spans="2:44" x14ac:dyDescent="0.2">
      <c r="B460" s="231" t="s">
        <v>575</v>
      </c>
    </row>
    <row r="461" spans="2:44" ht="7.5" customHeight="1" x14ac:dyDescent="0.2">
      <c r="B461" s="242"/>
    </row>
    <row r="462" spans="2:44" ht="15" customHeight="1" x14ac:dyDescent="0.2">
      <c r="B462" s="367" t="s">
        <v>576</v>
      </c>
      <c r="C462" s="367"/>
      <c r="D462" s="367"/>
      <c r="E462" s="367"/>
      <c r="F462" s="367"/>
      <c r="G462" s="367"/>
      <c r="H462" s="367"/>
      <c r="I462" s="367"/>
      <c r="J462" s="367"/>
      <c r="K462" s="367"/>
      <c r="L462" s="367"/>
      <c r="M462" s="367"/>
      <c r="N462" s="367"/>
      <c r="O462" s="367"/>
      <c r="P462" s="367"/>
      <c r="Q462" s="367"/>
      <c r="R462" s="367"/>
      <c r="S462" s="367"/>
      <c r="T462" s="367"/>
      <c r="U462" s="367"/>
      <c r="V462" s="367"/>
      <c r="W462" s="367"/>
      <c r="X462" s="367"/>
      <c r="Y462" s="367"/>
      <c r="Z462" s="367"/>
      <c r="AA462" s="367"/>
      <c r="AB462" s="367"/>
      <c r="AC462" s="367"/>
      <c r="AD462" s="367"/>
      <c r="AE462" s="367"/>
      <c r="AF462" s="367"/>
      <c r="AG462" s="367"/>
      <c r="AH462" s="367"/>
      <c r="AI462" s="367"/>
      <c r="AJ462" s="367"/>
      <c r="AK462" s="367"/>
      <c r="AL462" s="367"/>
      <c r="AM462" s="367"/>
      <c r="AN462" s="367"/>
      <c r="AO462" s="367"/>
      <c r="AP462" s="367"/>
      <c r="AQ462" s="367"/>
      <c r="AR462" s="367"/>
    </row>
    <row r="463" spans="2:44" x14ac:dyDescent="0.2">
      <c r="B463" s="233" t="s">
        <v>335</v>
      </c>
    </row>
    <row r="464" spans="2:44" x14ac:dyDescent="0.2">
      <c r="B464" s="234" t="s">
        <v>577</v>
      </c>
    </row>
    <row r="465" spans="1:1" x14ac:dyDescent="0.2"/>
    <row r="466" spans="1:1" x14ac:dyDescent="0.2"/>
    <row r="467" spans="1:1" hidden="1" x14ac:dyDescent="0.2">
      <c r="A467" t="s">
        <v>199</v>
      </c>
    </row>
  </sheetData>
  <sheetProtection algorithmName="SHA-512" hashValue="dpzicK5YjDxHRdLB0qXXLDNe0/37snkzgCktWsZJIpaa/T4toOLZmOs+7JAAoxeumk+dNo37Nuojv9mCvYLUpg==" saltValue="AyyGvc0ALcKJG9JxTfLQqQ==" spinCount="100000" sheet="1" selectLockedCells="1"/>
  <mergeCells count="76">
    <mergeCell ref="B27:AR27"/>
    <mergeCell ref="B32:AR32"/>
    <mergeCell ref="B42:AR42"/>
    <mergeCell ref="B60:AR60"/>
    <mergeCell ref="B5:AR5"/>
    <mergeCell ref="B7:AR7"/>
    <mergeCell ref="B9:AR9"/>
    <mergeCell ref="B11:AR11"/>
    <mergeCell ref="B18:AR18"/>
    <mergeCell ref="C77:N77"/>
    <mergeCell ref="O77:Z77"/>
    <mergeCell ref="C75:N75"/>
    <mergeCell ref="O75:Z75"/>
    <mergeCell ref="C76:N76"/>
    <mergeCell ref="O76:Z76"/>
    <mergeCell ref="B224:AR224"/>
    <mergeCell ref="B226:AR226"/>
    <mergeCell ref="B228:AR228"/>
    <mergeCell ref="B222:AR222"/>
    <mergeCell ref="B203:AR203"/>
    <mergeCell ref="B217:AR217"/>
    <mergeCell ref="B215:AR215"/>
    <mergeCell ref="B290:AR290"/>
    <mergeCell ref="B302:AR302"/>
    <mergeCell ref="B304:AR304"/>
    <mergeCell ref="B308:AR308"/>
    <mergeCell ref="B271:AR271"/>
    <mergeCell ref="B383:AR383"/>
    <mergeCell ref="B356:AR356"/>
    <mergeCell ref="B358:AR358"/>
    <mergeCell ref="B362:AR362"/>
    <mergeCell ref="B315:AR315"/>
    <mergeCell ref="B370:AR370"/>
    <mergeCell ref="B372:AR372"/>
    <mergeCell ref="B377:AR377"/>
    <mergeCell ref="B379:AR379"/>
    <mergeCell ref="B381:AR381"/>
    <mergeCell ref="B462:AR462"/>
    <mergeCell ref="B448:AR448"/>
    <mergeCell ref="B389:AR389"/>
    <mergeCell ref="B401:AR401"/>
    <mergeCell ref="B385:AR385"/>
    <mergeCell ref="B433:AR433"/>
    <mergeCell ref="B435:AR435"/>
    <mergeCell ref="B439:AR439"/>
    <mergeCell ref="B440:AR440"/>
    <mergeCell ref="B454:AR454"/>
    <mergeCell ref="B66:AR66"/>
    <mergeCell ref="B71:AR71"/>
    <mergeCell ref="C73:N73"/>
    <mergeCell ref="O73:Z73"/>
    <mergeCell ref="C74:N74"/>
    <mergeCell ref="O74:Z74"/>
    <mergeCell ref="B83:AR83"/>
    <mergeCell ref="B108:AR108"/>
    <mergeCell ref="B112:AR112"/>
    <mergeCell ref="B129:AR129"/>
    <mergeCell ref="B140:AR140"/>
    <mergeCell ref="B154:AR154"/>
    <mergeCell ref="B183:AR183"/>
    <mergeCell ref="B187:AR187"/>
    <mergeCell ref="B201:AR201"/>
    <mergeCell ref="B208:AR208"/>
    <mergeCell ref="B156:AR156"/>
    <mergeCell ref="B158:AR158"/>
    <mergeCell ref="B189:AR189"/>
    <mergeCell ref="B261:AR261"/>
    <mergeCell ref="B269:AR269"/>
    <mergeCell ref="B275:AR275"/>
    <mergeCell ref="B284:AR284"/>
    <mergeCell ref="B288:AR288"/>
    <mergeCell ref="B310:AR310"/>
    <mergeCell ref="B317:AR317"/>
    <mergeCell ref="B319:AR319"/>
    <mergeCell ref="B321:AR321"/>
    <mergeCell ref="B348:AR348"/>
  </mergeCells>
  <pageMargins left="0.7" right="0.7" top="0.75" bottom="0.75" header="0.3" footer="0.3"/>
  <pageSetup paperSize="5" scale="91" fitToHeight="0" orientation="portrait" horizontalDpi="1200" verticalDpi="1200" r:id="rId1"/>
  <headerFooter>
    <oddFooter>&amp;CPage &amp;P of &amp;N</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298568-A316-4A3C-A5F8-147DE4B4ED17}">
  <sheetPr codeName="shTrustedDocInstructions">
    <pageSetUpPr fitToPage="1"/>
  </sheetPr>
  <dimension ref="A1:C46"/>
  <sheetViews>
    <sheetView showGridLines="0" workbookViewId="0"/>
  </sheetViews>
  <sheetFormatPr baseColWidth="10" defaultColWidth="0" defaultRowHeight="15" zeroHeight="1" x14ac:dyDescent="0.2"/>
  <cols>
    <col min="1" max="1" width="2" customWidth="1"/>
    <col min="2" max="2" width="98.33203125" customWidth="1"/>
    <col min="3" max="3" width="42.83203125" bestFit="1" customWidth="1"/>
    <col min="4" max="16384" width="9.1640625" hidden="1"/>
  </cols>
  <sheetData>
    <row r="1" spans="2:3" ht="27" x14ac:dyDescent="0.2">
      <c r="B1" s="253" t="s">
        <v>515</v>
      </c>
      <c r="C1" s="254" t="s">
        <v>531</v>
      </c>
    </row>
    <row r="2" spans="2:3" ht="26" x14ac:dyDescent="0.2">
      <c r="B2" s="253"/>
    </row>
    <row r="3" spans="2:3" ht="17" x14ac:dyDescent="0.2">
      <c r="B3" s="255" t="s">
        <v>516</v>
      </c>
    </row>
    <row r="4" spans="2:3" x14ac:dyDescent="0.2">
      <c r="B4" s="129"/>
    </row>
    <row r="5" spans="2:3" x14ac:dyDescent="0.2">
      <c r="B5" s="129"/>
    </row>
    <row r="6" spans="2:3" x14ac:dyDescent="0.2">
      <c r="B6" s="129"/>
    </row>
    <row r="7" spans="2:3" ht="17" x14ac:dyDescent="0.2">
      <c r="B7" s="255" t="s">
        <v>517</v>
      </c>
    </row>
    <row r="8" spans="2:3" ht="17" x14ac:dyDescent="0.2">
      <c r="B8" s="256" t="s">
        <v>518</v>
      </c>
    </row>
    <row r="9" spans="2:3" ht="17" x14ac:dyDescent="0.2">
      <c r="B9" s="256" t="s">
        <v>519</v>
      </c>
    </row>
    <row r="10" spans="2:3" ht="17" x14ac:dyDescent="0.2">
      <c r="B10" s="256" t="s">
        <v>520</v>
      </c>
    </row>
    <row r="11" spans="2:3" ht="17" x14ac:dyDescent="0.2">
      <c r="B11" s="256" t="s">
        <v>521</v>
      </c>
    </row>
    <row r="12" spans="2:3" ht="17" x14ac:dyDescent="0.2">
      <c r="B12" s="256" t="s">
        <v>522</v>
      </c>
    </row>
    <row r="13" spans="2:3" ht="17" x14ac:dyDescent="0.2">
      <c r="B13" s="256" t="s">
        <v>523</v>
      </c>
    </row>
    <row r="14" spans="2:3" ht="17" x14ac:dyDescent="0.2">
      <c r="B14" s="256" t="s">
        <v>524</v>
      </c>
    </row>
    <row r="15" spans="2:3" x14ac:dyDescent="0.2">
      <c r="B15" s="129"/>
    </row>
    <row r="16" spans="2:3" ht="21" customHeight="1" x14ac:dyDescent="0.2">
      <c r="B16" s="129"/>
    </row>
    <row r="17" spans="2:2" ht="17" x14ac:dyDescent="0.2">
      <c r="B17" s="255" t="s">
        <v>525</v>
      </c>
    </row>
    <row r="18" spans="2:2" ht="17" x14ac:dyDescent="0.2">
      <c r="B18" s="256" t="s">
        <v>526</v>
      </c>
    </row>
    <row r="19" spans="2:2" ht="17" x14ac:dyDescent="0.2">
      <c r="B19" s="256" t="s">
        <v>527</v>
      </c>
    </row>
    <row r="20" spans="2:2" ht="17" x14ac:dyDescent="0.2">
      <c r="B20" s="256" t="s">
        <v>528</v>
      </c>
    </row>
    <row r="21" spans="2:2" ht="17" x14ac:dyDescent="0.2">
      <c r="B21" s="256" t="s">
        <v>529</v>
      </c>
    </row>
    <row r="22" spans="2:2" ht="16" x14ac:dyDescent="0.2">
      <c r="B22" s="257"/>
    </row>
    <row r="23" spans="2:2" ht="16" x14ac:dyDescent="0.2">
      <c r="B23" s="257"/>
    </row>
    <row r="24" spans="2:2" ht="16" x14ac:dyDescent="0.2">
      <c r="B24" s="257"/>
    </row>
    <row r="25" spans="2:2" ht="16" x14ac:dyDescent="0.2">
      <c r="B25" s="257"/>
    </row>
    <row r="26" spans="2:2" ht="16" x14ac:dyDescent="0.2">
      <c r="B26" s="257"/>
    </row>
    <row r="27" spans="2:2" ht="16" x14ac:dyDescent="0.2">
      <c r="B27" s="257"/>
    </row>
    <row r="28" spans="2:2" ht="16" x14ac:dyDescent="0.2">
      <c r="B28" s="257"/>
    </row>
    <row r="29" spans="2:2" ht="16" x14ac:dyDescent="0.2">
      <c r="B29" s="257"/>
    </row>
    <row r="30" spans="2:2" ht="16" x14ac:dyDescent="0.2">
      <c r="B30" s="257"/>
    </row>
    <row r="31" spans="2:2" ht="16" x14ac:dyDescent="0.2">
      <c r="B31" s="257"/>
    </row>
    <row r="32" spans="2:2" ht="16" x14ac:dyDescent="0.2">
      <c r="B32" s="257"/>
    </row>
    <row r="33" spans="2:2" ht="16" x14ac:dyDescent="0.2">
      <c r="B33" s="257"/>
    </row>
    <row r="34" spans="2:2" ht="16" x14ac:dyDescent="0.2">
      <c r="B34" s="257"/>
    </row>
    <row r="35" spans="2:2" ht="16" x14ac:dyDescent="0.2">
      <c r="B35" s="257"/>
    </row>
    <row r="36" spans="2:2" x14ac:dyDescent="0.2">
      <c r="B36" s="129"/>
    </row>
    <row r="37" spans="2:2" ht="17" x14ac:dyDescent="0.2">
      <c r="B37" s="255" t="s">
        <v>530</v>
      </c>
    </row>
    <row r="38" spans="2:2" x14ac:dyDescent="0.2"/>
    <row r="39" spans="2:2" x14ac:dyDescent="0.2"/>
    <row r="40" spans="2:2" x14ac:dyDescent="0.2"/>
    <row r="41" spans="2:2" x14ac:dyDescent="0.2"/>
    <row r="42" spans="2:2" x14ac:dyDescent="0.2"/>
    <row r="43" spans="2:2" x14ac:dyDescent="0.2"/>
    <row r="44" spans="2:2" x14ac:dyDescent="0.2"/>
    <row r="45" spans="2:2" x14ac:dyDescent="0.2"/>
    <row r="46" spans="2:2" x14ac:dyDescent="0.2"/>
  </sheetData>
  <sheetProtection algorithmName="SHA-512" hashValue="0sBeOK1Fa7LRakP3lsrfGNpZdL7lRshRPLyjYtAe0uHpeTphUiUzaitMfVLb3q8tNx/BQ4TOp/dfa/iFMesy5w==" saltValue="zO9nh9yzaTop+ytpT4NmUw==" spinCount="100000" sheet="1" objects="1" scenarios="1"/>
  <hyperlinks>
    <hyperlink ref="C1" location="SAM!A1" display="Go Back to SAM Cash Flow Analysis Worksheet" xr:uid="{B72904D4-B1A2-48CF-8757-7457F2B4D468}"/>
  </hyperlinks>
  <pageMargins left="0.7" right="0.7" top="0.75" bottom="0.75" header="0.3" footer="0.3"/>
  <pageSetup scale="97" fitToHeight="0"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tabColor theme="9" tint="0.59999389629810485"/>
  </sheetPr>
  <dimension ref="A1:U21"/>
  <sheetViews>
    <sheetView workbookViewId="0">
      <pane ySplit="1" topLeftCell="A2" activePane="bottomLeft" state="frozen"/>
      <selection activeCell="A2" sqref="A2"/>
      <selection pane="bottomLeft" activeCell="A2" sqref="A2"/>
    </sheetView>
  </sheetViews>
  <sheetFormatPr baseColWidth="10" defaultColWidth="8.83203125" defaultRowHeight="15" x14ac:dyDescent="0.2"/>
  <cols>
    <col min="1" max="1" width="12.1640625" bestFit="1" customWidth="1"/>
    <col min="2" max="2" width="10.6640625" bestFit="1" customWidth="1"/>
    <col min="3" max="3" width="3.6640625" bestFit="1" customWidth="1"/>
    <col min="4" max="4" width="36.33203125" customWidth="1"/>
    <col min="5" max="5" width="8.83203125" style="64"/>
    <col min="6" max="6" width="10.6640625" style="64" bestFit="1" customWidth="1"/>
    <col min="7" max="7" width="13.5" style="64" bestFit="1" customWidth="1"/>
    <col min="8" max="8" width="13.33203125" style="64" bestFit="1" customWidth="1"/>
    <col min="9" max="9" width="10.1640625" style="64" bestFit="1" customWidth="1"/>
    <col min="10" max="10" width="35.83203125" style="64" bestFit="1" customWidth="1"/>
    <col min="11" max="11" width="10.1640625" style="64" bestFit="1" customWidth="1"/>
    <col min="12" max="12" width="9" customWidth="1"/>
  </cols>
  <sheetData>
    <row r="1" spans="1:21" s="59" customFormat="1" x14ac:dyDescent="0.2">
      <c r="A1" s="59" t="s">
        <v>55</v>
      </c>
      <c r="B1" s="59" t="s">
        <v>49</v>
      </c>
      <c r="C1" s="59" t="s">
        <v>47</v>
      </c>
      <c r="D1" s="59" t="s">
        <v>48</v>
      </c>
      <c r="E1" s="62" t="s">
        <v>50</v>
      </c>
      <c r="F1" s="62" t="s">
        <v>57</v>
      </c>
      <c r="G1" s="62" t="s">
        <v>64</v>
      </c>
      <c r="H1" s="62" t="s">
        <v>52</v>
      </c>
      <c r="I1" s="62" t="s">
        <v>63</v>
      </c>
      <c r="J1" s="62" t="s">
        <v>53</v>
      </c>
      <c r="K1" s="62" t="s">
        <v>54</v>
      </c>
      <c r="L1" s="59" t="s">
        <v>238</v>
      </c>
      <c r="M1" s="59" t="s">
        <v>237</v>
      </c>
    </row>
    <row r="2" spans="1:21" s="3" customFormat="1" x14ac:dyDescent="0.2">
      <c r="A2" s="61">
        <v>1</v>
      </c>
      <c r="B2" s="61" t="b">
        <v>0</v>
      </c>
      <c r="C2" s="61" t="s">
        <v>23</v>
      </c>
      <c r="D2" s="61" t="s">
        <v>20</v>
      </c>
      <c r="E2" s="63" t="s">
        <v>51</v>
      </c>
      <c r="F2" s="63" t="s">
        <v>51</v>
      </c>
      <c r="G2" s="63" t="s">
        <v>51</v>
      </c>
      <c r="H2" s="63" t="s">
        <v>51</v>
      </c>
      <c r="I2" s="63" t="s">
        <v>51</v>
      </c>
      <c r="J2" s="63" t="s">
        <v>51</v>
      </c>
      <c r="K2" s="63" t="s">
        <v>51</v>
      </c>
      <c r="L2" s="63" t="s">
        <v>51</v>
      </c>
      <c r="M2" s="63" t="s">
        <v>51</v>
      </c>
      <c r="N2" s="61"/>
      <c r="O2" s="61"/>
      <c r="P2" s="61"/>
      <c r="Q2" s="61"/>
      <c r="R2" s="61"/>
      <c r="S2" s="61"/>
      <c r="T2" s="61"/>
      <c r="U2" s="61"/>
    </row>
    <row r="3" spans="1:21" x14ac:dyDescent="0.2">
      <c r="A3">
        <v>2</v>
      </c>
      <c r="B3" t="b">
        <v>1</v>
      </c>
      <c r="C3" t="s">
        <v>27</v>
      </c>
      <c r="D3" t="s">
        <v>200</v>
      </c>
      <c r="E3" s="64">
        <v>1</v>
      </c>
      <c r="F3" s="64">
        <v>7</v>
      </c>
      <c r="G3" s="102">
        <v>7</v>
      </c>
      <c r="H3" s="64" t="s">
        <v>231</v>
      </c>
      <c r="I3" s="64" t="s">
        <v>58</v>
      </c>
      <c r="J3" s="64" t="s">
        <v>211</v>
      </c>
      <c r="K3" s="64" t="s">
        <v>236</v>
      </c>
      <c r="L3" s="64" t="s">
        <v>239</v>
      </c>
      <c r="M3" s="109" t="s">
        <v>540</v>
      </c>
    </row>
    <row r="4" spans="1:21" x14ac:dyDescent="0.2">
      <c r="A4">
        <v>3</v>
      </c>
      <c r="B4" t="b">
        <v>1</v>
      </c>
      <c r="C4" t="s">
        <v>27</v>
      </c>
      <c r="D4" t="s">
        <v>200</v>
      </c>
      <c r="E4" s="64">
        <v>1</v>
      </c>
      <c r="F4" s="64">
        <v>26</v>
      </c>
      <c r="G4" s="64">
        <v>26</v>
      </c>
      <c r="H4" s="64" t="s">
        <v>231</v>
      </c>
      <c r="I4" s="64" t="s">
        <v>58</v>
      </c>
      <c r="J4" s="64" t="s">
        <v>211</v>
      </c>
      <c r="K4" s="64" t="s">
        <v>236</v>
      </c>
      <c r="L4" s="64" t="s">
        <v>239</v>
      </c>
      <c r="M4" s="109" t="s">
        <v>541</v>
      </c>
    </row>
    <row r="5" spans="1:21" x14ac:dyDescent="0.2">
      <c r="A5" s="52">
        <v>4</v>
      </c>
      <c r="B5" s="52" t="b">
        <v>1</v>
      </c>
      <c r="C5" s="52" t="s">
        <v>27</v>
      </c>
      <c r="D5" s="52" t="s">
        <v>200</v>
      </c>
      <c r="E5" s="101">
        <v>1</v>
      </c>
      <c r="F5" s="101">
        <v>45</v>
      </c>
      <c r="G5" s="101">
        <v>45</v>
      </c>
      <c r="H5" s="101" t="s">
        <v>231</v>
      </c>
      <c r="I5" s="101" t="s">
        <v>58</v>
      </c>
      <c r="J5" s="101" t="s">
        <v>211</v>
      </c>
      <c r="K5" s="101" t="s">
        <v>236</v>
      </c>
      <c r="L5" s="101" t="s">
        <v>239</v>
      </c>
      <c r="M5" s="110" t="s">
        <v>542</v>
      </c>
    </row>
    <row r="6" spans="1:21" x14ac:dyDescent="0.2">
      <c r="A6" s="52">
        <v>5</v>
      </c>
      <c r="B6" s="52" t="b">
        <v>1</v>
      </c>
      <c r="C6" s="52" t="s">
        <v>27</v>
      </c>
      <c r="D6" s="52" t="s">
        <v>539</v>
      </c>
      <c r="E6" s="101">
        <v>1</v>
      </c>
      <c r="F6" s="101">
        <v>66</v>
      </c>
      <c r="G6" s="101">
        <v>66</v>
      </c>
      <c r="H6" s="101" t="s">
        <v>231</v>
      </c>
      <c r="I6" s="101" t="s">
        <v>58</v>
      </c>
      <c r="J6" s="101" t="s">
        <v>211</v>
      </c>
      <c r="K6" s="101" t="s">
        <v>236</v>
      </c>
      <c r="L6" s="101" t="s">
        <v>239</v>
      </c>
      <c r="M6" s="110" t="s">
        <v>543</v>
      </c>
    </row>
    <row r="7" spans="1:21" x14ac:dyDescent="0.2">
      <c r="A7">
        <v>6</v>
      </c>
      <c r="B7" t="b">
        <v>1</v>
      </c>
      <c r="C7" t="s">
        <v>27</v>
      </c>
      <c r="D7" t="s">
        <v>167</v>
      </c>
      <c r="E7" s="64">
        <v>1</v>
      </c>
      <c r="F7" s="64">
        <v>87</v>
      </c>
      <c r="G7" s="64">
        <v>87</v>
      </c>
      <c r="H7" s="64" t="s">
        <v>231</v>
      </c>
      <c r="I7" s="64" t="s">
        <v>58</v>
      </c>
      <c r="J7" s="64" t="s">
        <v>212</v>
      </c>
      <c r="K7" s="64" t="s">
        <v>236</v>
      </c>
      <c r="L7" s="64" t="s">
        <v>239</v>
      </c>
      <c r="M7" s="109" t="s">
        <v>544</v>
      </c>
    </row>
    <row r="8" spans="1:21" x14ac:dyDescent="0.2">
      <c r="A8">
        <v>7</v>
      </c>
      <c r="B8" t="b">
        <v>1</v>
      </c>
      <c r="C8" t="s">
        <v>27</v>
      </c>
      <c r="D8" t="s">
        <v>167</v>
      </c>
      <c r="E8" s="64">
        <v>1</v>
      </c>
      <c r="F8" s="64">
        <v>113</v>
      </c>
      <c r="G8" s="64">
        <v>113</v>
      </c>
      <c r="H8" s="64" t="s">
        <v>231</v>
      </c>
      <c r="I8" s="64" t="s">
        <v>58</v>
      </c>
      <c r="J8" s="64" t="s">
        <v>212</v>
      </c>
      <c r="K8" s="64" t="s">
        <v>236</v>
      </c>
      <c r="L8" s="64" t="s">
        <v>239</v>
      </c>
      <c r="M8" s="109" t="s">
        <v>545</v>
      </c>
    </row>
    <row r="9" spans="1:21" x14ac:dyDescent="0.2">
      <c r="A9">
        <v>8</v>
      </c>
      <c r="B9" t="b">
        <v>1</v>
      </c>
      <c r="C9" t="s">
        <v>27</v>
      </c>
      <c r="D9" t="s">
        <v>167</v>
      </c>
      <c r="E9" s="64">
        <v>1</v>
      </c>
      <c r="F9" s="64">
        <v>139</v>
      </c>
      <c r="G9" s="64">
        <v>139</v>
      </c>
      <c r="H9" s="64" t="s">
        <v>231</v>
      </c>
      <c r="I9" s="64" t="s">
        <v>58</v>
      </c>
      <c r="J9" s="64" t="s">
        <v>212</v>
      </c>
      <c r="K9" s="64" t="s">
        <v>236</v>
      </c>
      <c r="L9" s="64" t="s">
        <v>239</v>
      </c>
      <c r="M9" s="109" t="s">
        <v>546</v>
      </c>
    </row>
    <row r="10" spans="1:21" x14ac:dyDescent="0.2">
      <c r="A10">
        <v>9</v>
      </c>
      <c r="B10" t="b">
        <v>1</v>
      </c>
      <c r="C10" t="s">
        <v>27</v>
      </c>
      <c r="D10" t="s">
        <v>167</v>
      </c>
      <c r="E10" s="64">
        <v>1</v>
      </c>
      <c r="F10" s="64">
        <v>165</v>
      </c>
      <c r="G10" s="64">
        <v>165</v>
      </c>
      <c r="H10" s="64" t="s">
        <v>231</v>
      </c>
      <c r="I10" s="64" t="s">
        <v>58</v>
      </c>
      <c r="J10" s="64" t="s">
        <v>212</v>
      </c>
      <c r="K10" s="64" t="s">
        <v>236</v>
      </c>
      <c r="L10" s="64" t="s">
        <v>239</v>
      </c>
      <c r="M10" s="109" t="s">
        <v>547</v>
      </c>
    </row>
    <row r="11" spans="1:21" x14ac:dyDescent="0.2">
      <c r="A11">
        <v>10</v>
      </c>
      <c r="B11" t="b">
        <v>1</v>
      </c>
      <c r="C11" t="s">
        <v>27</v>
      </c>
      <c r="D11" t="s">
        <v>167</v>
      </c>
      <c r="E11" s="64">
        <v>1</v>
      </c>
      <c r="F11" s="64">
        <v>191</v>
      </c>
      <c r="G11" s="64">
        <v>191</v>
      </c>
      <c r="H11" s="64" t="s">
        <v>231</v>
      </c>
      <c r="I11" s="64" t="s">
        <v>58</v>
      </c>
      <c r="J11" s="64" t="s">
        <v>212</v>
      </c>
      <c r="K11" s="64" t="s">
        <v>236</v>
      </c>
      <c r="L11" s="64" t="s">
        <v>239</v>
      </c>
      <c r="M11" s="109" t="s">
        <v>548</v>
      </c>
    </row>
    <row r="12" spans="1:21" x14ac:dyDescent="0.2">
      <c r="A12" s="52">
        <v>11</v>
      </c>
      <c r="B12" s="52" t="b">
        <v>1</v>
      </c>
      <c r="C12" s="52" t="s">
        <v>27</v>
      </c>
      <c r="D12" s="52" t="s">
        <v>167</v>
      </c>
      <c r="E12" s="101">
        <v>1</v>
      </c>
      <c r="F12" s="101">
        <v>217</v>
      </c>
      <c r="G12" s="101">
        <v>217</v>
      </c>
      <c r="H12" s="101" t="s">
        <v>231</v>
      </c>
      <c r="I12" s="101" t="s">
        <v>58</v>
      </c>
      <c r="J12" s="101" t="s">
        <v>212</v>
      </c>
      <c r="K12" s="101" t="s">
        <v>236</v>
      </c>
      <c r="L12" s="101" t="s">
        <v>239</v>
      </c>
      <c r="M12" s="110" t="s">
        <v>549</v>
      </c>
    </row>
    <row r="13" spans="1:21" x14ac:dyDescent="0.2">
      <c r="A13">
        <v>12</v>
      </c>
      <c r="B13" t="b">
        <v>1</v>
      </c>
      <c r="C13" t="s">
        <v>27</v>
      </c>
      <c r="D13" t="s">
        <v>178</v>
      </c>
      <c r="E13" s="64">
        <v>1</v>
      </c>
      <c r="F13" s="64">
        <v>245</v>
      </c>
      <c r="G13" s="64">
        <v>245</v>
      </c>
      <c r="H13" s="64" t="s">
        <v>231</v>
      </c>
      <c r="I13" s="64" t="s">
        <v>58</v>
      </c>
      <c r="J13" s="64" t="s">
        <v>216</v>
      </c>
      <c r="K13" s="64" t="s">
        <v>236</v>
      </c>
      <c r="L13" s="64" t="s">
        <v>239</v>
      </c>
      <c r="M13" s="109" t="s">
        <v>550</v>
      </c>
    </row>
    <row r="14" spans="1:21" x14ac:dyDescent="0.2">
      <c r="A14">
        <v>13</v>
      </c>
      <c r="B14" t="b">
        <v>1</v>
      </c>
      <c r="C14" t="s">
        <v>27</v>
      </c>
      <c r="D14" t="s">
        <v>178</v>
      </c>
      <c r="E14" s="64">
        <v>1</v>
      </c>
      <c r="F14" s="64">
        <v>270</v>
      </c>
      <c r="G14" s="64">
        <v>270</v>
      </c>
      <c r="H14" s="64" t="s">
        <v>231</v>
      </c>
      <c r="I14" s="64" t="s">
        <v>58</v>
      </c>
      <c r="J14" s="64" t="s">
        <v>216</v>
      </c>
      <c r="K14" s="64" t="s">
        <v>236</v>
      </c>
      <c r="L14" s="64" t="s">
        <v>239</v>
      </c>
      <c r="M14" s="109" t="s">
        <v>551</v>
      </c>
    </row>
    <row r="15" spans="1:21" x14ac:dyDescent="0.2">
      <c r="A15">
        <v>14</v>
      </c>
      <c r="B15" t="b">
        <v>1</v>
      </c>
      <c r="C15" t="s">
        <v>27</v>
      </c>
      <c r="D15" t="s">
        <v>178</v>
      </c>
      <c r="E15" s="64">
        <v>1</v>
      </c>
      <c r="F15" s="64">
        <v>295</v>
      </c>
      <c r="G15" s="64">
        <v>295</v>
      </c>
      <c r="H15" s="64" t="s">
        <v>231</v>
      </c>
      <c r="I15" s="64" t="s">
        <v>58</v>
      </c>
      <c r="J15" s="64" t="s">
        <v>216</v>
      </c>
      <c r="K15" s="64" t="s">
        <v>236</v>
      </c>
      <c r="L15" s="64" t="s">
        <v>239</v>
      </c>
      <c r="M15" s="109" t="s">
        <v>552</v>
      </c>
    </row>
    <row r="16" spans="1:21" x14ac:dyDescent="0.2">
      <c r="A16">
        <v>15</v>
      </c>
      <c r="B16" t="b">
        <v>1</v>
      </c>
      <c r="C16" t="s">
        <v>27</v>
      </c>
      <c r="D16" t="s">
        <v>178</v>
      </c>
      <c r="E16" s="64">
        <v>1</v>
      </c>
      <c r="F16" s="64">
        <v>320</v>
      </c>
      <c r="G16" s="64">
        <v>320</v>
      </c>
      <c r="H16" s="64" t="s">
        <v>231</v>
      </c>
      <c r="I16" s="64" t="s">
        <v>58</v>
      </c>
      <c r="J16" s="64" t="s">
        <v>216</v>
      </c>
      <c r="K16" s="64" t="s">
        <v>236</v>
      </c>
      <c r="L16" s="64" t="s">
        <v>239</v>
      </c>
      <c r="M16" s="109" t="s">
        <v>553</v>
      </c>
    </row>
    <row r="17" spans="1:13" x14ac:dyDescent="0.2">
      <c r="A17">
        <v>16</v>
      </c>
      <c r="B17" t="b">
        <v>1</v>
      </c>
      <c r="C17" t="s">
        <v>27</v>
      </c>
      <c r="D17" t="s">
        <v>178</v>
      </c>
      <c r="E17" s="64">
        <v>1</v>
      </c>
      <c r="F17" s="64">
        <v>345</v>
      </c>
      <c r="G17" s="64">
        <v>345</v>
      </c>
      <c r="H17" s="64" t="s">
        <v>231</v>
      </c>
      <c r="I17" s="64" t="s">
        <v>58</v>
      </c>
      <c r="J17" s="64" t="s">
        <v>216</v>
      </c>
      <c r="K17" s="64" t="s">
        <v>236</v>
      </c>
      <c r="L17" s="64" t="s">
        <v>239</v>
      </c>
      <c r="M17" s="109" t="s">
        <v>554</v>
      </c>
    </row>
    <row r="18" spans="1:13" x14ac:dyDescent="0.2">
      <c r="A18" s="52">
        <v>17</v>
      </c>
      <c r="B18" s="52" t="b">
        <v>1</v>
      </c>
      <c r="C18" s="52" t="s">
        <v>27</v>
      </c>
      <c r="D18" s="52" t="s">
        <v>178</v>
      </c>
      <c r="E18" s="101">
        <v>1</v>
      </c>
      <c r="F18" s="101">
        <v>370</v>
      </c>
      <c r="G18" s="101">
        <v>370</v>
      </c>
      <c r="H18" s="101" t="s">
        <v>231</v>
      </c>
      <c r="I18" s="101" t="s">
        <v>58</v>
      </c>
      <c r="J18" s="101" t="s">
        <v>216</v>
      </c>
      <c r="K18" s="101" t="s">
        <v>236</v>
      </c>
      <c r="L18" s="101" t="s">
        <v>239</v>
      </c>
      <c r="M18" s="110" t="s">
        <v>555</v>
      </c>
    </row>
    <row r="19" spans="1:13" x14ac:dyDescent="0.2">
      <c r="A19">
        <v>18</v>
      </c>
      <c r="B19" t="b">
        <v>1</v>
      </c>
      <c r="C19" t="s">
        <v>27</v>
      </c>
      <c r="D19" t="s">
        <v>179</v>
      </c>
      <c r="E19" s="64">
        <v>1</v>
      </c>
      <c r="F19" s="64">
        <v>397</v>
      </c>
      <c r="G19" s="64">
        <v>397</v>
      </c>
      <c r="H19" s="64" t="s">
        <v>231</v>
      </c>
      <c r="I19" s="64" t="s">
        <v>58</v>
      </c>
      <c r="J19" s="64" t="s">
        <v>221</v>
      </c>
      <c r="K19" s="64" t="s">
        <v>236</v>
      </c>
      <c r="L19" s="64" t="s">
        <v>239</v>
      </c>
      <c r="M19" s="109" t="s">
        <v>556</v>
      </c>
    </row>
    <row r="20" spans="1:13" x14ac:dyDescent="0.2">
      <c r="A20">
        <v>19</v>
      </c>
      <c r="B20" t="b">
        <v>1</v>
      </c>
      <c r="C20" t="s">
        <v>27</v>
      </c>
      <c r="D20" t="s">
        <v>179</v>
      </c>
      <c r="E20" s="64">
        <v>1</v>
      </c>
      <c r="F20" s="64">
        <v>423</v>
      </c>
      <c r="G20" s="64">
        <v>423</v>
      </c>
      <c r="H20" s="64" t="s">
        <v>231</v>
      </c>
      <c r="I20" s="64" t="s">
        <v>58</v>
      </c>
      <c r="J20" s="64" t="s">
        <v>221</v>
      </c>
      <c r="K20" s="64" t="s">
        <v>236</v>
      </c>
      <c r="L20" s="64" t="s">
        <v>239</v>
      </c>
      <c r="M20" s="109" t="s">
        <v>557</v>
      </c>
    </row>
    <row r="21" spans="1:13" x14ac:dyDescent="0.2">
      <c r="A21">
        <v>20</v>
      </c>
      <c r="B21" t="b">
        <v>1</v>
      </c>
      <c r="C21" t="s">
        <v>27</v>
      </c>
      <c r="D21" t="s">
        <v>179</v>
      </c>
      <c r="E21" s="64">
        <v>1</v>
      </c>
      <c r="F21" s="64">
        <v>449</v>
      </c>
      <c r="G21" s="64">
        <v>449</v>
      </c>
      <c r="H21" s="64" t="s">
        <v>231</v>
      </c>
      <c r="I21" s="64" t="s">
        <v>58</v>
      </c>
      <c r="J21" s="64" t="s">
        <v>221</v>
      </c>
      <c r="K21" s="64" t="s">
        <v>236</v>
      </c>
      <c r="L21" s="64" t="s">
        <v>239</v>
      </c>
      <c r="M21" s="109" t="s">
        <v>558</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tabColor theme="9" tint="0.59999389629810485"/>
  </sheetPr>
  <dimension ref="A1:U70"/>
  <sheetViews>
    <sheetView workbookViewId="0">
      <pane ySplit="1" topLeftCell="A2" activePane="bottomLeft" state="frozen"/>
      <selection activeCell="A2" sqref="A2"/>
      <selection pane="bottomLeft" activeCell="A2" sqref="A2"/>
    </sheetView>
  </sheetViews>
  <sheetFormatPr baseColWidth="10" defaultColWidth="8.83203125" defaultRowHeight="15" x14ac:dyDescent="0.2"/>
  <cols>
    <col min="1" max="1" width="12.1640625" bestFit="1" customWidth="1"/>
    <col min="2" max="2" width="10.6640625" bestFit="1" customWidth="1"/>
    <col min="3" max="3" width="3.6640625" bestFit="1" customWidth="1"/>
    <col min="4" max="4" width="36.33203125" customWidth="1"/>
    <col min="5" max="5" width="8.83203125" style="64"/>
    <col min="6" max="6" width="10.6640625" style="64" bestFit="1" customWidth="1"/>
    <col min="7" max="7" width="13.5" style="64" bestFit="1" customWidth="1"/>
    <col min="8" max="8" width="13.33203125" style="64" bestFit="1" customWidth="1"/>
    <col min="9" max="9" width="10.1640625" style="64" bestFit="1" customWidth="1"/>
    <col min="10" max="10" width="35.83203125" style="64" bestFit="1" customWidth="1"/>
    <col min="11" max="11" width="10.1640625" style="64" bestFit="1" customWidth="1"/>
  </cols>
  <sheetData>
    <row r="1" spans="1:21" s="59" customFormat="1" x14ac:dyDescent="0.2">
      <c r="A1" s="59" t="s">
        <v>55</v>
      </c>
      <c r="B1" s="59" t="s">
        <v>49</v>
      </c>
      <c r="C1" s="59" t="s">
        <v>47</v>
      </c>
      <c r="D1" s="59" t="s">
        <v>48</v>
      </c>
      <c r="E1" s="62" t="s">
        <v>50</v>
      </c>
      <c r="F1" s="62" t="s">
        <v>57</v>
      </c>
      <c r="G1" s="62" t="s">
        <v>64</v>
      </c>
      <c r="H1" s="62" t="s">
        <v>52</v>
      </c>
      <c r="I1" s="62" t="s">
        <v>63</v>
      </c>
      <c r="J1" s="62" t="s">
        <v>53</v>
      </c>
      <c r="K1" s="62" t="s">
        <v>54</v>
      </c>
      <c r="L1" s="59" t="s">
        <v>232</v>
      </c>
      <c r="M1" s="59" t="s">
        <v>233</v>
      </c>
      <c r="N1" s="59" t="s">
        <v>234</v>
      </c>
      <c r="O1" s="59" t="s">
        <v>235</v>
      </c>
    </row>
    <row r="2" spans="1:21" s="3" customFormat="1" x14ac:dyDescent="0.2">
      <c r="A2" s="61">
        <v>578</v>
      </c>
      <c r="B2" s="61" t="b">
        <v>0</v>
      </c>
      <c r="C2" s="61" t="s">
        <v>23</v>
      </c>
      <c r="D2" s="61" t="s">
        <v>20</v>
      </c>
      <c r="E2" s="63" t="s">
        <v>51</v>
      </c>
      <c r="F2" s="63" t="s">
        <v>51</v>
      </c>
      <c r="G2" s="63" t="s">
        <v>51</v>
      </c>
      <c r="H2" s="63" t="s">
        <v>51</v>
      </c>
      <c r="I2" s="63" t="s">
        <v>51</v>
      </c>
      <c r="J2" s="63" t="s">
        <v>51</v>
      </c>
      <c r="K2" s="63" t="s">
        <v>51</v>
      </c>
      <c r="L2" s="63">
        <v>0</v>
      </c>
      <c r="M2" s="63">
        <v>0</v>
      </c>
      <c r="N2" s="63">
        <v>0</v>
      </c>
      <c r="O2" s="61">
        <v>0</v>
      </c>
      <c r="P2" s="61"/>
      <c r="Q2" s="61"/>
      <c r="R2" s="61"/>
      <c r="S2" s="61"/>
      <c r="T2" s="61"/>
      <c r="U2" s="61"/>
    </row>
    <row r="3" spans="1:21" x14ac:dyDescent="0.2">
      <c r="A3" s="60">
        <v>580</v>
      </c>
      <c r="B3" s="60" t="b">
        <v>1</v>
      </c>
      <c r="C3" s="60" t="s">
        <v>27</v>
      </c>
      <c r="D3" s="60" t="s">
        <v>28</v>
      </c>
      <c r="E3" s="65">
        <v>1</v>
      </c>
      <c r="F3" s="65">
        <v>8</v>
      </c>
      <c r="G3" s="65">
        <f>F3</f>
        <v>8</v>
      </c>
      <c r="H3" s="65" t="s">
        <v>59</v>
      </c>
      <c r="I3" s="65" t="s">
        <v>58</v>
      </c>
      <c r="J3" s="65" t="s">
        <v>60</v>
      </c>
      <c r="K3" s="65" t="s">
        <v>58</v>
      </c>
      <c r="L3" s="65">
        <f>NumElements(H3,",")</f>
        <v>2</v>
      </c>
      <c r="M3" s="65">
        <f>NumElements(J3,",")</f>
        <v>2</v>
      </c>
      <c r="N3" s="65">
        <f>IF(NOT(OR(K3="NONE",K3="NA")),1,0)</f>
        <v>0</v>
      </c>
      <c r="O3" s="60">
        <f>(L3*M3)+N3</f>
        <v>4</v>
      </c>
      <c r="P3" s="60"/>
      <c r="Q3" s="60"/>
      <c r="R3" s="60"/>
      <c r="S3" s="60"/>
      <c r="T3" s="60"/>
      <c r="U3" s="60"/>
    </row>
    <row r="4" spans="1:21" x14ac:dyDescent="0.2">
      <c r="A4">
        <v>581</v>
      </c>
      <c r="B4" t="b">
        <v>1</v>
      </c>
      <c r="C4" t="s">
        <v>29</v>
      </c>
      <c r="D4" t="s">
        <v>44</v>
      </c>
      <c r="E4" s="64">
        <v>1</v>
      </c>
      <c r="F4" s="64">
        <v>16</v>
      </c>
      <c r="G4" s="64">
        <f>F4+2</f>
        <v>18</v>
      </c>
      <c r="H4" s="64" t="s">
        <v>59</v>
      </c>
      <c r="I4" s="64" t="s">
        <v>58</v>
      </c>
      <c r="J4" s="64" t="s">
        <v>61</v>
      </c>
      <c r="K4" s="64" t="s">
        <v>62</v>
      </c>
      <c r="L4" s="64">
        <f t="shared" ref="L4:L67" si="0">NumElements(H4,",")</f>
        <v>2</v>
      </c>
      <c r="M4" s="64">
        <f t="shared" ref="M4:M67" si="1">NumElements(J4,",")</f>
        <v>8</v>
      </c>
      <c r="N4" s="64">
        <f t="shared" ref="N4:N67" si="2">IF(NOT(OR(K4="NONE",K4="NA")),1,0)</f>
        <v>1</v>
      </c>
      <c r="O4">
        <f t="shared" ref="O4:O67" si="3">(L4*M4)+N4</f>
        <v>17</v>
      </c>
    </row>
    <row r="5" spans="1:21" x14ac:dyDescent="0.2">
      <c r="A5" s="60">
        <v>582</v>
      </c>
      <c r="B5" s="60" t="b">
        <v>1</v>
      </c>
      <c r="C5" s="60" t="s">
        <v>29</v>
      </c>
      <c r="D5" s="60" t="s">
        <v>44</v>
      </c>
      <c r="E5" s="65">
        <v>2</v>
      </c>
      <c r="F5" s="65">
        <v>16</v>
      </c>
      <c r="G5" s="65">
        <f>F5+17</f>
        <v>33</v>
      </c>
      <c r="H5" s="65" t="s">
        <v>59</v>
      </c>
      <c r="I5" s="65" t="s">
        <v>58</v>
      </c>
      <c r="J5" s="65" t="s">
        <v>61</v>
      </c>
      <c r="K5" s="65" t="s">
        <v>62</v>
      </c>
      <c r="L5" s="65">
        <f t="shared" si="0"/>
        <v>2</v>
      </c>
      <c r="M5" s="65">
        <f t="shared" si="1"/>
        <v>8</v>
      </c>
      <c r="N5" s="65">
        <f t="shared" si="2"/>
        <v>1</v>
      </c>
      <c r="O5" s="60">
        <f t="shared" si="3"/>
        <v>17</v>
      </c>
      <c r="P5" s="60"/>
      <c r="Q5" s="60"/>
      <c r="R5" s="60"/>
      <c r="S5" s="60"/>
      <c r="T5" s="60"/>
      <c r="U5" s="60"/>
    </row>
    <row r="6" spans="1:21" x14ac:dyDescent="0.2">
      <c r="A6">
        <v>583</v>
      </c>
      <c r="B6" t="b">
        <v>1</v>
      </c>
      <c r="C6" t="s">
        <v>29</v>
      </c>
      <c r="D6" t="s">
        <v>44</v>
      </c>
      <c r="E6" s="64">
        <v>3</v>
      </c>
      <c r="F6" s="64">
        <v>16</v>
      </c>
      <c r="G6" s="64">
        <f>F6+32</f>
        <v>48</v>
      </c>
      <c r="H6" s="64" t="s">
        <v>59</v>
      </c>
      <c r="I6" s="64" t="s">
        <v>58</v>
      </c>
      <c r="J6" s="64" t="s">
        <v>61</v>
      </c>
      <c r="K6" s="64" t="s">
        <v>62</v>
      </c>
      <c r="L6" s="64">
        <f t="shared" si="0"/>
        <v>2</v>
      </c>
      <c r="M6" s="64">
        <f t="shared" si="1"/>
        <v>8</v>
      </c>
      <c r="N6" s="64">
        <f t="shared" si="2"/>
        <v>1</v>
      </c>
      <c r="O6">
        <f t="shared" si="3"/>
        <v>17</v>
      </c>
    </row>
    <row r="7" spans="1:21" x14ac:dyDescent="0.2">
      <c r="A7" s="60">
        <v>584</v>
      </c>
      <c r="B7" s="60" t="b">
        <v>1</v>
      </c>
      <c r="C7" s="60" t="s">
        <v>29</v>
      </c>
      <c r="D7" s="60" t="s">
        <v>44</v>
      </c>
      <c r="E7" s="65">
        <v>1</v>
      </c>
      <c r="F7" s="65">
        <v>64</v>
      </c>
      <c r="G7" s="65">
        <f>F7+2</f>
        <v>66</v>
      </c>
      <c r="H7" s="65" t="s">
        <v>59</v>
      </c>
      <c r="I7" s="65" t="s">
        <v>58</v>
      </c>
      <c r="J7" s="65" t="s">
        <v>514</v>
      </c>
      <c r="K7" s="65" t="s">
        <v>62</v>
      </c>
      <c r="L7" s="65">
        <f t="shared" si="0"/>
        <v>2</v>
      </c>
      <c r="M7" s="65">
        <f t="shared" si="1"/>
        <v>9</v>
      </c>
      <c r="N7" s="65">
        <f t="shared" si="2"/>
        <v>1</v>
      </c>
      <c r="O7" s="60">
        <f t="shared" si="3"/>
        <v>19</v>
      </c>
      <c r="P7" s="60"/>
      <c r="Q7" s="60"/>
      <c r="R7" s="60"/>
      <c r="S7" s="60"/>
      <c r="T7" s="60"/>
      <c r="U7" s="60"/>
    </row>
    <row r="8" spans="1:21" x14ac:dyDescent="0.2">
      <c r="A8">
        <v>585</v>
      </c>
      <c r="B8" t="b">
        <v>1</v>
      </c>
      <c r="C8" t="s">
        <v>30</v>
      </c>
      <c r="D8" t="s">
        <v>31</v>
      </c>
      <c r="E8" s="64">
        <v>1</v>
      </c>
      <c r="F8" s="64">
        <v>83</v>
      </c>
      <c r="G8" s="64">
        <f>F8</f>
        <v>83</v>
      </c>
      <c r="H8" s="64" t="s">
        <v>59</v>
      </c>
      <c r="I8" s="64" t="s">
        <v>58</v>
      </c>
      <c r="J8" s="64">
        <v>2</v>
      </c>
      <c r="K8" s="64" t="s">
        <v>58</v>
      </c>
      <c r="L8" s="64">
        <f t="shared" si="0"/>
        <v>2</v>
      </c>
      <c r="M8" s="64">
        <f t="shared" si="1"/>
        <v>1</v>
      </c>
      <c r="N8" s="64">
        <f t="shared" si="2"/>
        <v>0</v>
      </c>
      <c r="O8">
        <f t="shared" si="3"/>
        <v>2</v>
      </c>
    </row>
    <row r="9" spans="1:21" x14ac:dyDescent="0.2">
      <c r="A9">
        <v>586</v>
      </c>
      <c r="B9" t="b">
        <v>1</v>
      </c>
      <c r="C9" t="s">
        <v>34</v>
      </c>
      <c r="D9" t="s">
        <v>32</v>
      </c>
      <c r="E9" s="64">
        <v>1</v>
      </c>
      <c r="F9" s="64">
        <v>90</v>
      </c>
      <c r="G9" s="64">
        <f>F9</f>
        <v>90</v>
      </c>
      <c r="H9" s="64" t="s">
        <v>59</v>
      </c>
      <c r="I9" s="64" t="s">
        <v>58</v>
      </c>
      <c r="J9" s="64" t="s">
        <v>56</v>
      </c>
      <c r="K9" s="64" t="s">
        <v>58</v>
      </c>
      <c r="L9" s="64">
        <f t="shared" si="0"/>
        <v>2</v>
      </c>
      <c r="M9" s="64">
        <f t="shared" si="1"/>
        <v>3</v>
      </c>
      <c r="N9" s="64">
        <f t="shared" si="2"/>
        <v>0</v>
      </c>
      <c r="O9">
        <f t="shared" si="3"/>
        <v>6</v>
      </c>
    </row>
    <row r="10" spans="1:21" x14ac:dyDescent="0.2">
      <c r="A10" s="60">
        <v>587</v>
      </c>
      <c r="B10" s="60" t="b">
        <v>1</v>
      </c>
      <c r="C10" s="60" t="s">
        <v>35</v>
      </c>
      <c r="D10" s="60" t="s">
        <v>33</v>
      </c>
      <c r="E10" s="65">
        <v>1</v>
      </c>
      <c r="F10" s="65">
        <v>99</v>
      </c>
      <c r="G10" s="65">
        <f>F10</f>
        <v>99</v>
      </c>
      <c r="H10" s="65" t="s">
        <v>59</v>
      </c>
      <c r="I10" s="65" t="s">
        <v>58</v>
      </c>
      <c r="J10" s="65" t="s">
        <v>535</v>
      </c>
      <c r="K10" s="65" t="s">
        <v>58</v>
      </c>
      <c r="L10" s="65">
        <f t="shared" si="0"/>
        <v>2</v>
      </c>
      <c r="M10" s="65">
        <f t="shared" si="1"/>
        <v>7</v>
      </c>
      <c r="N10" s="65">
        <f t="shared" si="2"/>
        <v>0</v>
      </c>
      <c r="O10" s="60">
        <f t="shared" si="3"/>
        <v>14</v>
      </c>
      <c r="P10" s="60"/>
      <c r="Q10" s="60"/>
      <c r="R10" s="60"/>
      <c r="S10" s="60"/>
      <c r="T10" s="60"/>
      <c r="U10" s="60"/>
    </row>
    <row r="11" spans="1:21" s="77" customFormat="1" x14ac:dyDescent="0.2">
      <c r="A11" s="77">
        <v>588</v>
      </c>
      <c r="B11" s="77" t="b">
        <v>0</v>
      </c>
      <c r="C11" s="77" t="s">
        <v>36</v>
      </c>
      <c r="D11" s="77" t="s">
        <v>37</v>
      </c>
      <c r="E11" s="78" t="s">
        <v>51</v>
      </c>
      <c r="F11" s="78" t="s">
        <v>51</v>
      </c>
      <c r="G11" s="78" t="s">
        <v>51</v>
      </c>
      <c r="H11" s="78" t="s">
        <v>51</v>
      </c>
      <c r="I11" s="78" t="s">
        <v>51</v>
      </c>
      <c r="J11" s="78" t="s">
        <v>51</v>
      </c>
      <c r="K11" s="78" t="s">
        <v>51</v>
      </c>
      <c r="L11" s="78">
        <f t="shared" si="0"/>
        <v>1</v>
      </c>
      <c r="M11" s="78">
        <f t="shared" si="1"/>
        <v>1</v>
      </c>
      <c r="N11" s="78">
        <f t="shared" si="2"/>
        <v>0</v>
      </c>
      <c r="O11" s="77">
        <f t="shared" si="3"/>
        <v>1</v>
      </c>
    </row>
    <row r="12" spans="1:21" x14ac:dyDescent="0.2">
      <c r="A12" s="60">
        <v>589</v>
      </c>
      <c r="B12" s="60" t="b">
        <v>1</v>
      </c>
      <c r="C12" s="60" t="s">
        <v>2</v>
      </c>
      <c r="D12" s="60" t="s">
        <v>45</v>
      </c>
      <c r="E12" s="65">
        <v>1</v>
      </c>
      <c r="F12" s="65">
        <v>114</v>
      </c>
      <c r="G12" s="65">
        <f>F12</f>
        <v>114</v>
      </c>
      <c r="H12" s="65" t="s">
        <v>59</v>
      </c>
      <c r="I12" s="65" t="s">
        <v>58</v>
      </c>
      <c r="J12" s="65" t="s">
        <v>70</v>
      </c>
      <c r="K12" s="65" t="s">
        <v>94</v>
      </c>
      <c r="L12" s="65">
        <f t="shared" si="0"/>
        <v>2</v>
      </c>
      <c r="M12" s="65">
        <f t="shared" si="1"/>
        <v>3</v>
      </c>
      <c r="N12" s="65">
        <f t="shared" si="2"/>
        <v>1</v>
      </c>
      <c r="O12" s="60">
        <f t="shared" si="3"/>
        <v>7</v>
      </c>
      <c r="P12" s="60"/>
      <c r="Q12" s="60"/>
      <c r="R12" s="60"/>
      <c r="S12" s="60"/>
      <c r="T12" s="60"/>
      <c r="U12" s="60"/>
    </row>
    <row r="13" spans="1:21" x14ac:dyDescent="0.2">
      <c r="A13">
        <v>590</v>
      </c>
      <c r="B13" t="b">
        <v>1</v>
      </c>
      <c r="C13" t="s">
        <v>2</v>
      </c>
      <c r="D13" t="s">
        <v>102</v>
      </c>
      <c r="E13" s="64">
        <v>1</v>
      </c>
      <c r="F13" s="64">
        <v>114</v>
      </c>
      <c r="G13" s="64">
        <v>114</v>
      </c>
      <c r="H13" s="64" t="s">
        <v>59</v>
      </c>
      <c r="I13" s="64" t="s">
        <v>58</v>
      </c>
      <c r="J13" s="64">
        <v>12</v>
      </c>
      <c r="K13" s="64" t="s">
        <v>94</v>
      </c>
      <c r="L13" s="64">
        <f t="shared" si="0"/>
        <v>2</v>
      </c>
      <c r="M13" s="64">
        <f t="shared" si="1"/>
        <v>1</v>
      </c>
      <c r="N13" s="64">
        <f t="shared" si="2"/>
        <v>1</v>
      </c>
      <c r="O13">
        <f t="shared" si="3"/>
        <v>3</v>
      </c>
    </row>
    <row r="14" spans="1:21" x14ac:dyDescent="0.2">
      <c r="A14" s="60">
        <v>591</v>
      </c>
      <c r="B14" s="60" t="b">
        <v>1</v>
      </c>
      <c r="C14" s="60" t="s">
        <v>38</v>
      </c>
      <c r="D14" s="60" t="s">
        <v>46</v>
      </c>
      <c r="E14" s="65">
        <v>1</v>
      </c>
      <c r="F14" s="65">
        <v>114</v>
      </c>
      <c r="G14" s="65">
        <f t="shared" ref="G14:G59" si="4">F14</f>
        <v>114</v>
      </c>
      <c r="H14" s="65" t="s">
        <v>59</v>
      </c>
      <c r="I14" s="65" t="s">
        <v>58</v>
      </c>
      <c r="J14" s="65" t="s">
        <v>103</v>
      </c>
      <c r="K14" s="65" t="s">
        <v>94</v>
      </c>
      <c r="L14" s="65">
        <f t="shared" si="0"/>
        <v>2</v>
      </c>
      <c r="M14" s="65">
        <f t="shared" si="1"/>
        <v>9</v>
      </c>
      <c r="N14" s="65">
        <f t="shared" si="2"/>
        <v>1</v>
      </c>
      <c r="O14" s="60">
        <f t="shared" si="3"/>
        <v>19</v>
      </c>
      <c r="P14" s="60"/>
      <c r="Q14" s="60"/>
      <c r="R14" s="60"/>
      <c r="S14" s="60"/>
      <c r="T14" s="60"/>
      <c r="U14" s="60"/>
    </row>
    <row r="15" spans="1:21" x14ac:dyDescent="0.2">
      <c r="A15">
        <v>592</v>
      </c>
      <c r="B15" t="b">
        <v>1</v>
      </c>
      <c r="C15" t="s">
        <v>51</v>
      </c>
      <c r="D15" t="s">
        <v>69</v>
      </c>
      <c r="E15" s="64">
        <v>1</v>
      </c>
      <c r="F15" s="64">
        <v>114</v>
      </c>
      <c r="G15" s="64">
        <f t="shared" si="4"/>
        <v>114</v>
      </c>
      <c r="H15" s="64" t="s">
        <v>59</v>
      </c>
      <c r="I15" s="64" t="s">
        <v>58</v>
      </c>
      <c r="J15" s="64" t="s">
        <v>104</v>
      </c>
      <c r="K15" s="64" t="s">
        <v>58</v>
      </c>
      <c r="L15" s="64">
        <f t="shared" si="0"/>
        <v>2</v>
      </c>
      <c r="M15" s="64">
        <f t="shared" si="1"/>
        <v>13</v>
      </c>
      <c r="N15" s="64">
        <f t="shared" si="2"/>
        <v>0</v>
      </c>
      <c r="O15">
        <f t="shared" si="3"/>
        <v>26</v>
      </c>
    </row>
    <row r="16" spans="1:21" x14ac:dyDescent="0.2">
      <c r="A16" s="60">
        <v>593</v>
      </c>
      <c r="B16" s="60" t="b">
        <v>1</v>
      </c>
      <c r="C16" s="60" t="s">
        <v>2</v>
      </c>
      <c r="D16" s="60" t="s">
        <v>45</v>
      </c>
      <c r="E16" s="65">
        <v>1</v>
      </c>
      <c r="F16" s="65">
        <v>146</v>
      </c>
      <c r="G16" s="65">
        <f t="shared" si="4"/>
        <v>146</v>
      </c>
      <c r="H16" s="65" t="s">
        <v>59</v>
      </c>
      <c r="I16" s="65" t="s">
        <v>58</v>
      </c>
      <c r="J16" s="65" t="s">
        <v>70</v>
      </c>
      <c r="K16" s="65" t="s">
        <v>94</v>
      </c>
      <c r="L16" s="65">
        <f t="shared" si="0"/>
        <v>2</v>
      </c>
      <c r="M16" s="65">
        <f t="shared" si="1"/>
        <v>3</v>
      </c>
      <c r="N16" s="65">
        <f t="shared" si="2"/>
        <v>1</v>
      </c>
      <c r="O16" s="60">
        <f t="shared" si="3"/>
        <v>7</v>
      </c>
      <c r="P16" s="60"/>
      <c r="Q16" s="60"/>
      <c r="R16" s="60"/>
      <c r="S16" s="60"/>
      <c r="T16" s="60"/>
      <c r="U16" s="60"/>
    </row>
    <row r="17" spans="1:21" x14ac:dyDescent="0.2">
      <c r="A17">
        <v>594</v>
      </c>
      <c r="B17" t="b">
        <v>1</v>
      </c>
      <c r="C17" t="s">
        <v>2</v>
      </c>
      <c r="D17" t="s">
        <v>102</v>
      </c>
      <c r="E17" s="64">
        <v>1</v>
      </c>
      <c r="F17" s="64">
        <v>146</v>
      </c>
      <c r="G17" s="64">
        <f t="shared" si="4"/>
        <v>146</v>
      </c>
      <c r="H17" s="64" t="s">
        <v>59</v>
      </c>
      <c r="I17" s="64" t="s">
        <v>58</v>
      </c>
      <c r="J17" s="64">
        <v>12</v>
      </c>
      <c r="K17" s="64" t="s">
        <v>94</v>
      </c>
      <c r="L17" s="64">
        <f t="shared" si="0"/>
        <v>2</v>
      </c>
      <c r="M17" s="64">
        <f t="shared" si="1"/>
        <v>1</v>
      </c>
      <c r="N17" s="64">
        <f t="shared" si="2"/>
        <v>1</v>
      </c>
      <c r="O17">
        <f t="shared" si="3"/>
        <v>3</v>
      </c>
    </row>
    <row r="18" spans="1:21" x14ac:dyDescent="0.2">
      <c r="A18" s="60">
        <v>595</v>
      </c>
      <c r="B18" s="60" t="b">
        <v>1</v>
      </c>
      <c r="C18" s="60" t="s">
        <v>38</v>
      </c>
      <c r="D18" s="60" t="s">
        <v>46</v>
      </c>
      <c r="E18" s="65">
        <v>1</v>
      </c>
      <c r="F18" s="65">
        <v>146</v>
      </c>
      <c r="G18" s="65">
        <f t="shared" si="4"/>
        <v>146</v>
      </c>
      <c r="H18" s="65" t="s">
        <v>59</v>
      </c>
      <c r="I18" s="65" t="s">
        <v>58</v>
      </c>
      <c r="J18" s="65" t="s">
        <v>103</v>
      </c>
      <c r="K18" s="65" t="s">
        <v>94</v>
      </c>
      <c r="L18" s="65">
        <f t="shared" si="0"/>
        <v>2</v>
      </c>
      <c r="M18" s="65">
        <f t="shared" si="1"/>
        <v>9</v>
      </c>
      <c r="N18" s="65">
        <f t="shared" si="2"/>
        <v>1</v>
      </c>
      <c r="O18" s="60">
        <f t="shared" si="3"/>
        <v>19</v>
      </c>
      <c r="P18" s="60"/>
      <c r="Q18" s="60"/>
      <c r="R18" s="60"/>
      <c r="S18" s="60"/>
      <c r="T18" s="60"/>
      <c r="U18" s="60"/>
    </row>
    <row r="19" spans="1:21" x14ac:dyDescent="0.2">
      <c r="A19">
        <v>596</v>
      </c>
      <c r="B19" t="b">
        <v>1</v>
      </c>
      <c r="C19" t="s">
        <v>51</v>
      </c>
      <c r="D19" t="s">
        <v>69</v>
      </c>
      <c r="E19" s="64">
        <v>1</v>
      </c>
      <c r="F19" s="64">
        <v>146</v>
      </c>
      <c r="G19" s="64">
        <f t="shared" si="4"/>
        <v>146</v>
      </c>
      <c r="H19" s="64" t="s">
        <v>59</v>
      </c>
      <c r="I19" s="64" t="s">
        <v>58</v>
      </c>
      <c r="J19" s="64" t="s">
        <v>104</v>
      </c>
      <c r="K19" s="64" t="s">
        <v>58</v>
      </c>
      <c r="L19" s="64">
        <f t="shared" si="0"/>
        <v>2</v>
      </c>
      <c r="M19" s="64">
        <f t="shared" si="1"/>
        <v>13</v>
      </c>
      <c r="N19" s="64">
        <f t="shared" si="2"/>
        <v>0</v>
      </c>
      <c r="O19">
        <f t="shared" si="3"/>
        <v>26</v>
      </c>
    </row>
    <row r="20" spans="1:21" x14ac:dyDescent="0.2">
      <c r="A20" s="60">
        <v>597</v>
      </c>
      <c r="B20" s="60" t="b">
        <v>1</v>
      </c>
      <c r="C20" s="60" t="s">
        <v>2</v>
      </c>
      <c r="D20" s="60" t="s">
        <v>45</v>
      </c>
      <c r="E20" s="65">
        <v>1</v>
      </c>
      <c r="F20" s="65">
        <v>178</v>
      </c>
      <c r="G20" s="65">
        <f t="shared" si="4"/>
        <v>178</v>
      </c>
      <c r="H20" s="65" t="s">
        <v>59</v>
      </c>
      <c r="I20" s="65" t="s">
        <v>58</v>
      </c>
      <c r="J20" s="65" t="s">
        <v>70</v>
      </c>
      <c r="K20" s="65" t="s">
        <v>94</v>
      </c>
      <c r="L20" s="65">
        <f t="shared" si="0"/>
        <v>2</v>
      </c>
      <c r="M20" s="65">
        <f t="shared" si="1"/>
        <v>3</v>
      </c>
      <c r="N20" s="65">
        <f t="shared" si="2"/>
        <v>1</v>
      </c>
      <c r="O20" s="60">
        <f t="shared" si="3"/>
        <v>7</v>
      </c>
      <c r="P20" s="60"/>
      <c r="Q20" s="60"/>
      <c r="R20" s="60"/>
      <c r="S20" s="60"/>
      <c r="T20" s="60"/>
      <c r="U20" s="60"/>
    </row>
    <row r="21" spans="1:21" x14ac:dyDescent="0.2">
      <c r="A21">
        <v>598</v>
      </c>
      <c r="B21" t="b">
        <v>1</v>
      </c>
      <c r="C21" t="s">
        <v>2</v>
      </c>
      <c r="D21" t="s">
        <v>102</v>
      </c>
      <c r="E21" s="64">
        <v>1</v>
      </c>
      <c r="F21" s="64">
        <v>178</v>
      </c>
      <c r="G21" s="64">
        <f t="shared" si="4"/>
        <v>178</v>
      </c>
      <c r="H21" s="64" t="s">
        <v>59</v>
      </c>
      <c r="I21" s="64" t="s">
        <v>58</v>
      </c>
      <c r="J21" s="64">
        <v>12</v>
      </c>
      <c r="K21" s="64" t="s">
        <v>94</v>
      </c>
      <c r="L21" s="64">
        <f t="shared" si="0"/>
        <v>2</v>
      </c>
      <c r="M21" s="64">
        <f t="shared" si="1"/>
        <v>1</v>
      </c>
      <c r="N21" s="64">
        <f t="shared" si="2"/>
        <v>1</v>
      </c>
      <c r="O21">
        <f t="shared" si="3"/>
        <v>3</v>
      </c>
    </row>
    <row r="22" spans="1:21" x14ac:dyDescent="0.2">
      <c r="A22" s="60">
        <v>599</v>
      </c>
      <c r="B22" s="60" t="b">
        <v>1</v>
      </c>
      <c r="C22" s="60" t="s">
        <v>38</v>
      </c>
      <c r="D22" s="60" t="s">
        <v>46</v>
      </c>
      <c r="E22" s="65">
        <v>1</v>
      </c>
      <c r="F22" s="65">
        <v>178</v>
      </c>
      <c r="G22" s="65">
        <f t="shared" si="4"/>
        <v>178</v>
      </c>
      <c r="H22" s="65" t="s">
        <v>59</v>
      </c>
      <c r="I22" s="65" t="s">
        <v>58</v>
      </c>
      <c r="J22" s="65" t="s">
        <v>103</v>
      </c>
      <c r="K22" s="65" t="s">
        <v>94</v>
      </c>
      <c r="L22" s="65">
        <f t="shared" si="0"/>
        <v>2</v>
      </c>
      <c r="M22" s="65">
        <f t="shared" si="1"/>
        <v>9</v>
      </c>
      <c r="N22" s="65">
        <f t="shared" si="2"/>
        <v>1</v>
      </c>
      <c r="O22" s="60">
        <f t="shared" si="3"/>
        <v>19</v>
      </c>
      <c r="P22" s="60"/>
      <c r="Q22" s="60"/>
      <c r="R22" s="60"/>
      <c r="S22" s="60"/>
      <c r="T22" s="60"/>
      <c r="U22" s="60"/>
    </row>
    <row r="23" spans="1:21" x14ac:dyDescent="0.2">
      <c r="A23">
        <v>600</v>
      </c>
      <c r="B23" t="b">
        <v>1</v>
      </c>
      <c r="C23" t="s">
        <v>51</v>
      </c>
      <c r="D23" t="s">
        <v>69</v>
      </c>
      <c r="E23" s="64">
        <v>1</v>
      </c>
      <c r="F23" s="64">
        <v>178</v>
      </c>
      <c r="G23" s="64">
        <f t="shared" si="4"/>
        <v>178</v>
      </c>
      <c r="H23" s="64" t="s">
        <v>59</v>
      </c>
      <c r="I23" s="64" t="s">
        <v>58</v>
      </c>
      <c r="J23" s="64" t="s">
        <v>104</v>
      </c>
      <c r="K23" s="64" t="s">
        <v>58</v>
      </c>
      <c r="L23" s="64">
        <f t="shared" si="0"/>
        <v>2</v>
      </c>
      <c r="M23" s="64">
        <f t="shared" si="1"/>
        <v>13</v>
      </c>
      <c r="N23" s="64">
        <f t="shared" si="2"/>
        <v>0</v>
      </c>
      <c r="O23">
        <f t="shared" si="3"/>
        <v>26</v>
      </c>
    </row>
    <row r="24" spans="1:21" x14ac:dyDescent="0.2">
      <c r="A24" s="60">
        <v>601</v>
      </c>
      <c r="B24" s="60" t="b">
        <v>1</v>
      </c>
      <c r="C24" s="60" t="s">
        <v>2</v>
      </c>
      <c r="D24" s="60" t="s">
        <v>45</v>
      </c>
      <c r="E24" s="65">
        <v>1</v>
      </c>
      <c r="F24" s="65">
        <v>210</v>
      </c>
      <c r="G24" s="65">
        <f t="shared" si="4"/>
        <v>210</v>
      </c>
      <c r="H24" s="65" t="s">
        <v>59</v>
      </c>
      <c r="I24" s="65" t="s">
        <v>58</v>
      </c>
      <c r="J24" s="65" t="s">
        <v>70</v>
      </c>
      <c r="K24" s="65" t="s">
        <v>94</v>
      </c>
      <c r="L24" s="65">
        <f t="shared" si="0"/>
        <v>2</v>
      </c>
      <c r="M24" s="65">
        <f t="shared" si="1"/>
        <v>3</v>
      </c>
      <c r="N24" s="65">
        <f t="shared" si="2"/>
        <v>1</v>
      </c>
      <c r="O24" s="60">
        <f t="shared" si="3"/>
        <v>7</v>
      </c>
      <c r="P24" s="60"/>
      <c r="Q24" s="60"/>
      <c r="R24" s="60"/>
      <c r="S24" s="60"/>
      <c r="T24" s="60"/>
      <c r="U24" s="60"/>
    </row>
    <row r="25" spans="1:21" x14ac:dyDescent="0.2">
      <c r="A25">
        <v>602</v>
      </c>
      <c r="B25" t="b">
        <v>1</v>
      </c>
      <c r="C25" t="s">
        <v>2</v>
      </c>
      <c r="D25" t="s">
        <v>102</v>
      </c>
      <c r="E25" s="64">
        <v>1</v>
      </c>
      <c r="F25" s="64">
        <v>210</v>
      </c>
      <c r="G25" s="64">
        <f t="shared" si="4"/>
        <v>210</v>
      </c>
      <c r="H25" s="64" t="s">
        <v>59</v>
      </c>
      <c r="I25" s="64" t="s">
        <v>58</v>
      </c>
      <c r="J25" s="64">
        <v>12</v>
      </c>
      <c r="K25" s="64" t="s">
        <v>94</v>
      </c>
      <c r="L25" s="64">
        <f t="shared" si="0"/>
        <v>2</v>
      </c>
      <c r="M25" s="64">
        <f t="shared" si="1"/>
        <v>1</v>
      </c>
      <c r="N25" s="64">
        <f t="shared" si="2"/>
        <v>1</v>
      </c>
      <c r="O25">
        <f t="shared" si="3"/>
        <v>3</v>
      </c>
    </row>
    <row r="26" spans="1:21" x14ac:dyDescent="0.2">
      <c r="A26" s="60">
        <v>603</v>
      </c>
      <c r="B26" s="60" t="b">
        <v>1</v>
      </c>
      <c r="C26" s="60" t="s">
        <v>38</v>
      </c>
      <c r="D26" s="60" t="s">
        <v>46</v>
      </c>
      <c r="E26" s="65">
        <v>1</v>
      </c>
      <c r="F26" s="65">
        <v>210</v>
      </c>
      <c r="G26" s="65">
        <f t="shared" si="4"/>
        <v>210</v>
      </c>
      <c r="H26" s="65" t="s">
        <v>59</v>
      </c>
      <c r="I26" s="65" t="s">
        <v>58</v>
      </c>
      <c r="J26" s="65" t="s">
        <v>103</v>
      </c>
      <c r="K26" s="65" t="s">
        <v>94</v>
      </c>
      <c r="L26" s="65">
        <f t="shared" si="0"/>
        <v>2</v>
      </c>
      <c r="M26" s="65">
        <f t="shared" si="1"/>
        <v>9</v>
      </c>
      <c r="N26" s="65">
        <f t="shared" si="2"/>
        <v>1</v>
      </c>
      <c r="O26" s="60">
        <f t="shared" si="3"/>
        <v>19</v>
      </c>
      <c r="P26" s="60"/>
      <c r="Q26" s="60"/>
      <c r="R26" s="60"/>
      <c r="S26" s="60"/>
      <c r="T26" s="60"/>
      <c r="U26" s="60"/>
    </row>
    <row r="27" spans="1:21" x14ac:dyDescent="0.2">
      <c r="A27">
        <v>604</v>
      </c>
      <c r="B27" t="b">
        <v>1</v>
      </c>
      <c r="C27" t="s">
        <v>51</v>
      </c>
      <c r="D27" t="s">
        <v>69</v>
      </c>
      <c r="E27" s="64">
        <v>1</v>
      </c>
      <c r="F27" s="64">
        <v>210</v>
      </c>
      <c r="G27" s="64">
        <f t="shared" si="4"/>
        <v>210</v>
      </c>
      <c r="H27" s="64" t="s">
        <v>59</v>
      </c>
      <c r="I27" s="64" t="s">
        <v>58</v>
      </c>
      <c r="J27" s="64" t="s">
        <v>104</v>
      </c>
      <c r="K27" s="64" t="s">
        <v>58</v>
      </c>
      <c r="L27" s="64">
        <f t="shared" si="0"/>
        <v>2</v>
      </c>
      <c r="M27" s="64">
        <f t="shared" si="1"/>
        <v>13</v>
      </c>
      <c r="N27" s="64">
        <f t="shared" si="2"/>
        <v>0</v>
      </c>
      <c r="O27">
        <f t="shared" si="3"/>
        <v>26</v>
      </c>
    </row>
    <row r="28" spans="1:21" x14ac:dyDescent="0.2">
      <c r="A28" s="60">
        <v>605</v>
      </c>
      <c r="B28" s="60" t="b">
        <v>1</v>
      </c>
      <c r="C28" s="60" t="s">
        <v>2</v>
      </c>
      <c r="D28" s="60" t="s">
        <v>45</v>
      </c>
      <c r="E28" s="65">
        <v>1</v>
      </c>
      <c r="F28" s="65">
        <v>242</v>
      </c>
      <c r="G28" s="65">
        <f t="shared" si="4"/>
        <v>242</v>
      </c>
      <c r="H28" s="65" t="s">
        <v>59</v>
      </c>
      <c r="I28" s="65" t="s">
        <v>58</v>
      </c>
      <c r="J28" s="65" t="s">
        <v>70</v>
      </c>
      <c r="K28" s="65" t="s">
        <v>94</v>
      </c>
      <c r="L28" s="65">
        <f t="shared" si="0"/>
        <v>2</v>
      </c>
      <c r="M28" s="65">
        <f t="shared" si="1"/>
        <v>3</v>
      </c>
      <c r="N28" s="65">
        <f t="shared" si="2"/>
        <v>1</v>
      </c>
      <c r="O28" s="60">
        <f t="shared" si="3"/>
        <v>7</v>
      </c>
      <c r="P28" s="60"/>
      <c r="Q28" s="60"/>
      <c r="R28" s="60"/>
      <c r="S28" s="60"/>
      <c r="T28" s="60"/>
      <c r="U28" s="60"/>
    </row>
    <row r="29" spans="1:21" x14ac:dyDescent="0.2">
      <c r="A29">
        <v>606</v>
      </c>
      <c r="B29" t="b">
        <v>1</v>
      </c>
      <c r="C29" t="s">
        <v>2</v>
      </c>
      <c r="D29" t="s">
        <v>102</v>
      </c>
      <c r="E29" s="64">
        <v>1</v>
      </c>
      <c r="F29" s="64">
        <v>242</v>
      </c>
      <c r="G29" s="64">
        <f t="shared" si="4"/>
        <v>242</v>
      </c>
      <c r="H29" s="64" t="s">
        <v>59</v>
      </c>
      <c r="I29" s="64" t="s">
        <v>58</v>
      </c>
      <c r="J29" s="64">
        <v>12</v>
      </c>
      <c r="K29" s="64" t="s">
        <v>94</v>
      </c>
      <c r="L29" s="64">
        <f t="shared" si="0"/>
        <v>2</v>
      </c>
      <c r="M29" s="64">
        <f t="shared" si="1"/>
        <v>1</v>
      </c>
      <c r="N29" s="64">
        <f t="shared" si="2"/>
        <v>1</v>
      </c>
      <c r="O29">
        <f t="shared" si="3"/>
        <v>3</v>
      </c>
    </row>
    <row r="30" spans="1:21" x14ac:dyDescent="0.2">
      <c r="A30" s="60">
        <v>607</v>
      </c>
      <c r="B30" s="60" t="b">
        <v>1</v>
      </c>
      <c r="C30" s="60" t="s">
        <v>38</v>
      </c>
      <c r="D30" s="60" t="s">
        <v>46</v>
      </c>
      <c r="E30" s="65">
        <v>1</v>
      </c>
      <c r="F30" s="65">
        <v>242</v>
      </c>
      <c r="G30" s="65">
        <f t="shared" si="4"/>
        <v>242</v>
      </c>
      <c r="H30" s="65" t="s">
        <v>59</v>
      </c>
      <c r="I30" s="65" t="s">
        <v>58</v>
      </c>
      <c r="J30" s="65" t="s">
        <v>103</v>
      </c>
      <c r="K30" s="65" t="s">
        <v>94</v>
      </c>
      <c r="L30" s="65">
        <f t="shared" si="0"/>
        <v>2</v>
      </c>
      <c r="M30" s="65">
        <f t="shared" si="1"/>
        <v>9</v>
      </c>
      <c r="N30" s="65">
        <f t="shared" si="2"/>
        <v>1</v>
      </c>
      <c r="O30" s="60">
        <f t="shared" si="3"/>
        <v>19</v>
      </c>
      <c r="P30" s="60"/>
      <c r="Q30" s="60"/>
      <c r="R30" s="60"/>
      <c r="S30" s="60"/>
      <c r="T30" s="60"/>
      <c r="U30" s="60"/>
    </row>
    <row r="31" spans="1:21" x14ac:dyDescent="0.2">
      <c r="A31">
        <v>608</v>
      </c>
      <c r="B31" t="b">
        <v>1</v>
      </c>
      <c r="C31" t="s">
        <v>51</v>
      </c>
      <c r="D31" t="s">
        <v>69</v>
      </c>
      <c r="E31" s="64">
        <v>1</v>
      </c>
      <c r="F31" s="64">
        <v>242</v>
      </c>
      <c r="G31" s="64">
        <f t="shared" si="4"/>
        <v>242</v>
      </c>
      <c r="H31" s="64" t="s">
        <v>59</v>
      </c>
      <c r="I31" s="64" t="s">
        <v>58</v>
      </c>
      <c r="J31" s="64" t="s">
        <v>104</v>
      </c>
      <c r="K31" s="64" t="s">
        <v>58</v>
      </c>
      <c r="L31" s="64">
        <f t="shared" si="0"/>
        <v>2</v>
      </c>
      <c r="M31" s="64">
        <f t="shared" si="1"/>
        <v>13</v>
      </c>
      <c r="N31" s="64">
        <f t="shared" si="2"/>
        <v>0</v>
      </c>
      <c r="O31">
        <f t="shared" si="3"/>
        <v>26</v>
      </c>
    </row>
    <row r="32" spans="1:21" x14ac:dyDescent="0.2">
      <c r="A32" s="60">
        <v>609</v>
      </c>
      <c r="B32" s="60" t="b">
        <v>1</v>
      </c>
      <c r="C32" s="60" t="s">
        <v>2</v>
      </c>
      <c r="D32" s="60" t="s">
        <v>45</v>
      </c>
      <c r="E32" s="65">
        <v>1</v>
      </c>
      <c r="F32" s="65">
        <v>274</v>
      </c>
      <c r="G32" s="65">
        <f t="shared" si="4"/>
        <v>274</v>
      </c>
      <c r="H32" s="65" t="s">
        <v>59</v>
      </c>
      <c r="I32" s="65" t="s">
        <v>58</v>
      </c>
      <c r="J32" s="65" t="s">
        <v>70</v>
      </c>
      <c r="K32" s="65" t="s">
        <v>94</v>
      </c>
      <c r="L32" s="65">
        <f t="shared" si="0"/>
        <v>2</v>
      </c>
      <c r="M32" s="65">
        <f t="shared" si="1"/>
        <v>3</v>
      </c>
      <c r="N32" s="65">
        <f t="shared" si="2"/>
        <v>1</v>
      </c>
      <c r="O32" s="60">
        <f t="shared" si="3"/>
        <v>7</v>
      </c>
      <c r="P32" s="60"/>
      <c r="Q32" s="60"/>
      <c r="R32" s="60"/>
      <c r="S32" s="60"/>
      <c r="T32" s="60"/>
      <c r="U32" s="60"/>
    </row>
    <row r="33" spans="1:21" x14ac:dyDescent="0.2">
      <c r="A33">
        <v>610</v>
      </c>
      <c r="B33" t="b">
        <v>1</v>
      </c>
      <c r="C33" t="s">
        <v>2</v>
      </c>
      <c r="D33" t="s">
        <v>102</v>
      </c>
      <c r="E33" s="64">
        <v>1</v>
      </c>
      <c r="F33" s="64">
        <v>274</v>
      </c>
      <c r="G33" s="64">
        <f t="shared" si="4"/>
        <v>274</v>
      </c>
      <c r="H33" s="64" t="s">
        <v>59</v>
      </c>
      <c r="I33" s="64" t="s">
        <v>58</v>
      </c>
      <c r="J33" s="64">
        <v>12</v>
      </c>
      <c r="K33" s="64" t="s">
        <v>94</v>
      </c>
      <c r="L33" s="64">
        <f t="shared" si="0"/>
        <v>2</v>
      </c>
      <c r="M33" s="64">
        <f t="shared" si="1"/>
        <v>1</v>
      </c>
      <c r="N33" s="64">
        <f t="shared" si="2"/>
        <v>1</v>
      </c>
      <c r="O33">
        <f t="shared" si="3"/>
        <v>3</v>
      </c>
    </row>
    <row r="34" spans="1:21" x14ac:dyDescent="0.2">
      <c r="A34" s="60">
        <v>611</v>
      </c>
      <c r="B34" s="60" t="b">
        <v>1</v>
      </c>
      <c r="C34" s="60" t="s">
        <v>38</v>
      </c>
      <c r="D34" s="60" t="s">
        <v>46</v>
      </c>
      <c r="E34" s="65">
        <v>1</v>
      </c>
      <c r="F34" s="65">
        <v>274</v>
      </c>
      <c r="G34" s="65">
        <f t="shared" si="4"/>
        <v>274</v>
      </c>
      <c r="H34" s="65" t="s">
        <v>59</v>
      </c>
      <c r="I34" s="65" t="s">
        <v>58</v>
      </c>
      <c r="J34" s="65" t="s">
        <v>103</v>
      </c>
      <c r="K34" s="65" t="s">
        <v>94</v>
      </c>
      <c r="L34" s="65">
        <f t="shared" si="0"/>
        <v>2</v>
      </c>
      <c r="M34" s="65">
        <f t="shared" si="1"/>
        <v>9</v>
      </c>
      <c r="N34" s="65">
        <f t="shared" si="2"/>
        <v>1</v>
      </c>
      <c r="O34" s="60">
        <f t="shared" si="3"/>
        <v>19</v>
      </c>
      <c r="P34" s="60"/>
      <c r="Q34" s="60"/>
      <c r="R34" s="60"/>
      <c r="S34" s="60"/>
      <c r="T34" s="60"/>
      <c r="U34" s="60"/>
    </row>
    <row r="35" spans="1:21" ht="16" thickBot="1" x14ac:dyDescent="0.25">
      <c r="A35">
        <v>612</v>
      </c>
      <c r="B35" t="b">
        <v>1</v>
      </c>
      <c r="C35" t="s">
        <v>51</v>
      </c>
      <c r="D35" t="s">
        <v>69</v>
      </c>
      <c r="E35" s="64">
        <v>1</v>
      </c>
      <c r="F35" s="64">
        <v>274</v>
      </c>
      <c r="G35" s="64">
        <f t="shared" si="4"/>
        <v>274</v>
      </c>
      <c r="H35" s="64" t="s">
        <v>59</v>
      </c>
      <c r="I35" s="64" t="s">
        <v>58</v>
      </c>
      <c r="J35" s="64" t="s">
        <v>104</v>
      </c>
      <c r="K35" s="64" t="s">
        <v>58</v>
      </c>
      <c r="L35" s="64">
        <f t="shared" si="0"/>
        <v>2</v>
      </c>
      <c r="M35" s="64">
        <f t="shared" si="1"/>
        <v>13</v>
      </c>
      <c r="N35" s="64">
        <f t="shared" si="2"/>
        <v>0</v>
      </c>
      <c r="O35">
        <f t="shared" si="3"/>
        <v>26</v>
      </c>
    </row>
    <row r="36" spans="1:21" s="70" customFormat="1" ht="16" thickBot="1" x14ac:dyDescent="0.25">
      <c r="A36" s="71">
        <v>613</v>
      </c>
      <c r="B36" s="72" t="b">
        <v>1</v>
      </c>
      <c r="C36" s="72" t="s">
        <v>2</v>
      </c>
      <c r="D36" s="72" t="s">
        <v>73</v>
      </c>
      <c r="E36" s="73">
        <v>1</v>
      </c>
      <c r="F36" s="73">
        <v>308</v>
      </c>
      <c r="G36" s="73">
        <f t="shared" si="4"/>
        <v>308</v>
      </c>
      <c r="H36" s="73" t="s">
        <v>59</v>
      </c>
      <c r="I36" s="73" t="s">
        <v>58</v>
      </c>
      <c r="J36" s="73" t="s">
        <v>76</v>
      </c>
      <c r="K36" s="73" t="s">
        <v>94</v>
      </c>
      <c r="L36" s="73">
        <f t="shared" si="0"/>
        <v>2</v>
      </c>
      <c r="M36" s="73">
        <f t="shared" si="1"/>
        <v>2</v>
      </c>
      <c r="N36" s="73">
        <f t="shared" si="2"/>
        <v>1</v>
      </c>
      <c r="O36" s="72">
        <f t="shared" si="3"/>
        <v>5</v>
      </c>
      <c r="P36" s="72"/>
      <c r="Q36" s="72"/>
      <c r="R36" s="72"/>
      <c r="S36" s="72"/>
      <c r="T36" s="72"/>
      <c r="U36" s="74"/>
    </row>
    <row r="37" spans="1:21" x14ac:dyDescent="0.2">
      <c r="A37">
        <v>614</v>
      </c>
      <c r="B37" t="b">
        <v>1</v>
      </c>
      <c r="C37" t="s">
        <v>38</v>
      </c>
      <c r="D37" t="s">
        <v>74</v>
      </c>
      <c r="E37" s="64">
        <v>1</v>
      </c>
      <c r="F37" s="64">
        <v>308</v>
      </c>
      <c r="G37" s="64">
        <f t="shared" si="4"/>
        <v>308</v>
      </c>
      <c r="H37" s="64" t="s">
        <v>59</v>
      </c>
      <c r="I37" s="64" t="s">
        <v>58</v>
      </c>
      <c r="J37" s="64">
        <v>11</v>
      </c>
      <c r="K37" s="64" t="s">
        <v>94</v>
      </c>
      <c r="L37" s="64">
        <f t="shared" si="0"/>
        <v>2</v>
      </c>
      <c r="M37" s="64">
        <f t="shared" si="1"/>
        <v>1</v>
      </c>
      <c r="N37" s="64">
        <f t="shared" si="2"/>
        <v>1</v>
      </c>
      <c r="O37">
        <f t="shared" si="3"/>
        <v>3</v>
      </c>
    </row>
    <row r="38" spans="1:21" x14ac:dyDescent="0.2">
      <c r="A38">
        <v>615</v>
      </c>
      <c r="B38" t="b">
        <v>1</v>
      </c>
      <c r="C38" t="s">
        <v>38</v>
      </c>
      <c r="D38" t="s">
        <v>75</v>
      </c>
      <c r="E38" s="64">
        <v>1</v>
      </c>
      <c r="F38" s="64">
        <v>308</v>
      </c>
      <c r="G38" s="64">
        <f t="shared" si="4"/>
        <v>308</v>
      </c>
      <c r="H38" s="64" t="s">
        <v>59</v>
      </c>
      <c r="I38" s="64" t="s">
        <v>58</v>
      </c>
      <c r="J38" s="64" t="s">
        <v>97</v>
      </c>
      <c r="K38" s="64" t="s">
        <v>94</v>
      </c>
      <c r="L38" s="64">
        <f t="shared" si="0"/>
        <v>2</v>
      </c>
      <c r="M38" s="64">
        <f t="shared" si="1"/>
        <v>8</v>
      </c>
      <c r="N38" s="64">
        <f t="shared" si="2"/>
        <v>1</v>
      </c>
      <c r="O38">
        <f t="shared" si="3"/>
        <v>17</v>
      </c>
    </row>
    <row r="39" spans="1:21" x14ac:dyDescent="0.2">
      <c r="A39">
        <v>616</v>
      </c>
      <c r="B39" t="b">
        <v>1</v>
      </c>
      <c r="C39" t="s">
        <v>51</v>
      </c>
      <c r="D39" t="s">
        <v>77</v>
      </c>
      <c r="E39" s="64">
        <v>1</v>
      </c>
      <c r="F39" s="64">
        <v>308</v>
      </c>
      <c r="G39" s="64">
        <f t="shared" si="4"/>
        <v>308</v>
      </c>
      <c r="H39" s="64" t="s">
        <v>59</v>
      </c>
      <c r="I39" s="64" t="s">
        <v>58</v>
      </c>
      <c r="J39" s="64" t="s">
        <v>95</v>
      </c>
      <c r="K39" s="64" t="s">
        <v>94</v>
      </c>
      <c r="L39" s="64">
        <f t="shared" si="0"/>
        <v>2</v>
      </c>
      <c r="M39" s="64">
        <f t="shared" si="1"/>
        <v>11</v>
      </c>
      <c r="N39" s="64">
        <f t="shared" si="2"/>
        <v>1</v>
      </c>
      <c r="O39">
        <f t="shared" si="3"/>
        <v>23</v>
      </c>
    </row>
    <row r="40" spans="1:21" x14ac:dyDescent="0.2">
      <c r="A40">
        <v>617</v>
      </c>
      <c r="B40" t="b">
        <v>1</v>
      </c>
      <c r="C40" t="s">
        <v>2</v>
      </c>
      <c r="D40" t="s">
        <v>73</v>
      </c>
      <c r="E40" s="64">
        <v>1</v>
      </c>
      <c r="F40" s="64">
        <v>338</v>
      </c>
      <c r="G40" s="64">
        <f t="shared" si="4"/>
        <v>338</v>
      </c>
      <c r="H40" s="64" t="s">
        <v>59</v>
      </c>
      <c r="I40" s="64" t="s">
        <v>58</v>
      </c>
      <c r="J40" s="64" t="s">
        <v>76</v>
      </c>
      <c r="K40" s="64" t="s">
        <v>94</v>
      </c>
      <c r="L40" s="64">
        <f t="shared" si="0"/>
        <v>2</v>
      </c>
      <c r="M40" s="64">
        <f t="shared" si="1"/>
        <v>2</v>
      </c>
      <c r="N40" s="64">
        <f t="shared" si="2"/>
        <v>1</v>
      </c>
      <c r="O40">
        <f t="shared" si="3"/>
        <v>5</v>
      </c>
    </row>
    <row r="41" spans="1:21" x14ac:dyDescent="0.2">
      <c r="A41">
        <v>618</v>
      </c>
      <c r="B41" t="b">
        <v>1</v>
      </c>
      <c r="C41" t="s">
        <v>38</v>
      </c>
      <c r="D41" t="s">
        <v>74</v>
      </c>
      <c r="E41" s="64">
        <v>1</v>
      </c>
      <c r="F41" s="64">
        <v>338</v>
      </c>
      <c r="G41" s="64">
        <f t="shared" si="4"/>
        <v>338</v>
      </c>
      <c r="H41" s="64" t="s">
        <v>59</v>
      </c>
      <c r="I41" s="64" t="s">
        <v>58</v>
      </c>
      <c r="J41" s="64">
        <v>11</v>
      </c>
      <c r="K41" s="64" t="s">
        <v>94</v>
      </c>
      <c r="L41" s="64">
        <f t="shared" si="0"/>
        <v>2</v>
      </c>
      <c r="M41" s="64">
        <f t="shared" si="1"/>
        <v>1</v>
      </c>
      <c r="N41" s="64">
        <f t="shared" si="2"/>
        <v>1</v>
      </c>
      <c r="O41">
        <f t="shared" si="3"/>
        <v>3</v>
      </c>
    </row>
    <row r="42" spans="1:21" x14ac:dyDescent="0.2">
      <c r="A42">
        <v>619</v>
      </c>
      <c r="B42" t="b">
        <v>1</v>
      </c>
      <c r="C42" t="s">
        <v>38</v>
      </c>
      <c r="D42" t="s">
        <v>75</v>
      </c>
      <c r="E42" s="64">
        <v>1</v>
      </c>
      <c r="F42" s="64">
        <v>338</v>
      </c>
      <c r="G42" s="64">
        <f t="shared" si="4"/>
        <v>338</v>
      </c>
      <c r="H42" s="64" t="s">
        <v>59</v>
      </c>
      <c r="I42" s="64" t="s">
        <v>58</v>
      </c>
      <c r="J42" s="64" t="s">
        <v>97</v>
      </c>
      <c r="K42" s="64" t="s">
        <v>94</v>
      </c>
      <c r="L42" s="64">
        <f t="shared" si="0"/>
        <v>2</v>
      </c>
      <c r="M42" s="64">
        <f t="shared" si="1"/>
        <v>8</v>
      </c>
      <c r="N42" s="64">
        <f t="shared" si="2"/>
        <v>1</v>
      </c>
      <c r="O42">
        <f t="shared" si="3"/>
        <v>17</v>
      </c>
    </row>
    <row r="43" spans="1:21" x14ac:dyDescent="0.2">
      <c r="A43">
        <v>620</v>
      </c>
      <c r="B43" t="b">
        <v>1</v>
      </c>
      <c r="C43" t="s">
        <v>51</v>
      </c>
      <c r="D43" t="s">
        <v>77</v>
      </c>
      <c r="E43" s="64">
        <v>1</v>
      </c>
      <c r="F43" s="64">
        <v>338</v>
      </c>
      <c r="G43" s="64">
        <f t="shared" si="4"/>
        <v>338</v>
      </c>
      <c r="H43" s="64" t="s">
        <v>59</v>
      </c>
      <c r="I43" s="64" t="s">
        <v>58</v>
      </c>
      <c r="J43" s="64" t="s">
        <v>95</v>
      </c>
      <c r="K43" s="64" t="s">
        <v>94</v>
      </c>
      <c r="L43" s="64">
        <f t="shared" si="0"/>
        <v>2</v>
      </c>
      <c r="M43" s="64">
        <f t="shared" si="1"/>
        <v>11</v>
      </c>
      <c r="N43" s="64">
        <f t="shared" si="2"/>
        <v>1</v>
      </c>
      <c r="O43">
        <f t="shared" si="3"/>
        <v>23</v>
      </c>
    </row>
    <row r="44" spans="1:21" x14ac:dyDescent="0.2">
      <c r="A44">
        <v>621</v>
      </c>
      <c r="B44" t="b">
        <v>1</v>
      </c>
      <c r="C44" t="s">
        <v>2</v>
      </c>
      <c r="D44" t="s">
        <v>73</v>
      </c>
      <c r="E44" s="64">
        <v>1</v>
      </c>
      <c r="F44" s="64">
        <v>368</v>
      </c>
      <c r="G44" s="64">
        <f t="shared" si="4"/>
        <v>368</v>
      </c>
      <c r="H44" s="64" t="s">
        <v>59</v>
      </c>
      <c r="I44" s="64" t="s">
        <v>58</v>
      </c>
      <c r="J44" s="64" t="s">
        <v>76</v>
      </c>
      <c r="K44" s="64" t="s">
        <v>94</v>
      </c>
      <c r="L44" s="64">
        <f t="shared" si="0"/>
        <v>2</v>
      </c>
      <c r="M44" s="64">
        <f t="shared" si="1"/>
        <v>2</v>
      </c>
      <c r="N44" s="64">
        <f t="shared" si="2"/>
        <v>1</v>
      </c>
      <c r="O44">
        <f t="shared" si="3"/>
        <v>5</v>
      </c>
    </row>
    <row r="45" spans="1:21" x14ac:dyDescent="0.2">
      <c r="A45">
        <v>622</v>
      </c>
      <c r="B45" t="b">
        <v>1</v>
      </c>
      <c r="C45" t="s">
        <v>38</v>
      </c>
      <c r="D45" t="s">
        <v>74</v>
      </c>
      <c r="E45" s="64">
        <v>1</v>
      </c>
      <c r="F45" s="64">
        <v>368</v>
      </c>
      <c r="G45" s="64">
        <f t="shared" si="4"/>
        <v>368</v>
      </c>
      <c r="H45" s="64" t="s">
        <v>59</v>
      </c>
      <c r="I45" s="64" t="s">
        <v>58</v>
      </c>
      <c r="J45" s="64">
        <v>11</v>
      </c>
      <c r="K45" s="64" t="s">
        <v>94</v>
      </c>
      <c r="L45" s="64">
        <f t="shared" si="0"/>
        <v>2</v>
      </c>
      <c r="M45" s="64">
        <f t="shared" si="1"/>
        <v>1</v>
      </c>
      <c r="N45" s="64">
        <f t="shared" si="2"/>
        <v>1</v>
      </c>
      <c r="O45">
        <f t="shared" si="3"/>
        <v>3</v>
      </c>
    </row>
    <row r="46" spans="1:21" x14ac:dyDescent="0.2">
      <c r="A46">
        <v>623</v>
      </c>
      <c r="B46" t="b">
        <v>1</v>
      </c>
      <c r="C46" t="s">
        <v>38</v>
      </c>
      <c r="D46" t="s">
        <v>75</v>
      </c>
      <c r="E46" s="64">
        <v>1</v>
      </c>
      <c r="F46" s="64">
        <v>368</v>
      </c>
      <c r="G46" s="64">
        <f t="shared" si="4"/>
        <v>368</v>
      </c>
      <c r="H46" s="64" t="s">
        <v>59</v>
      </c>
      <c r="I46" s="64" t="s">
        <v>58</v>
      </c>
      <c r="J46" s="64" t="s">
        <v>97</v>
      </c>
      <c r="K46" s="64" t="s">
        <v>94</v>
      </c>
      <c r="L46" s="64">
        <f t="shared" si="0"/>
        <v>2</v>
      </c>
      <c r="M46" s="64">
        <f t="shared" si="1"/>
        <v>8</v>
      </c>
      <c r="N46" s="64">
        <f t="shared" si="2"/>
        <v>1</v>
      </c>
      <c r="O46">
        <f t="shared" si="3"/>
        <v>17</v>
      </c>
    </row>
    <row r="47" spans="1:21" x14ac:dyDescent="0.2">
      <c r="A47">
        <v>624</v>
      </c>
      <c r="B47" t="b">
        <v>1</v>
      </c>
      <c r="C47" t="s">
        <v>51</v>
      </c>
      <c r="D47" t="s">
        <v>77</v>
      </c>
      <c r="E47" s="64">
        <v>1</v>
      </c>
      <c r="F47" s="64">
        <v>368</v>
      </c>
      <c r="G47" s="64">
        <f t="shared" si="4"/>
        <v>368</v>
      </c>
      <c r="H47" s="64" t="s">
        <v>59</v>
      </c>
      <c r="I47" s="64" t="s">
        <v>58</v>
      </c>
      <c r="J47" s="64" t="s">
        <v>95</v>
      </c>
      <c r="K47" s="64" t="s">
        <v>94</v>
      </c>
      <c r="L47" s="64">
        <f t="shared" si="0"/>
        <v>2</v>
      </c>
      <c r="M47" s="64">
        <f t="shared" si="1"/>
        <v>11</v>
      </c>
      <c r="N47" s="64">
        <f t="shared" si="2"/>
        <v>1</v>
      </c>
      <c r="O47">
        <f t="shared" si="3"/>
        <v>23</v>
      </c>
    </row>
    <row r="48" spans="1:21" x14ac:dyDescent="0.2">
      <c r="A48">
        <v>625</v>
      </c>
      <c r="B48" t="b">
        <v>1</v>
      </c>
      <c r="C48" t="s">
        <v>2</v>
      </c>
      <c r="D48" t="s">
        <v>73</v>
      </c>
      <c r="E48" s="64">
        <v>1</v>
      </c>
      <c r="F48" s="64">
        <v>398</v>
      </c>
      <c r="G48" s="64">
        <f t="shared" si="4"/>
        <v>398</v>
      </c>
      <c r="H48" s="64" t="s">
        <v>59</v>
      </c>
      <c r="I48" s="64" t="s">
        <v>58</v>
      </c>
      <c r="J48" s="64" t="s">
        <v>76</v>
      </c>
      <c r="K48" s="64" t="s">
        <v>94</v>
      </c>
      <c r="L48" s="64">
        <f t="shared" si="0"/>
        <v>2</v>
      </c>
      <c r="M48" s="64">
        <f t="shared" si="1"/>
        <v>2</v>
      </c>
      <c r="N48" s="64">
        <f t="shared" si="2"/>
        <v>1</v>
      </c>
      <c r="O48">
        <f t="shared" si="3"/>
        <v>5</v>
      </c>
    </row>
    <row r="49" spans="1:21" x14ac:dyDescent="0.2">
      <c r="A49">
        <v>626</v>
      </c>
      <c r="B49" t="b">
        <v>1</v>
      </c>
      <c r="C49" t="s">
        <v>38</v>
      </c>
      <c r="D49" t="s">
        <v>74</v>
      </c>
      <c r="E49" s="64">
        <v>1</v>
      </c>
      <c r="F49" s="64">
        <v>398</v>
      </c>
      <c r="G49" s="64">
        <f t="shared" si="4"/>
        <v>398</v>
      </c>
      <c r="H49" s="64" t="s">
        <v>59</v>
      </c>
      <c r="I49" s="64" t="s">
        <v>58</v>
      </c>
      <c r="J49" s="64">
        <v>11</v>
      </c>
      <c r="K49" s="64" t="s">
        <v>94</v>
      </c>
      <c r="L49" s="64">
        <f t="shared" si="0"/>
        <v>2</v>
      </c>
      <c r="M49" s="64">
        <f t="shared" si="1"/>
        <v>1</v>
      </c>
      <c r="N49" s="64">
        <f t="shared" si="2"/>
        <v>1</v>
      </c>
      <c r="O49">
        <f t="shared" si="3"/>
        <v>3</v>
      </c>
    </row>
    <row r="50" spans="1:21" x14ac:dyDescent="0.2">
      <c r="A50">
        <v>627</v>
      </c>
      <c r="B50" t="b">
        <v>1</v>
      </c>
      <c r="C50" t="s">
        <v>38</v>
      </c>
      <c r="D50" t="s">
        <v>75</v>
      </c>
      <c r="E50" s="64">
        <v>1</v>
      </c>
      <c r="F50" s="64">
        <v>398</v>
      </c>
      <c r="G50" s="64">
        <f t="shared" si="4"/>
        <v>398</v>
      </c>
      <c r="H50" s="64" t="s">
        <v>59</v>
      </c>
      <c r="I50" s="64" t="s">
        <v>58</v>
      </c>
      <c r="J50" s="64" t="s">
        <v>97</v>
      </c>
      <c r="K50" s="64" t="s">
        <v>94</v>
      </c>
      <c r="L50" s="64">
        <f t="shared" si="0"/>
        <v>2</v>
      </c>
      <c r="M50" s="64">
        <f t="shared" si="1"/>
        <v>8</v>
      </c>
      <c r="N50" s="64">
        <f t="shared" si="2"/>
        <v>1</v>
      </c>
      <c r="O50">
        <f t="shared" si="3"/>
        <v>17</v>
      </c>
    </row>
    <row r="51" spans="1:21" x14ac:dyDescent="0.2">
      <c r="A51">
        <v>628</v>
      </c>
      <c r="B51" t="b">
        <v>1</v>
      </c>
      <c r="C51" t="s">
        <v>51</v>
      </c>
      <c r="D51" t="s">
        <v>77</v>
      </c>
      <c r="E51" s="64">
        <v>1</v>
      </c>
      <c r="F51" s="64">
        <v>398</v>
      </c>
      <c r="G51" s="64">
        <f t="shared" si="4"/>
        <v>398</v>
      </c>
      <c r="H51" s="64" t="s">
        <v>59</v>
      </c>
      <c r="I51" s="64" t="s">
        <v>58</v>
      </c>
      <c r="J51" s="64" t="s">
        <v>95</v>
      </c>
      <c r="K51" s="64" t="s">
        <v>94</v>
      </c>
      <c r="L51" s="64">
        <f t="shared" si="0"/>
        <v>2</v>
      </c>
      <c r="M51" s="64">
        <f t="shared" si="1"/>
        <v>11</v>
      </c>
      <c r="N51" s="64">
        <f t="shared" si="2"/>
        <v>1</v>
      </c>
      <c r="O51">
        <f t="shared" si="3"/>
        <v>23</v>
      </c>
    </row>
    <row r="52" spans="1:21" x14ac:dyDescent="0.2">
      <c r="A52">
        <v>629</v>
      </c>
      <c r="B52" t="b">
        <v>1</v>
      </c>
      <c r="C52" t="s">
        <v>2</v>
      </c>
      <c r="D52" t="s">
        <v>73</v>
      </c>
      <c r="E52" s="64">
        <v>1</v>
      </c>
      <c r="F52" s="64">
        <v>428</v>
      </c>
      <c r="G52" s="64">
        <f t="shared" si="4"/>
        <v>428</v>
      </c>
      <c r="H52" s="64" t="s">
        <v>59</v>
      </c>
      <c r="I52" s="64" t="s">
        <v>58</v>
      </c>
      <c r="J52" s="64" t="s">
        <v>76</v>
      </c>
      <c r="K52" s="64" t="s">
        <v>94</v>
      </c>
      <c r="L52" s="64">
        <f t="shared" si="0"/>
        <v>2</v>
      </c>
      <c r="M52" s="64">
        <f t="shared" si="1"/>
        <v>2</v>
      </c>
      <c r="N52" s="64">
        <f t="shared" si="2"/>
        <v>1</v>
      </c>
      <c r="O52">
        <f t="shared" si="3"/>
        <v>5</v>
      </c>
    </row>
    <row r="53" spans="1:21" x14ac:dyDescent="0.2">
      <c r="A53">
        <v>630</v>
      </c>
      <c r="B53" t="b">
        <v>1</v>
      </c>
      <c r="C53" t="s">
        <v>38</v>
      </c>
      <c r="D53" t="s">
        <v>74</v>
      </c>
      <c r="E53" s="64">
        <v>1</v>
      </c>
      <c r="F53" s="64">
        <v>428</v>
      </c>
      <c r="G53" s="64">
        <f t="shared" si="4"/>
        <v>428</v>
      </c>
      <c r="H53" s="64" t="s">
        <v>59</v>
      </c>
      <c r="I53" s="64" t="s">
        <v>58</v>
      </c>
      <c r="J53" s="64">
        <v>11</v>
      </c>
      <c r="K53" s="64" t="s">
        <v>94</v>
      </c>
      <c r="L53" s="64">
        <f t="shared" si="0"/>
        <v>2</v>
      </c>
      <c r="M53" s="64">
        <f t="shared" si="1"/>
        <v>1</v>
      </c>
      <c r="N53" s="64">
        <f t="shared" si="2"/>
        <v>1</v>
      </c>
      <c r="O53">
        <f t="shared" si="3"/>
        <v>3</v>
      </c>
    </row>
    <row r="54" spans="1:21" x14ac:dyDescent="0.2">
      <c r="A54">
        <v>631</v>
      </c>
      <c r="B54" t="b">
        <v>1</v>
      </c>
      <c r="C54" t="s">
        <v>38</v>
      </c>
      <c r="D54" t="s">
        <v>75</v>
      </c>
      <c r="E54" s="64">
        <v>1</v>
      </c>
      <c r="F54" s="64">
        <v>428</v>
      </c>
      <c r="G54" s="64">
        <f t="shared" si="4"/>
        <v>428</v>
      </c>
      <c r="H54" s="64" t="s">
        <v>59</v>
      </c>
      <c r="I54" s="64" t="s">
        <v>58</v>
      </c>
      <c r="J54" s="64" t="s">
        <v>97</v>
      </c>
      <c r="K54" s="64" t="s">
        <v>94</v>
      </c>
      <c r="L54" s="64">
        <f t="shared" si="0"/>
        <v>2</v>
      </c>
      <c r="M54" s="64">
        <f t="shared" si="1"/>
        <v>8</v>
      </c>
      <c r="N54" s="64">
        <f t="shared" si="2"/>
        <v>1</v>
      </c>
      <c r="O54">
        <f t="shared" si="3"/>
        <v>17</v>
      </c>
    </row>
    <row r="55" spans="1:21" x14ac:dyDescent="0.2">
      <c r="A55">
        <v>632</v>
      </c>
      <c r="B55" t="b">
        <v>1</v>
      </c>
      <c r="C55" t="s">
        <v>51</v>
      </c>
      <c r="D55" t="s">
        <v>77</v>
      </c>
      <c r="E55" s="64">
        <v>1</v>
      </c>
      <c r="F55" s="64">
        <v>428</v>
      </c>
      <c r="G55" s="64">
        <f t="shared" si="4"/>
        <v>428</v>
      </c>
      <c r="H55" s="64" t="s">
        <v>59</v>
      </c>
      <c r="I55" s="64" t="s">
        <v>58</v>
      </c>
      <c r="J55" s="64" t="s">
        <v>95</v>
      </c>
      <c r="K55" s="64" t="s">
        <v>94</v>
      </c>
      <c r="L55" s="64">
        <f t="shared" si="0"/>
        <v>2</v>
      </c>
      <c r="M55" s="64">
        <f t="shared" si="1"/>
        <v>11</v>
      </c>
      <c r="N55" s="64">
        <f t="shared" si="2"/>
        <v>1</v>
      </c>
      <c r="O55">
        <f t="shared" si="3"/>
        <v>23</v>
      </c>
    </row>
    <row r="56" spans="1:21" x14ac:dyDescent="0.2">
      <c r="A56">
        <v>633</v>
      </c>
      <c r="B56" t="b">
        <v>1</v>
      </c>
      <c r="C56" t="s">
        <v>2</v>
      </c>
      <c r="D56" t="s">
        <v>73</v>
      </c>
      <c r="E56" s="64">
        <v>1</v>
      </c>
      <c r="F56" s="64">
        <v>458</v>
      </c>
      <c r="G56" s="64">
        <f t="shared" si="4"/>
        <v>458</v>
      </c>
      <c r="H56" s="64" t="s">
        <v>59</v>
      </c>
      <c r="I56" s="64" t="s">
        <v>58</v>
      </c>
      <c r="J56" s="64" t="s">
        <v>76</v>
      </c>
      <c r="K56" s="64" t="s">
        <v>94</v>
      </c>
      <c r="L56" s="64">
        <f t="shared" si="0"/>
        <v>2</v>
      </c>
      <c r="M56" s="64">
        <f t="shared" si="1"/>
        <v>2</v>
      </c>
      <c r="N56" s="64">
        <f t="shared" si="2"/>
        <v>1</v>
      </c>
      <c r="O56">
        <f t="shared" si="3"/>
        <v>5</v>
      </c>
    </row>
    <row r="57" spans="1:21" x14ac:dyDescent="0.2">
      <c r="A57">
        <v>634</v>
      </c>
      <c r="B57" t="b">
        <v>1</v>
      </c>
      <c r="C57" t="s">
        <v>38</v>
      </c>
      <c r="D57" t="s">
        <v>74</v>
      </c>
      <c r="E57" s="64">
        <v>1</v>
      </c>
      <c r="F57" s="64">
        <v>458</v>
      </c>
      <c r="G57" s="64">
        <f t="shared" si="4"/>
        <v>458</v>
      </c>
      <c r="H57" s="64" t="s">
        <v>59</v>
      </c>
      <c r="I57" s="64" t="s">
        <v>58</v>
      </c>
      <c r="J57" s="64">
        <v>11</v>
      </c>
      <c r="K57" s="64" t="s">
        <v>94</v>
      </c>
      <c r="L57" s="64">
        <f t="shared" si="0"/>
        <v>2</v>
      </c>
      <c r="M57" s="64">
        <f t="shared" si="1"/>
        <v>1</v>
      </c>
      <c r="N57" s="64">
        <f t="shared" si="2"/>
        <v>1</v>
      </c>
      <c r="O57">
        <f t="shared" si="3"/>
        <v>3</v>
      </c>
    </row>
    <row r="58" spans="1:21" x14ac:dyDescent="0.2">
      <c r="A58">
        <v>635</v>
      </c>
      <c r="B58" t="b">
        <v>1</v>
      </c>
      <c r="C58" t="s">
        <v>38</v>
      </c>
      <c r="D58" t="s">
        <v>75</v>
      </c>
      <c r="E58" s="64">
        <v>1</v>
      </c>
      <c r="F58" s="64">
        <v>458</v>
      </c>
      <c r="G58" s="64">
        <f t="shared" si="4"/>
        <v>458</v>
      </c>
      <c r="H58" s="64" t="s">
        <v>59</v>
      </c>
      <c r="I58" s="64" t="s">
        <v>58</v>
      </c>
      <c r="J58" s="64" t="s">
        <v>97</v>
      </c>
      <c r="K58" s="64" t="s">
        <v>94</v>
      </c>
      <c r="L58" s="64">
        <f t="shared" si="0"/>
        <v>2</v>
      </c>
      <c r="M58" s="64">
        <f t="shared" si="1"/>
        <v>8</v>
      </c>
      <c r="N58" s="64">
        <f t="shared" si="2"/>
        <v>1</v>
      </c>
      <c r="O58">
        <f t="shared" si="3"/>
        <v>17</v>
      </c>
    </row>
    <row r="59" spans="1:21" x14ac:dyDescent="0.2">
      <c r="A59">
        <v>636</v>
      </c>
      <c r="B59" t="b">
        <v>1</v>
      </c>
      <c r="C59" t="s">
        <v>51</v>
      </c>
      <c r="D59" t="s">
        <v>77</v>
      </c>
      <c r="E59" s="64">
        <v>1</v>
      </c>
      <c r="F59" s="64">
        <v>458</v>
      </c>
      <c r="G59" s="64">
        <f t="shared" si="4"/>
        <v>458</v>
      </c>
      <c r="H59" s="64" t="s">
        <v>59</v>
      </c>
      <c r="I59" s="64" t="s">
        <v>58</v>
      </c>
      <c r="J59" s="64" t="s">
        <v>95</v>
      </c>
      <c r="K59" s="64" t="s">
        <v>94</v>
      </c>
      <c r="L59" s="64">
        <f t="shared" si="0"/>
        <v>2</v>
      </c>
      <c r="M59" s="64">
        <f t="shared" si="1"/>
        <v>11</v>
      </c>
      <c r="N59" s="64">
        <f t="shared" si="2"/>
        <v>1</v>
      </c>
      <c r="O59">
        <f t="shared" si="3"/>
        <v>23</v>
      </c>
    </row>
    <row r="60" spans="1:21" s="3" customFormat="1" x14ac:dyDescent="0.2">
      <c r="A60" s="61">
        <v>637</v>
      </c>
      <c r="B60" s="61" t="b">
        <v>0</v>
      </c>
      <c r="C60" s="61" t="s">
        <v>39</v>
      </c>
      <c r="D60" s="61" t="s">
        <v>40</v>
      </c>
      <c r="E60" s="63" t="s">
        <v>51</v>
      </c>
      <c r="F60" s="63" t="s">
        <v>51</v>
      </c>
      <c r="G60" s="63" t="s">
        <v>51</v>
      </c>
      <c r="H60" s="63" t="s">
        <v>51</v>
      </c>
      <c r="I60" s="63" t="s">
        <v>51</v>
      </c>
      <c r="J60" s="63" t="s">
        <v>51</v>
      </c>
      <c r="K60" s="63" t="s">
        <v>51</v>
      </c>
      <c r="L60" s="63">
        <f t="shared" si="0"/>
        <v>1</v>
      </c>
      <c r="M60" s="63">
        <f t="shared" si="1"/>
        <v>1</v>
      </c>
      <c r="N60" s="63">
        <f t="shared" si="2"/>
        <v>0</v>
      </c>
      <c r="O60" s="61">
        <f t="shared" si="3"/>
        <v>1</v>
      </c>
      <c r="P60" s="61"/>
      <c r="Q60" s="61"/>
      <c r="R60" s="61"/>
      <c r="S60" s="61"/>
      <c r="T60" s="61"/>
      <c r="U60" s="61"/>
    </row>
    <row r="61" spans="1:21" x14ac:dyDescent="0.2">
      <c r="A61">
        <v>638</v>
      </c>
      <c r="B61" t="b">
        <v>1</v>
      </c>
      <c r="C61" t="s">
        <v>41</v>
      </c>
      <c r="D61" t="s">
        <v>74</v>
      </c>
      <c r="E61" s="64">
        <v>1</v>
      </c>
      <c r="F61" s="64">
        <v>490</v>
      </c>
      <c r="G61" s="64">
        <f>F61</f>
        <v>490</v>
      </c>
      <c r="H61" s="64" t="s">
        <v>59</v>
      </c>
      <c r="I61" s="64" t="s">
        <v>58</v>
      </c>
      <c r="J61" s="64">
        <v>4</v>
      </c>
      <c r="K61" s="64" t="s">
        <v>94</v>
      </c>
      <c r="L61" s="64">
        <f t="shared" si="0"/>
        <v>2</v>
      </c>
      <c r="M61" s="64">
        <f t="shared" si="1"/>
        <v>1</v>
      </c>
      <c r="N61" s="64">
        <f t="shared" si="2"/>
        <v>1</v>
      </c>
      <c r="O61">
        <f t="shared" si="3"/>
        <v>3</v>
      </c>
    </row>
    <row r="62" spans="1:21" x14ac:dyDescent="0.2">
      <c r="A62">
        <v>639</v>
      </c>
      <c r="B62" t="b">
        <v>1</v>
      </c>
      <c r="C62" t="s">
        <v>41</v>
      </c>
      <c r="D62" t="s">
        <v>75</v>
      </c>
      <c r="E62" s="64">
        <v>1</v>
      </c>
      <c r="F62" s="64">
        <v>490</v>
      </c>
      <c r="G62" s="64">
        <f t="shared" ref="G62:G69" si="5">F62</f>
        <v>490</v>
      </c>
      <c r="H62" s="64" t="s">
        <v>59</v>
      </c>
      <c r="I62" s="64" t="s">
        <v>58</v>
      </c>
      <c r="J62" s="64" t="s">
        <v>228</v>
      </c>
      <c r="K62" s="64" t="s">
        <v>94</v>
      </c>
      <c r="L62" s="64">
        <f t="shared" si="0"/>
        <v>2</v>
      </c>
      <c r="M62" s="64">
        <f t="shared" si="1"/>
        <v>12</v>
      </c>
      <c r="N62" s="64">
        <f t="shared" si="2"/>
        <v>1</v>
      </c>
      <c r="O62">
        <f t="shared" si="3"/>
        <v>25</v>
      </c>
    </row>
    <row r="63" spans="1:21" x14ac:dyDescent="0.2">
      <c r="A63">
        <v>640</v>
      </c>
      <c r="B63" t="b">
        <v>1</v>
      </c>
      <c r="C63" t="s">
        <v>41</v>
      </c>
      <c r="D63" t="s">
        <v>77</v>
      </c>
      <c r="E63" s="64">
        <v>1</v>
      </c>
      <c r="F63" s="64">
        <v>490</v>
      </c>
      <c r="G63" s="64">
        <f t="shared" si="5"/>
        <v>490</v>
      </c>
      <c r="H63" s="64" t="s">
        <v>59</v>
      </c>
      <c r="I63" s="64" t="s">
        <v>58</v>
      </c>
      <c r="J63" s="64" t="s">
        <v>229</v>
      </c>
      <c r="K63" s="64" t="s">
        <v>94</v>
      </c>
      <c r="L63" s="64">
        <f t="shared" si="0"/>
        <v>2</v>
      </c>
      <c r="M63" s="64">
        <f t="shared" si="1"/>
        <v>13</v>
      </c>
      <c r="N63" s="64">
        <f t="shared" si="2"/>
        <v>1</v>
      </c>
      <c r="O63">
        <f t="shared" si="3"/>
        <v>27</v>
      </c>
    </row>
    <row r="64" spans="1:21" x14ac:dyDescent="0.2">
      <c r="A64">
        <v>641</v>
      </c>
      <c r="B64" t="b">
        <v>1</v>
      </c>
      <c r="C64" t="s">
        <v>41</v>
      </c>
      <c r="D64" t="s">
        <v>74</v>
      </c>
      <c r="E64" s="64">
        <v>1</v>
      </c>
      <c r="F64" s="64">
        <v>517</v>
      </c>
      <c r="G64" s="64">
        <f t="shared" si="5"/>
        <v>517</v>
      </c>
      <c r="H64" s="64" t="s">
        <v>59</v>
      </c>
      <c r="I64" s="64" t="s">
        <v>58</v>
      </c>
      <c r="J64" s="64">
        <v>4</v>
      </c>
      <c r="K64" s="64" t="s">
        <v>94</v>
      </c>
      <c r="L64" s="64">
        <f t="shared" si="0"/>
        <v>2</v>
      </c>
      <c r="M64" s="64">
        <f t="shared" si="1"/>
        <v>1</v>
      </c>
      <c r="N64" s="64">
        <f t="shared" si="2"/>
        <v>1</v>
      </c>
      <c r="O64">
        <f t="shared" si="3"/>
        <v>3</v>
      </c>
    </row>
    <row r="65" spans="1:15" x14ac:dyDescent="0.2">
      <c r="A65">
        <v>642</v>
      </c>
      <c r="B65" t="b">
        <v>1</v>
      </c>
      <c r="C65" t="s">
        <v>41</v>
      </c>
      <c r="D65" t="s">
        <v>75</v>
      </c>
      <c r="E65" s="64">
        <v>1</v>
      </c>
      <c r="F65" s="64">
        <v>517</v>
      </c>
      <c r="G65" s="64">
        <f t="shared" si="5"/>
        <v>517</v>
      </c>
      <c r="H65" s="64" t="s">
        <v>59</v>
      </c>
      <c r="I65" s="64" t="s">
        <v>58</v>
      </c>
      <c r="J65" s="64" t="s">
        <v>228</v>
      </c>
      <c r="K65" s="64" t="s">
        <v>94</v>
      </c>
      <c r="L65" s="64">
        <f t="shared" si="0"/>
        <v>2</v>
      </c>
      <c r="M65" s="64">
        <f t="shared" si="1"/>
        <v>12</v>
      </c>
      <c r="N65" s="64">
        <f t="shared" si="2"/>
        <v>1</v>
      </c>
      <c r="O65">
        <f t="shared" si="3"/>
        <v>25</v>
      </c>
    </row>
    <row r="66" spans="1:15" x14ac:dyDescent="0.2">
      <c r="A66">
        <v>643</v>
      </c>
      <c r="B66" t="b">
        <v>1</v>
      </c>
      <c r="C66" t="s">
        <v>41</v>
      </c>
      <c r="D66" t="s">
        <v>77</v>
      </c>
      <c r="E66" s="64">
        <v>1</v>
      </c>
      <c r="F66" s="64">
        <v>517</v>
      </c>
      <c r="G66" s="64">
        <f t="shared" si="5"/>
        <v>517</v>
      </c>
      <c r="H66" s="64" t="s">
        <v>59</v>
      </c>
      <c r="I66" s="64" t="s">
        <v>58</v>
      </c>
      <c r="J66" s="64" t="s">
        <v>229</v>
      </c>
      <c r="K66" s="64" t="s">
        <v>94</v>
      </c>
      <c r="L66" s="64">
        <f t="shared" si="0"/>
        <v>2</v>
      </c>
      <c r="M66" s="64">
        <f t="shared" si="1"/>
        <v>13</v>
      </c>
      <c r="N66" s="64">
        <f t="shared" si="2"/>
        <v>1</v>
      </c>
      <c r="O66">
        <f t="shared" si="3"/>
        <v>27</v>
      </c>
    </row>
    <row r="67" spans="1:15" x14ac:dyDescent="0.2">
      <c r="A67">
        <v>644</v>
      </c>
      <c r="B67" t="b">
        <v>1</v>
      </c>
      <c r="C67" t="s">
        <v>41</v>
      </c>
      <c r="D67" t="s">
        <v>74</v>
      </c>
      <c r="E67" s="64">
        <v>1</v>
      </c>
      <c r="F67" s="64">
        <v>544</v>
      </c>
      <c r="G67" s="64">
        <f t="shared" si="5"/>
        <v>544</v>
      </c>
      <c r="H67" s="64" t="s">
        <v>59</v>
      </c>
      <c r="I67" s="64" t="s">
        <v>58</v>
      </c>
      <c r="J67" s="64">
        <v>4</v>
      </c>
      <c r="K67" s="64" t="s">
        <v>94</v>
      </c>
      <c r="L67" s="64">
        <f t="shared" si="0"/>
        <v>2</v>
      </c>
      <c r="M67" s="64">
        <f t="shared" si="1"/>
        <v>1</v>
      </c>
      <c r="N67" s="64">
        <f t="shared" si="2"/>
        <v>1</v>
      </c>
      <c r="O67">
        <f t="shared" si="3"/>
        <v>3</v>
      </c>
    </row>
    <row r="68" spans="1:15" x14ac:dyDescent="0.2">
      <c r="A68">
        <v>645</v>
      </c>
      <c r="B68" t="b">
        <v>1</v>
      </c>
      <c r="C68" t="s">
        <v>41</v>
      </c>
      <c r="D68" t="s">
        <v>75</v>
      </c>
      <c r="E68" s="64">
        <v>1</v>
      </c>
      <c r="F68" s="64">
        <v>544</v>
      </c>
      <c r="G68" s="64">
        <f t="shared" si="5"/>
        <v>544</v>
      </c>
      <c r="H68" s="64" t="s">
        <v>59</v>
      </c>
      <c r="I68" s="64" t="s">
        <v>58</v>
      </c>
      <c r="J68" s="64" t="s">
        <v>228</v>
      </c>
      <c r="K68" s="64" t="s">
        <v>94</v>
      </c>
      <c r="L68" s="64">
        <f t="shared" ref="L68:L69" si="6">NumElements(H68,",")</f>
        <v>2</v>
      </c>
      <c r="M68" s="64">
        <f t="shared" ref="M68:M69" si="7">NumElements(J68,",")</f>
        <v>12</v>
      </c>
      <c r="N68" s="64">
        <f t="shared" ref="N68:N69" si="8">IF(NOT(OR(K68="NONE",K68="NA")),1,0)</f>
        <v>1</v>
      </c>
      <c r="O68">
        <f t="shared" ref="O68:O69" si="9">(L68*M68)+N68</f>
        <v>25</v>
      </c>
    </row>
    <row r="69" spans="1:15" x14ac:dyDescent="0.2">
      <c r="A69">
        <v>646</v>
      </c>
      <c r="B69" t="b">
        <v>1</v>
      </c>
      <c r="C69" t="s">
        <v>41</v>
      </c>
      <c r="D69" t="s">
        <v>77</v>
      </c>
      <c r="E69" s="64">
        <v>1</v>
      </c>
      <c r="F69" s="64">
        <v>544</v>
      </c>
      <c r="G69" s="64">
        <f t="shared" si="5"/>
        <v>544</v>
      </c>
      <c r="H69" s="64" t="s">
        <v>59</v>
      </c>
      <c r="I69" s="64" t="s">
        <v>58</v>
      </c>
      <c r="J69" s="64" t="s">
        <v>229</v>
      </c>
      <c r="K69" s="64" t="s">
        <v>94</v>
      </c>
      <c r="L69" s="101">
        <f t="shared" si="6"/>
        <v>2</v>
      </c>
      <c r="M69" s="101">
        <f t="shared" si="7"/>
        <v>13</v>
      </c>
      <c r="N69" s="101">
        <f t="shared" si="8"/>
        <v>1</v>
      </c>
      <c r="O69" s="52">
        <f t="shared" si="9"/>
        <v>27</v>
      </c>
    </row>
    <row r="70" spans="1:15" x14ac:dyDescent="0.2">
      <c r="O70">
        <f>SUM(O2:O69)</f>
        <v>881</v>
      </c>
    </row>
  </sheetData>
  <dataConsolidate/>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9" tint="0.59999389629810485"/>
  </sheetPr>
  <dimension ref="A1:J57"/>
  <sheetViews>
    <sheetView zoomScaleNormal="100" workbookViewId="0">
      <pane ySplit="1" topLeftCell="A31" activePane="bottomLeft" state="frozen"/>
      <selection activeCell="A2" sqref="A2"/>
      <selection pane="bottomLeft" activeCell="A2" sqref="A2"/>
    </sheetView>
  </sheetViews>
  <sheetFormatPr baseColWidth="10" defaultColWidth="8.83203125" defaultRowHeight="15" x14ac:dyDescent="0.2"/>
  <cols>
    <col min="1" max="1" width="5.5" bestFit="1" customWidth="1"/>
    <col min="2" max="2" width="11.33203125" bestFit="1" customWidth="1"/>
    <col min="3" max="3" width="9.5" customWidth="1"/>
    <col min="4" max="4" width="10.6640625" style="85" bestFit="1" customWidth="1"/>
    <col min="5" max="5" width="32" customWidth="1"/>
    <col min="6" max="6" width="10.6640625" customWidth="1"/>
    <col min="7" max="7" width="46.33203125" bestFit="1" customWidth="1"/>
    <col min="8" max="8" width="42.5" bestFit="1" customWidth="1"/>
    <col min="10" max="10" width="80.33203125" bestFit="1" customWidth="1"/>
  </cols>
  <sheetData>
    <row r="1" spans="1:10" x14ac:dyDescent="0.2">
      <c r="A1" s="59" t="s">
        <v>111</v>
      </c>
      <c r="B1" s="59" t="s">
        <v>50</v>
      </c>
      <c r="C1" s="84" t="s">
        <v>189</v>
      </c>
      <c r="D1" s="84" t="s">
        <v>185</v>
      </c>
      <c r="E1" s="59" t="s">
        <v>186</v>
      </c>
      <c r="F1" s="59" t="s">
        <v>187</v>
      </c>
      <c r="G1" s="59" t="s">
        <v>112</v>
      </c>
      <c r="H1" s="59" t="s">
        <v>113</v>
      </c>
      <c r="I1" s="59" t="s">
        <v>114</v>
      </c>
      <c r="J1" s="59" t="s">
        <v>116</v>
      </c>
    </row>
    <row r="2" spans="1:10" x14ac:dyDescent="0.2">
      <c r="A2">
        <v>1</v>
      </c>
      <c r="B2" t="s">
        <v>28</v>
      </c>
      <c r="C2" s="64" t="s">
        <v>188</v>
      </c>
      <c r="D2" s="85">
        <v>1</v>
      </c>
      <c r="E2" t="s">
        <v>149</v>
      </c>
      <c r="F2" t="s">
        <v>248</v>
      </c>
      <c r="G2" t="s">
        <v>266</v>
      </c>
      <c r="H2" t="s">
        <v>267</v>
      </c>
      <c r="I2" t="s">
        <v>115</v>
      </c>
      <c r="J2" t="s">
        <v>247</v>
      </c>
    </row>
    <row r="3" spans="1:10" x14ac:dyDescent="0.2">
      <c r="A3">
        <v>2</v>
      </c>
      <c r="C3" s="64" t="s">
        <v>188</v>
      </c>
      <c r="D3" s="85">
        <v>2</v>
      </c>
      <c r="E3" t="s">
        <v>150</v>
      </c>
      <c r="F3" t="s">
        <v>248</v>
      </c>
      <c r="G3" t="s">
        <v>266</v>
      </c>
      <c r="H3" t="s">
        <v>267</v>
      </c>
      <c r="I3" t="s">
        <v>115</v>
      </c>
    </row>
    <row r="4" spans="1:10" x14ac:dyDescent="0.2">
      <c r="A4">
        <v>3</v>
      </c>
      <c r="B4" t="s">
        <v>151</v>
      </c>
      <c r="C4" s="64" t="s">
        <v>188</v>
      </c>
      <c r="D4" s="85">
        <v>3</v>
      </c>
      <c r="E4" t="s">
        <v>152</v>
      </c>
      <c r="F4" t="s">
        <v>249</v>
      </c>
      <c r="G4" t="s">
        <v>266</v>
      </c>
      <c r="H4" t="s">
        <v>267</v>
      </c>
      <c r="I4" t="s">
        <v>115</v>
      </c>
      <c r="J4" t="str">
        <f>G4&amp;H4&amp;LEFT(F4,5)&amp;"="&amp;RIGHT(F4,LEN(F4)-5)&amp;"&amp;"&amp;I4</f>
        <v>https://www.mgic.com/-/media/value-adds/seb/22-25000-sam-worksheet-help-doc.pdf#page=3&amp;view=fit</v>
      </c>
    </row>
    <row r="5" spans="1:10" x14ac:dyDescent="0.2">
      <c r="A5">
        <v>4</v>
      </c>
      <c r="C5" s="64" t="s">
        <v>188</v>
      </c>
      <c r="D5" s="85">
        <v>4</v>
      </c>
      <c r="E5" t="s">
        <v>153</v>
      </c>
      <c r="F5" t="s">
        <v>249</v>
      </c>
      <c r="G5" t="s">
        <v>266</v>
      </c>
      <c r="H5" t="s">
        <v>267</v>
      </c>
      <c r="I5" t="s">
        <v>115</v>
      </c>
    </row>
    <row r="6" spans="1:10" x14ac:dyDescent="0.2">
      <c r="A6">
        <v>5</v>
      </c>
      <c r="C6" s="64" t="s">
        <v>188</v>
      </c>
      <c r="D6" s="85">
        <v>5</v>
      </c>
      <c r="E6" t="s">
        <v>154</v>
      </c>
      <c r="F6" t="s">
        <v>249</v>
      </c>
      <c r="G6" t="s">
        <v>266</v>
      </c>
      <c r="H6" t="s">
        <v>267</v>
      </c>
      <c r="I6" t="s">
        <v>115</v>
      </c>
    </row>
    <row r="7" spans="1:10" x14ac:dyDescent="0.2">
      <c r="A7">
        <v>6</v>
      </c>
      <c r="C7" s="64" t="s">
        <v>188</v>
      </c>
      <c r="D7" s="85">
        <v>6</v>
      </c>
      <c r="E7" t="s">
        <v>155</v>
      </c>
      <c r="F7" t="s">
        <v>249</v>
      </c>
      <c r="G7" t="s">
        <v>266</v>
      </c>
      <c r="H7" t="s">
        <v>267</v>
      </c>
      <c r="I7" t="s">
        <v>115</v>
      </c>
    </row>
    <row r="8" spans="1:10" x14ac:dyDescent="0.2">
      <c r="A8">
        <v>7</v>
      </c>
      <c r="C8" s="64" t="s">
        <v>188</v>
      </c>
      <c r="D8" s="85">
        <v>7</v>
      </c>
      <c r="E8" t="s">
        <v>156</v>
      </c>
      <c r="F8" t="s">
        <v>249</v>
      </c>
      <c r="G8" t="s">
        <v>266</v>
      </c>
      <c r="H8" t="s">
        <v>267</v>
      </c>
      <c r="I8" t="s">
        <v>115</v>
      </c>
    </row>
    <row r="9" spans="1:10" x14ac:dyDescent="0.2">
      <c r="A9">
        <v>8</v>
      </c>
      <c r="C9" s="64" t="s">
        <v>188</v>
      </c>
      <c r="D9" s="85">
        <v>8</v>
      </c>
      <c r="E9" t="s">
        <v>157</v>
      </c>
      <c r="F9" t="s">
        <v>249</v>
      </c>
      <c r="G9" t="s">
        <v>266</v>
      </c>
      <c r="H9" t="s">
        <v>267</v>
      </c>
      <c r="I9" t="s">
        <v>115</v>
      </c>
    </row>
    <row r="10" spans="1:10" x14ac:dyDescent="0.2">
      <c r="A10">
        <v>9</v>
      </c>
      <c r="C10" s="64" t="s">
        <v>188</v>
      </c>
      <c r="D10" s="85">
        <v>9</v>
      </c>
      <c r="E10" t="s">
        <v>158</v>
      </c>
      <c r="F10" t="s">
        <v>250</v>
      </c>
      <c r="G10" t="s">
        <v>266</v>
      </c>
      <c r="H10" t="s">
        <v>267</v>
      </c>
      <c r="I10" t="s">
        <v>115</v>
      </c>
    </row>
    <row r="11" spans="1:10" x14ac:dyDescent="0.2">
      <c r="A11">
        <v>10</v>
      </c>
      <c r="C11" s="64" t="s">
        <v>188</v>
      </c>
      <c r="D11" s="85" t="s">
        <v>100</v>
      </c>
      <c r="E11" t="s">
        <v>159</v>
      </c>
      <c r="F11" t="s">
        <v>250</v>
      </c>
      <c r="G11" t="s">
        <v>266</v>
      </c>
      <c r="H11" t="s">
        <v>267</v>
      </c>
      <c r="I11" t="s">
        <v>115</v>
      </c>
    </row>
    <row r="12" spans="1:10" x14ac:dyDescent="0.2">
      <c r="A12">
        <v>11</v>
      </c>
      <c r="C12" s="64" t="s">
        <v>188</v>
      </c>
      <c r="D12" s="85" t="s">
        <v>101</v>
      </c>
      <c r="E12" t="s">
        <v>160</v>
      </c>
      <c r="F12" t="s">
        <v>250</v>
      </c>
      <c r="G12" t="s">
        <v>266</v>
      </c>
      <c r="H12" t="s">
        <v>267</v>
      </c>
      <c r="I12" t="s">
        <v>115</v>
      </c>
    </row>
    <row r="13" spans="1:10" x14ac:dyDescent="0.2">
      <c r="A13">
        <v>12</v>
      </c>
      <c r="C13" s="64" t="s">
        <v>188</v>
      </c>
      <c r="D13" s="85">
        <v>11</v>
      </c>
      <c r="E13" t="s">
        <v>161</v>
      </c>
      <c r="F13" t="s">
        <v>250</v>
      </c>
      <c r="G13" t="s">
        <v>266</v>
      </c>
      <c r="H13" t="s">
        <v>267</v>
      </c>
      <c r="I13" t="s">
        <v>115</v>
      </c>
    </row>
    <row r="14" spans="1:10" x14ac:dyDescent="0.2">
      <c r="A14">
        <v>13</v>
      </c>
      <c r="B14" t="s">
        <v>31</v>
      </c>
      <c r="C14" s="64" t="s">
        <v>188</v>
      </c>
      <c r="D14" s="85">
        <v>12</v>
      </c>
      <c r="E14" t="s">
        <v>162</v>
      </c>
      <c r="F14" t="s">
        <v>251</v>
      </c>
      <c r="G14" t="s">
        <v>266</v>
      </c>
      <c r="H14" t="s">
        <v>267</v>
      </c>
      <c r="I14" t="s">
        <v>115</v>
      </c>
    </row>
    <row r="15" spans="1:10" x14ac:dyDescent="0.2">
      <c r="A15">
        <v>14</v>
      </c>
      <c r="B15" t="s">
        <v>32</v>
      </c>
      <c r="C15" s="64" t="s">
        <v>188</v>
      </c>
      <c r="D15" s="85">
        <v>13</v>
      </c>
      <c r="E15" t="s">
        <v>163</v>
      </c>
      <c r="F15" t="s">
        <v>252</v>
      </c>
      <c r="G15" t="s">
        <v>266</v>
      </c>
      <c r="H15" t="s">
        <v>267</v>
      </c>
      <c r="I15" t="s">
        <v>115</v>
      </c>
    </row>
    <row r="16" spans="1:10" x14ac:dyDescent="0.2">
      <c r="A16">
        <v>15</v>
      </c>
      <c r="C16" s="64" t="s">
        <v>188</v>
      </c>
      <c r="D16" s="85">
        <v>14</v>
      </c>
      <c r="E16" t="s">
        <v>164</v>
      </c>
      <c r="F16" t="s">
        <v>252</v>
      </c>
      <c r="G16" t="s">
        <v>266</v>
      </c>
      <c r="H16" t="s">
        <v>267</v>
      </c>
      <c r="I16" t="s">
        <v>115</v>
      </c>
    </row>
    <row r="17" spans="1:9" x14ac:dyDescent="0.2">
      <c r="A17">
        <v>16</v>
      </c>
      <c r="C17" s="64" t="s">
        <v>188</v>
      </c>
      <c r="D17" s="85">
        <v>15</v>
      </c>
      <c r="E17" t="s">
        <v>154</v>
      </c>
      <c r="F17" t="s">
        <v>252</v>
      </c>
      <c r="G17" t="s">
        <v>266</v>
      </c>
      <c r="H17" t="s">
        <v>267</v>
      </c>
      <c r="I17" t="s">
        <v>115</v>
      </c>
    </row>
    <row r="18" spans="1:9" x14ac:dyDescent="0.2">
      <c r="A18">
        <v>17</v>
      </c>
      <c r="B18" t="s">
        <v>33</v>
      </c>
      <c r="C18" s="64" t="s">
        <v>188</v>
      </c>
      <c r="D18" s="85">
        <v>16</v>
      </c>
      <c r="E18" t="s">
        <v>165</v>
      </c>
      <c r="F18" t="s">
        <v>253</v>
      </c>
      <c r="G18" t="s">
        <v>266</v>
      </c>
      <c r="H18" t="s">
        <v>267</v>
      </c>
      <c r="I18" t="s">
        <v>115</v>
      </c>
    </row>
    <row r="19" spans="1:9" x14ac:dyDescent="0.2">
      <c r="A19">
        <v>18</v>
      </c>
      <c r="C19" s="64" t="s">
        <v>188</v>
      </c>
      <c r="D19" s="85">
        <v>17</v>
      </c>
      <c r="E19" t="s">
        <v>166</v>
      </c>
      <c r="F19" t="s">
        <v>253</v>
      </c>
      <c r="G19" t="s">
        <v>266</v>
      </c>
      <c r="H19" t="s">
        <v>267</v>
      </c>
      <c r="I19" t="s">
        <v>115</v>
      </c>
    </row>
    <row r="20" spans="1:9" x14ac:dyDescent="0.2">
      <c r="A20">
        <v>19</v>
      </c>
      <c r="C20" s="64" t="s">
        <v>188</v>
      </c>
      <c r="D20" s="85">
        <v>18</v>
      </c>
      <c r="E20" t="s">
        <v>153</v>
      </c>
      <c r="F20" t="s">
        <v>253</v>
      </c>
      <c r="G20" t="s">
        <v>266</v>
      </c>
      <c r="H20" t="s">
        <v>267</v>
      </c>
      <c r="I20" t="s">
        <v>115</v>
      </c>
    </row>
    <row r="21" spans="1:9" x14ac:dyDescent="0.2">
      <c r="A21">
        <v>20</v>
      </c>
      <c r="C21" s="64" t="s">
        <v>188</v>
      </c>
      <c r="D21" s="85">
        <v>19</v>
      </c>
      <c r="E21" t="s">
        <v>155</v>
      </c>
      <c r="F21" t="s">
        <v>253</v>
      </c>
      <c r="G21" t="s">
        <v>266</v>
      </c>
      <c r="H21" t="s">
        <v>267</v>
      </c>
      <c r="I21" t="s">
        <v>115</v>
      </c>
    </row>
    <row r="22" spans="1:9" x14ac:dyDescent="0.2">
      <c r="A22">
        <v>21</v>
      </c>
      <c r="C22" s="64" t="s">
        <v>188</v>
      </c>
      <c r="D22" s="85">
        <v>20</v>
      </c>
      <c r="E22" t="s">
        <v>161</v>
      </c>
      <c r="F22" t="s">
        <v>253</v>
      </c>
      <c r="G22" t="s">
        <v>266</v>
      </c>
      <c r="H22" t="s">
        <v>267</v>
      </c>
      <c r="I22" t="s">
        <v>115</v>
      </c>
    </row>
    <row r="23" spans="1:9" x14ac:dyDescent="0.2">
      <c r="A23">
        <v>22</v>
      </c>
      <c r="C23" s="64" t="s">
        <v>188</v>
      </c>
      <c r="D23" s="85">
        <v>21</v>
      </c>
      <c r="E23" t="s">
        <v>157</v>
      </c>
      <c r="F23" t="s">
        <v>253</v>
      </c>
      <c r="G23" t="s">
        <v>266</v>
      </c>
      <c r="H23" t="s">
        <v>267</v>
      </c>
      <c r="I23" t="s">
        <v>115</v>
      </c>
    </row>
    <row r="24" spans="1:9" x14ac:dyDescent="0.2">
      <c r="A24">
        <v>23</v>
      </c>
      <c r="B24" t="s">
        <v>167</v>
      </c>
      <c r="C24" s="64" t="s">
        <v>188</v>
      </c>
      <c r="D24" s="85">
        <v>22</v>
      </c>
      <c r="E24" t="s">
        <v>168</v>
      </c>
      <c r="F24" t="s">
        <v>254</v>
      </c>
      <c r="G24" t="s">
        <v>266</v>
      </c>
      <c r="H24" t="s">
        <v>267</v>
      </c>
      <c r="I24" t="s">
        <v>115</v>
      </c>
    </row>
    <row r="25" spans="1:9" x14ac:dyDescent="0.2">
      <c r="A25">
        <v>24</v>
      </c>
      <c r="C25" s="64" t="s">
        <v>188</v>
      </c>
      <c r="D25" s="85">
        <v>23</v>
      </c>
      <c r="E25" t="s">
        <v>169</v>
      </c>
      <c r="F25" t="s">
        <v>254</v>
      </c>
      <c r="G25" t="s">
        <v>266</v>
      </c>
      <c r="H25" t="s">
        <v>267</v>
      </c>
      <c r="I25" t="s">
        <v>115</v>
      </c>
    </row>
    <row r="26" spans="1:9" x14ac:dyDescent="0.2">
      <c r="A26">
        <v>25</v>
      </c>
      <c r="C26" s="64" t="s">
        <v>188</v>
      </c>
      <c r="D26" s="85">
        <v>24</v>
      </c>
      <c r="E26" t="s">
        <v>170</v>
      </c>
      <c r="F26" t="s">
        <v>254</v>
      </c>
      <c r="G26" t="s">
        <v>266</v>
      </c>
      <c r="H26" t="s">
        <v>267</v>
      </c>
      <c r="I26" t="s">
        <v>115</v>
      </c>
    </row>
    <row r="27" spans="1:9" x14ac:dyDescent="0.2">
      <c r="A27">
        <v>26</v>
      </c>
      <c r="C27" s="64" t="s">
        <v>188</v>
      </c>
      <c r="D27" s="85">
        <v>25</v>
      </c>
      <c r="E27" t="s">
        <v>171</v>
      </c>
      <c r="F27" t="s">
        <v>254</v>
      </c>
      <c r="G27" t="s">
        <v>266</v>
      </c>
      <c r="H27" t="s">
        <v>267</v>
      </c>
      <c r="I27" t="s">
        <v>115</v>
      </c>
    </row>
    <row r="28" spans="1:9" x14ac:dyDescent="0.2">
      <c r="A28">
        <v>27</v>
      </c>
      <c r="C28" s="64" t="s">
        <v>188</v>
      </c>
      <c r="D28" s="85">
        <v>26</v>
      </c>
      <c r="E28" t="s">
        <v>173</v>
      </c>
      <c r="F28" t="s">
        <v>255</v>
      </c>
      <c r="G28" t="s">
        <v>266</v>
      </c>
      <c r="H28" t="s">
        <v>267</v>
      </c>
      <c r="I28" t="s">
        <v>115</v>
      </c>
    </row>
    <row r="29" spans="1:9" x14ac:dyDescent="0.2">
      <c r="A29">
        <v>28</v>
      </c>
      <c r="C29" s="64" t="s">
        <v>188</v>
      </c>
      <c r="D29" s="85">
        <v>27</v>
      </c>
      <c r="E29" t="s">
        <v>153</v>
      </c>
      <c r="F29" t="s">
        <v>255</v>
      </c>
      <c r="G29" t="s">
        <v>266</v>
      </c>
      <c r="H29" t="s">
        <v>267</v>
      </c>
      <c r="I29" t="s">
        <v>115</v>
      </c>
    </row>
    <row r="30" spans="1:9" x14ac:dyDescent="0.2">
      <c r="A30">
        <v>29</v>
      </c>
      <c r="C30" s="64" t="s">
        <v>188</v>
      </c>
      <c r="D30" s="85">
        <v>28</v>
      </c>
      <c r="E30" t="s">
        <v>174</v>
      </c>
      <c r="F30" t="s">
        <v>255</v>
      </c>
      <c r="G30" t="s">
        <v>266</v>
      </c>
      <c r="H30" t="s">
        <v>267</v>
      </c>
      <c r="I30" t="s">
        <v>115</v>
      </c>
    </row>
    <row r="31" spans="1:9" x14ac:dyDescent="0.2">
      <c r="A31">
        <v>30</v>
      </c>
      <c r="C31" s="64" t="s">
        <v>188</v>
      </c>
      <c r="D31" s="85">
        <v>29</v>
      </c>
      <c r="E31" t="s">
        <v>175</v>
      </c>
      <c r="F31" s="70" t="s">
        <v>248</v>
      </c>
      <c r="G31" t="s">
        <v>266</v>
      </c>
      <c r="H31" t="s">
        <v>267</v>
      </c>
      <c r="I31" t="s">
        <v>115</v>
      </c>
    </row>
    <row r="32" spans="1:9" x14ac:dyDescent="0.2">
      <c r="A32">
        <v>31</v>
      </c>
      <c r="C32" s="64" t="s">
        <v>188</v>
      </c>
      <c r="D32" s="85">
        <v>30</v>
      </c>
      <c r="E32" t="s">
        <v>154</v>
      </c>
      <c r="F32" t="s">
        <v>255</v>
      </c>
      <c r="G32" t="s">
        <v>266</v>
      </c>
      <c r="H32" t="s">
        <v>267</v>
      </c>
      <c r="I32" t="s">
        <v>115</v>
      </c>
    </row>
    <row r="33" spans="1:9" x14ac:dyDescent="0.2">
      <c r="A33">
        <v>32</v>
      </c>
      <c r="C33" s="64" t="s">
        <v>188</v>
      </c>
      <c r="D33" s="85">
        <v>31</v>
      </c>
      <c r="E33" t="s">
        <v>161</v>
      </c>
      <c r="F33" t="s">
        <v>255</v>
      </c>
      <c r="G33" t="s">
        <v>266</v>
      </c>
      <c r="H33" t="s">
        <v>267</v>
      </c>
      <c r="I33" t="s">
        <v>115</v>
      </c>
    </row>
    <row r="34" spans="1:9" x14ac:dyDescent="0.2">
      <c r="A34">
        <v>33</v>
      </c>
      <c r="C34" s="64" t="s">
        <v>188</v>
      </c>
      <c r="D34" s="85">
        <v>32</v>
      </c>
      <c r="E34" t="s">
        <v>176</v>
      </c>
      <c r="F34" t="s">
        <v>255</v>
      </c>
      <c r="G34" t="s">
        <v>266</v>
      </c>
      <c r="H34" t="s">
        <v>267</v>
      </c>
      <c r="I34" t="s">
        <v>115</v>
      </c>
    </row>
    <row r="35" spans="1:9" x14ac:dyDescent="0.2">
      <c r="A35">
        <v>34</v>
      </c>
      <c r="C35" s="64" t="s">
        <v>188</v>
      </c>
      <c r="D35" s="85">
        <v>33</v>
      </c>
      <c r="E35" t="s">
        <v>177</v>
      </c>
      <c r="F35" t="s">
        <v>256</v>
      </c>
      <c r="G35" t="s">
        <v>266</v>
      </c>
      <c r="H35" t="s">
        <v>267</v>
      </c>
      <c r="I35" t="s">
        <v>115</v>
      </c>
    </row>
    <row r="36" spans="1:9" x14ac:dyDescent="0.2">
      <c r="A36">
        <v>35</v>
      </c>
      <c r="B36" t="s">
        <v>178</v>
      </c>
      <c r="C36" s="64" t="s">
        <v>188</v>
      </c>
      <c r="D36" s="85">
        <v>35</v>
      </c>
      <c r="E36" t="s">
        <v>168</v>
      </c>
      <c r="F36" t="s">
        <v>257</v>
      </c>
      <c r="G36" t="s">
        <v>266</v>
      </c>
      <c r="H36" t="s">
        <v>267</v>
      </c>
      <c r="I36" t="s">
        <v>115</v>
      </c>
    </row>
    <row r="37" spans="1:9" x14ac:dyDescent="0.2">
      <c r="A37">
        <v>36</v>
      </c>
      <c r="C37" s="64" t="s">
        <v>188</v>
      </c>
      <c r="D37" s="85">
        <v>36</v>
      </c>
      <c r="E37" t="s">
        <v>169</v>
      </c>
      <c r="F37" t="s">
        <v>257</v>
      </c>
      <c r="G37" t="s">
        <v>266</v>
      </c>
      <c r="H37" t="s">
        <v>267</v>
      </c>
      <c r="I37" t="s">
        <v>115</v>
      </c>
    </row>
    <row r="38" spans="1:9" x14ac:dyDescent="0.2">
      <c r="A38">
        <v>37</v>
      </c>
      <c r="C38" s="64" t="s">
        <v>188</v>
      </c>
      <c r="D38" s="85">
        <v>37</v>
      </c>
      <c r="E38" t="s">
        <v>171</v>
      </c>
      <c r="F38" t="s">
        <v>257</v>
      </c>
      <c r="G38" t="s">
        <v>266</v>
      </c>
      <c r="H38" t="s">
        <v>267</v>
      </c>
      <c r="I38" t="s">
        <v>115</v>
      </c>
    </row>
    <row r="39" spans="1:9" x14ac:dyDescent="0.2">
      <c r="A39">
        <v>38</v>
      </c>
      <c r="C39" s="64" t="s">
        <v>188</v>
      </c>
      <c r="D39" s="85">
        <v>38</v>
      </c>
      <c r="E39" t="s">
        <v>153</v>
      </c>
      <c r="F39" t="s">
        <v>258</v>
      </c>
      <c r="G39" t="s">
        <v>266</v>
      </c>
      <c r="H39" t="s">
        <v>267</v>
      </c>
      <c r="I39" t="s">
        <v>115</v>
      </c>
    </row>
    <row r="40" spans="1:9" x14ac:dyDescent="0.2">
      <c r="A40">
        <v>39</v>
      </c>
      <c r="C40" s="64" t="s">
        <v>188</v>
      </c>
      <c r="D40" s="85">
        <v>39</v>
      </c>
      <c r="E40" t="s">
        <v>109</v>
      </c>
      <c r="F40" t="s">
        <v>258</v>
      </c>
      <c r="G40" t="s">
        <v>266</v>
      </c>
      <c r="H40" t="s">
        <v>267</v>
      </c>
      <c r="I40" t="s">
        <v>115</v>
      </c>
    </row>
    <row r="41" spans="1:9" x14ac:dyDescent="0.2">
      <c r="A41">
        <v>40</v>
      </c>
      <c r="C41" s="64" t="s">
        <v>188</v>
      </c>
      <c r="D41" s="85">
        <v>40</v>
      </c>
      <c r="E41" t="s">
        <v>110</v>
      </c>
      <c r="F41" t="s">
        <v>258</v>
      </c>
      <c r="G41" t="s">
        <v>266</v>
      </c>
      <c r="H41" t="s">
        <v>267</v>
      </c>
      <c r="I41" t="s">
        <v>115</v>
      </c>
    </row>
    <row r="42" spans="1:9" x14ac:dyDescent="0.2">
      <c r="A42">
        <v>41</v>
      </c>
      <c r="C42" s="64" t="s">
        <v>188</v>
      </c>
      <c r="D42" s="85">
        <v>41</v>
      </c>
      <c r="E42" t="s">
        <v>154</v>
      </c>
      <c r="F42" t="s">
        <v>258</v>
      </c>
      <c r="G42" t="s">
        <v>266</v>
      </c>
      <c r="H42" t="s">
        <v>267</v>
      </c>
      <c r="I42" t="s">
        <v>115</v>
      </c>
    </row>
    <row r="43" spans="1:9" x14ac:dyDescent="0.2">
      <c r="A43">
        <v>42</v>
      </c>
      <c r="C43" s="64" t="s">
        <v>188</v>
      </c>
      <c r="D43" s="85">
        <v>42</v>
      </c>
      <c r="E43" t="s">
        <v>161</v>
      </c>
      <c r="F43" t="s">
        <v>258</v>
      </c>
      <c r="G43" t="s">
        <v>266</v>
      </c>
      <c r="H43" t="s">
        <v>267</v>
      </c>
      <c r="I43" t="s">
        <v>115</v>
      </c>
    </row>
    <row r="44" spans="1:9" x14ac:dyDescent="0.2">
      <c r="A44">
        <v>43</v>
      </c>
      <c r="C44" s="64" t="s">
        <v>188</v>
      </c>
      <c r="D44" s="85">
        <v>43</v>
      </c>
      <c r="E44" t="s">
        <v>176</v>
      </c>
      <c r="F44" t="s">
        <v>258</v>
      </c>
      <c r="G44" t="s">
        <v>266</v>
      </c>
      <c r="H44" t="s">
        <v>267</v>
      </c>
      <c r="I44" t="s">
        <v>115</v>
      </c>
    </row>
    <row r="45" spans="1:9" x14ac:dyDescent="0.2">
      <c r="A45">
        <v>44</v>
      </c>
      <c r="C45" s="64" t="s">
        <v>188</v>
      </c>
      <c r="D45" s="85">
        <v>44</v>
      </c>
      <c r="E45" t="s">
        <v>177</v>
      </c>
      <c r="F45" t="s">
        <v>172</v>
      </c>
      <c r="G45" t="s">
        <v>266</v>
      </c>
      <c r="H45" t="s">
        <v>267</v>
      </c>
      <c r="I45" t="s">
        <v>115</v>
      </c>
    </row>
    <row r="46" spans="1:9" x14ac:dyDescent="0.2">
      <c r="A46">
        <v>45</v>
      </c>
      <c r="B46" t="s">
        <v>179</v>
      </c>
      <c r="C46" s="64" t="s">
        <v>188</v>
      </c>
      <c r="D46" s="85">
        <v>46</v>
      </c>
      <c r="E46" t="s">
        <v>171</v>
      </c>
      <c r="F46" t="s">
        <v>259</v>
      </c>
      <c r="G46" t="s">
        <v>266</v>
      </c>
      <c r="H46" t="s">
        <v>267</v>
      </c>
      <c r="I46" t="s">
        <v>115</v>
      </c>
    </row>
    <row r="47" spans="1:9" x14ac:dyDescent="0.2">
      <c r="A47">
        <v>46</v>
      </c>
      <c r="C47" s="64" t="s">
        <v>188</v>
      </c>
      <c r="D47" s="85">
        <v>47</v>
      </c>
      <c r="E47" t="s">
        <v>180</v>
      </c>
      <c r="F47" t="s">
        <v>260</v>
      </c>
      <c r="G47" t="s">
        <v>266</v>
      </c>
      <c r="H47" t="s">
        <v>267</v>
      </c>
      <c r="I47" t="s">
        <v>115</v>
      </c>
    </row>
    <row r="48" spans="1:9" x14ac:dyDescent="0.2">
      <c r="A48">
        <v>47</v>
      </c>
      <c r="C48" s="64" t="s">
        <v>188</v>
      </c>
      <c r="D48" s="85">
        <v>48</v>
      </c>
      <c r="E48" t="s">
        <v>181</v>
      </c>
      <c r="F48" t="s">
        <v>260</v>
      </c>
      <c r="G48" t="s">
        <v>266</v>
      </c>
      <c r="H48" t="s">
        <v>267</v>
      </c>
      <c r="I48" t="s">
        <v>115</v>
      </c>
    </row>
    <row r="49" spans="1:10" x14ac:dyDescent="0.2">
      <c r="A49">
        <v>48</v>
      </c>
      <c r="C49" s="64" t="s">
        <v>188</v>
      </c>
      <c r="D49" s="85">
        <v>49</v>
      </c>
      <c r="E49" t="s">
        <v>153</v>
      </c>
      <c r="F49" t="s">
        <v>260</v>
      </c>
      <c r="G49" t="s">
        <v>266</v>
      </c>
      <c r="H49" t="s">
        <v>267</v>
      </c>
      <c r="I49" t="s">
        <v>115</v>
      </c>
    </row>
    <row r="50" spans="1:10" x14ac:dyDescent="0.2">
      <c r="A50">
        <v>49</v>
      </c>
      <c r="C50" s="64" t="s">
        <v>188</v>
      </c>
      <c r="D50" s="85">
        <v>50</v>
      </c>
      <c r="E50" t="s">
        <v>153</v>
      </c>
      <c r="F50" t="s">
        <v>260</v>
      </c>
      <c r="G50" t="s">
        <v>266</v>
      </c>
      <c r="H50" t="s">
        <v>267</v>
      </c>
      <c r="I50" t="s">
        <v>115</v>
      </c>
    </row>
    <row r="51" spans="1:10" x14ac:dyDescent="0.2">
      <c r="A51">
        <v>50</v>
      </c>
      <c r="C51" s="64" t="s">
        <v>188</v>
      </c>
      <c r="D51" s="85">
        <v>51</v>
      </c>
      <c r="E51" t="s">
        <v>182</v>
      </c>
      <c r="F51" t="s">
        <v>260</v>
      </c>
      <c r="G51" t="s">
        <v>266</v>
      </c>
      <c r="H51" t="s">
        <v>267</v>
      </c>
      <c r="I51" t="s">
        <v>115</v>
      </c>
    </row>
    <row r="52" spans="1:10" x14ac:dyDescent="0.2">
      <c r="A52">
        <v>51</v>
      </c>
      <c r="C52" s="64" t="s">
        <v>188</v>
      </c>
      <c r="D52" s="85">
        <v>52</v>
      </c>
      <c r="E52" t="s">
        <v>154</v>
      </c>
      <c r="F52" t="s">
        <v>260</v>
      </c>
      <c r="G52" t="s">
        <v>266</v>
      </c>
      <c r="H52" t="s">
        <v>267</v>
      </c>
      <c r="I52" t="s">
        <v>115</v>
      </c>
    </row>
    <row r="53" spans="1:10" x14ac:dyDescent="0.2">
      <c r="A53">
        <v>52</v>
      </c>
      <c r="C53" s="64" t="s">
        <v>188</v>
      </c>
      <c r="D53" s="85">
        <v>53</v>
      </c>
      <c r="E53" t="s">
        <v>161</v>
      </c>
      <c r="F53" t="s">
        <v>260</v>
      </c>
      <c r="G53" t="s">
        <v>266</v>
      </c>
      <c r="H53" t="s">
        <v>267</v>
      </c>
      <c r="I53" t="s">
        <v>115</v>
      </c>
    </row>
    <row r="54" spans="1:10" x14ac:dyDescent="0.2">
      <c r="A54">
        <v>53</v>
      </c>
      <c r="C54" s="64" t="s">
        <v>188</v>
      </c>
      <c r="D54" s="85">
        <v>54</v>
      </c>
      <c r="E54" t="s">
        <v>183</v>
      </c>
      <c r="F54" t="s">
        <v>260</v>
      </c>
      <c r="G54" t="s">
        <v>266</v>
      </c>
      <c r="H54" t="s">
        <v>267</v>
      </c>
      <c r="I54" t="s">
        <v>115</v>
      </c>
    </row>
    <row r="55" spans="1:10" x14ac:dyDescent="0.2">
      <c r="A55">
        <v>54</v>
      </c>
      <c r="C55" s="64" t="s">
        <v>188</v>
      </c>
      <c r="D55" s="85">
        <v>55</v>
      </c>
      <c r="E55" t="s">
        <v>176</v>
      </c>
      <c r="F55" t="s">
        <v>261</v>
      </c>
      <c r="G55" t="s">
        <v>266</v>
      </c>
      <c r="H55" t="s">
        <v>267</v>
      </c>
      <c r="I55" t="s">
        <v>115</v>
      </c>
    </row>
    <row r="56" spans="1:10" x14ac:dyDescent="0.2">
      <c r="A56">
        <v>55</v>
      </c>
      <c r="C56" s="64" t="s">
        <v>188</v>
      </c>
      <c r="D56" s="85">
        <v>56</v>
      </c>
      <c r="E56" t="s">
        <v>177</v>
      </c>
      <c r="F56" t="s">
        <v>261</v>
      </c>
      <c r="G56" t="s">
        <v>266</v>
      </c>
      <c r="H56" t="s">
        <v>267</v>
      </c>
      <c r="I56" t="s">
        <v>115</v>
      </c>
      <c r="J56" t="str">
        <f>G56&amp;H56&amp;LEFT(F56,5)&amp;"="&amp;RIGHT(F56,LEN(F56)-5)&amp;"&amp;"&amp;I56</f>
        <v>https://www.mgic.com/-/media/value-adds/seb/22-25000-sam-worksheet-help-doc.pdf#page=16&amp;view=fit</v>
      </c>
    </row>
    <row r="57" spans="1:10" x14ac:dyDescent="0.2">
      <c r="A57">
        <v>56</v>
      </c>
      <c r="C57" s="64" t="s">
        <v>188</v>
      </c>
      <c r="D57" s="85">
        <v>58</v>
      </c>
      <c r="E57" t="s">
        <v>184</v>
      </c>
      <c r="F57" s="70" t="s">
        <v>248</v>
      </c>
      <c r="G57" t="s">
        <v>266</v>
      </c>
      <c r="H57" t="s">
        <v>267</v>
      </c>
      <c r="I57" t="s">
        <v>115</v>
      </c>
    </row>
  </sheetData>
  <pageMargins left="0.7" right="0.7" top="0.75" bottom="0.75" header="0.3" footer="0.3"/>
  <pageSetup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tabColor rgb="FFFFFF00"/>
  </sheetPr>
  <dimension ref="A1:D2"/>
  <sheetViews>
    <sheetView workbookViewId="0">
      <selection activeCell="A2" sqref="A2"/>
    </sheetView>
  </sheetViews>
  <sheetFormatPr baseColWidth="10" defaultColWidth="8.83203125" defaultRowHeight="15" x14ac:dyDescent="0.2"/>
  <cols>
    <col min="1" max="1" width="5.6640625" style="131" customWidth="1"/>
    <col min="2" max="2" width="14.1640625" style="130" bestFit="1" customWidth="1"/>
    <col min="3" max="3" width="18.6640625" style="130" bestFit="1" customWidth="1"/>
    <col min="4" max="4" width="151.6640625" style="129" customWidth="1"/>
  </cols>
  <sheetData>
    <row r="1" spans="1:4" ht="16" x14ac:dyDescent="0.2">
      <c r="B1" s="130" t="s">
        <v>244</v>
      </c>
      <c r="C1" s="130" t="s">
        <v>245</v>
      </c>
      <c r="D1" s="129" t="s">
        <v>246</v>
      </c>
    </row>
    <row r="2" spans="1:4" ht="32" x14ac:dyDescent="0.2">
      <c r="A2" s="131">
        <v>1</v>
      </c>
      <c r="B2" s="130" t="s">
        <v>263</v>
      </c>
      <c r="C2" s="130" t="s">
        <v>243</v>
      </c>
      <c r="D2" s="129" t="s">
        <v>262</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tabColor theme="9" tint="0.59999389629810485"/>
  </sheetPr>
  <dimension ref="A1:M14"/>
  <sheetViews>
    <sheetView workbookViewId="0">
      <selection activeCell="A2" sqref="A2"/>
    </sheetView>
  </sheetViews>
  <sheetFormatPr baseColWidth="10" defaultColWidth="8.83203125" defaultRowHeight="15" x14ac:dyDescent="0.2"/>
  <cols>
    <col min="1" max="1" width="11.6640625" bestFit="1" customWidth="1"/>
    <col min="3" max="3" width="14.33203125" bestFit="1" customWidth="1"/>
    <col min="4" max="4" width="12.33203125" bestFit="1" customWidth="1"/>
    <col min="5" max="5" width="19.33203125" bestFit="1" customWidth="1"/>
    <col min="6" max="6" width="14.6640625" bestFit="1" customWidth="1"/>
    <col min="7" max="7" width="19.5" bestFit="1" customWidth="1"/>
    <col min="9" max="9" width="23.5" bestFit="1" customWidth="1"/>
  </cols>
  <sheetData>
    <row r="1" spans="1:13" x14ac:dyDescent="0.2">
      <c r="A1" t="s">
        <v>99</v>
      </c>
      <c r="B1" t="s">
        <v>1</v>
      </c>
      <c r="C1" t="s">
        <v>6</v>
      </c>
      <c r="D1" t="s">
        <v>24</v>
      </c>
      <c r="E1" t="s">
        <v>4</v>
      </c>
      <c r="F1" t="s">
        <v>5</v>
      </c>
      <c r="G1" t="s">
        <v>290</v>
      </c>
      <c r="I1" t="s">
        <v>43</v>
      </c>
      <c r="K1" s="60" t="s">
        <v>559</v>
      </c>
      <c r="L1" s="60" t="s">
        <v>560</v>
      </c>
      <c r="M1" s="60" t="s">
        <v>561</v>
      </c>
    </row>
    <row r="2" spans="1:13" x14ac:dyDescent="0.2">
      <c r="A2" t="b">
        <v>1</v>
      </c>
      <c r="B2">
        <v>2022</v>
      </c>
      <c r="C2">
        <v>0.26</v>
      </c>
      <c r="D2">
        <v>0</v>
      </c>
      <c r="E2" t="b">
        <v>1</v>
      </c>
      <c r="F2" t="b">
        <v>1</v>
      </c>
      <c r="G2">
        <v>2022</v>
      </c>
      <c r="I2" s="58"/>
      <c r="K2" s="60">
        <v>2023</v>
      </c>
      <c r="L2" s="60">
        <v>2024</v>
      </c>
      <c r="M2" s="60">
        <v>2025</v>
      </c>
    </row>
    <row r="3" spans="1:13" x14ac:dyDescent="0.2">
      <c r="B3">
        <v>2023</v>
      </c>
      <c r="C3">
        <v>0.28000000000000003</v>
      </c>
      <c r="D3">
        <v>1</v>
      </c>
      <c r="G3">
        <v>2023</v>
      </c>
      <c r="K3" s="60"/>
      <c r="L3" s="60"/>
      <c r="M3" s="60"/>
    </row>
    <row r="4" spans="1:13" x14ac:dyDescent="0.2">
      <c r="B4">
        <v>2024</v>
      </c>
      <c r="C4">
        <v>0.3</v>
      </c>
      <c r="D4">
        <v>2</v>
      </c>
      <c r="G4">
        <v>2024</v>
      </c>
      <c r="K4" s="60" t="s">
        <v>562</v>
      </c>
      <c r="L4" s="60"/>
      <c r="M4" s="60"/>
    </row>
    <row r="5" spans="1:13" x14ac:dyDescent="0.2">
      <c r="D5">
        <v>3</v>
      </c>
      <c r="G5">
        <v>2025</v>
      </c>
    </row>
    <row r="6" spans="1:13" x14ac:dyDescent="0.2">
      <c r="D6">
        <v>4</v>
      </c>
    </row>
    <row r="7" spans="1:13" x14ac:dyDescent="0.2">
      <c r="D7">
        <v>5</v>
      </c>
    </row>
    <row r="8" spans="1:13" x14ac:dyDescent="0.2">
      <c r="D8">
        <v>6</v>
      </c>
    </row>
    <row r="9" spans="1:13" x14ac:dyDescent="0.2">
      <c r="D9">
        <v>7</v>
      </c>
    </row>
    <row r="10" spans="1:13" x14ac:dyDescent="0.2">
      <c r="D10">
        <v>8</v>
      </c>
    </row>
    <row r="11" spans="1:13" x14ac:dyDescent="0.2">
      <c r="D11">
        <v>9</v>
      </c>
    </row>
    <row r="12" spans="1:13" x14ac:dyDescent="0.2">
      <c r="D12">
        <v>10</v>
      </c>
    </row>
    <row r="13" spans="1:13" x14ac:dyDescent="0.2">
      <c r="D13">
        <v>11</v>
      </c>
    </row>
    <row r="14" spans="1:13" x14ac:dyDescent="0.2">
      <c r="D14">
        <v>12</v>
      </c>
    </row>
  </sheetData>
  <dataValidations disablePrompts="1" count="1">
    <dataValidation type="list" showInputMessage="1" showErrorMessage="1" sqref="I2" xr:uid="{00000000-0002-0000-0600-000000000000}">
      <formula1>LKP_MONTH</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theme="9" tint="0.59999389629810485"/>
  </sheetPr>
  <dimension ref="G5:O17"/>
  <sheetViews>
    <sheetView workbookViewId="0">
      <selection activeCell="A2" sqref="A2"/>
    </sheetView>
  </sheetViews>
  <sheetFormatPr baseColWidth="10" defaultColWidth="8.83203125" defaultRowHeight="15" x14ac:dyDescent="0.2"/>
  <sheetData>
    <row r="5" spans="7:15" x14ac:dyDescent="0.2">
      <c r="G5" s="79" t="s">
        <v>222</v>
      </c>
      <c r="I5" t="str">
        <f>IF(IFERROR(SEARCH("/",G5),-1)=-1,"FALSE","TRUE")</f>
        <v>TRUE</v>
      </c>
      <c r="K5" t="str">
        <f>IF(IFERROR(SEARCH("-",G5),-1)=-1,"FALSE","TRUE")</f>
        <v>FALSE</v>
      </c>
      <c r="M5" t="str">
        <f>IF(OR(NOT(IFERROR(SEARCH("/",G5),-1)=-1),NOT(IFERROR(SEARCH("-",G5),-1)=-1)),"TRUE","FALSE")</f>
        <v>TRUE</v>
      </c>
    </row>
    <row r="6" spans="7:15" x14ac:dyDescent="0.2">
      <c r="G6" s="79" t="s">
        <v>223</v>
      </c>
      <c r="I6" t="str">
        <f t="shared" ref="I6:I7" si="0">IF(IFERROR(SEARCH("/",G6),-1)=-1,"FALSE","TRUE")</f>
        <v>FALSE</v>
      </c>
      <c r="K6" t="str">
        <f t="shared" ref="K6:K7" si="1">IF(IFERROR(SEARCH("-",G6),-1)=-1,"FALSE","TRUE")</f>
        <v>TRUE</v>
      </c>
      <c r="M6" t="str">
        <f t="shared" ref="M6:M7" si="2">IF(OR(NOT(IFERROR(SEARCH("/",G6),-1)=-1),NOT(IFERROR(SEARCH("-",G6),-1)=-1)),"TRUE","FALSE")</f>
        <v>TRUE</v>
      </c>
    </row>
    <row r="7" spans="7:15" x14ac:dyDescent="0.2">
      <c r="G7" t="s">
        <v>224</v>
      </c>
      <c r="I7" t="str">
        <f t="shared" si="0"/>
        <v>FALSE</v>
      </c>
      <c r="K7" t="str">
        <f t="shared" si="1"/>
        <v>FALSE</v>
      </c>
      <c r="M7" t="str">
        <f t="shared" si="2"/>
        <v>FALSE</v>
      </c>
    </row>
    <row r="8" spans="7:15" x14ac:dyDescent="0.2">
      <c r="G8" s="79" t="s">
        <v>225</v>
      </c>
      <c r="I8" t="str">
        <f t="shared" ref="I8" si="3">IF(IFERROR(SEARCH("/",G8),-1)=-1,"FALSE","TRUE")</f>
        <v>TRUE</v>
      </c>
      <c r="K8" t="str">
        <f t="shared" ref="K8" si="4">IF(IFERROR(SEARCH("-",G8),-1)=-1,"FALSE","TRUE")</f>
        <v>TRUE</v>
      </c>
      <c r="M8" t="str">
        <f>IF(OR(NOT(IFERROR(SEARCH("/",G8),-1)=-1),NOT(IFERROR(SEARCH("-",G8),-1)=-1)),"TRUE","FALSE")</f>
        <v>TRUE</v>
      </c>
    </row>
    <row r="11" spans="7:15" x14ac:dyDescent="0.2">
      <c r="G11" s="108">
        <v>44197</v>
      </c>
    </row>
    <row r="15" spans="7:15" x14ac:dyDescent="0.2">
      <c r="O15">
        <v>4</v>
      </c>
    </row>
    <row r="16" spans="7:15" x14ac:dyDescent="0.2">
      <c r="O16" t="s">
        <v>98</v>
      </c>
    </row>
    <row r="17" spans="15:15" x14ac:dyDescent="0.2">
      <c r="O17" t="s">
        <v>96</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tabColor theme="9" tint="0.59999389629810485"/>
  </sheetPr>
  <dimension ref="A1:C12"/>
  <sheetViews>
    <sheetView workbookViewId="0">
      <selection activeCell="A2" sqref="A2"/>
    </sheetView>
  </sheetViews>
  <sheetFormatPr baseColWidth="10" defaultColWidth="8.83203125" defaultRowHeight="15" x14ac:dyDescent="0.2"/>
  <cols>
    <col min="1" max="1" width="12.1640625" bestFit="1" customWidth="1"/>
    <col min="2" max="2" width="73.33203125" customWidth="1"/>
    <col min="3" max="3" width="92.33203125" bestFit="1" customWidth="1"/>
  </cols>
  <sheetData>
    <row r="1" spans="1:3" x14ac:dyDescent="0.2">
      <c r="A1" s="59" t="s">
        <v>84</v>
      </c>
      <c r="B1" s="59" t="s">
        <v>90</v>
      </c>
      <c r="C1" s="59" t="s">
        <v>89</v>
      </c>
    </row>
    <row r="2" spans="1:3" x14ac:dyDescent="0.2">
      <c r="A2" t="s">
        <v>82</v>
      </c>
      <c r="B2" s="79" t="s">
        <v>91</v>
      </c>
      <c r="C2" t="s">
        <v>81</v>
      </c>
    </row>
    <row r="3" spans="1:3" x14ac:dyDescent="0.2">
      <c r="A3" t="s">
        <v>83</v>
      </c>
      <c r="B3" s="79" t="s">
        <v>91</v>
      </c>
      <c r="C3" t="s">
        <v>81</v>
      </c>
    </row>
    <row r="4" spans="1:3" x14ac:dyDescent="0.2">
      <c r="A4" t="s">
        <v>85</v>
      </c>
      <c r="B4" s="79" t="s">
        <v>91</v>
      </c>
      <c r="C4" t="s">
        <v>81</v>
      </c>
    </row>
    <row r="5" spans="1:3" x14ac:dyDescent="0.2">
      <c r="A5" t="s">
        <v>86</v>
      </c>
      <c r="B5" s="79" t="s">
        <v>91</v>
      </c>
      <c r="C5" t="s">
        <v>81</v>
      </c>
    </row>
    <row r="6" spans="1:3" x14ac:dyDescent="0.2">
      <c r="A6" t="s">
        <v>87</v>
      </c>
      <c r="B6" s="79" t="s">
        <v>91</v>
      </c>
      <c r="C6" t="s">
        <v>81</v>
      </c>
    </row>
    <row r="7" spans="1:3" x14ac:dyDescent="0.2">
      <c r="A7" t="s">
        <v>88</v>
      </c>
      <c r="B7" s="79" t="s">
        <v>91</v>
      </c>
      <c r="C7" t="s">
        <v>81</v>
      </c>
    </row>
    <row r="12" spans="1:3" x14ac:dyDescent="0.2">
      <c r="B12" t="b">
        <f>IF(AND(ISNUMBER(A12),A12&lt;&gt;1,A12&lt;&gt;100),TRUE,FALSE)</f>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C31221-8CC7-4E66-93CC-A0F6D2422648}">
  <sheetPr codeName="Sheet5"/>
  <dimension ref="A1:E7"/>
  <sheetViews>
    <sheetView workbookViewId="0">
      <selection activeCell="A2" sqref="A2"/>
    </sheetView>
  </sheetViews>
  <sheetFormatPr baseColWidth="10" defaultColWidth="8.83203125" defaultRowHeight="15" x14ac:dyDescent="0.2"/>
  <cols>
    <col min="1" max="1" width="11.33203125" bestFit="1" customWidth="1"/>
    <col min="2" max="2" width="21.5" bestFit="1" customWidth="1"/>
    <col min="3" max="3" width="15.5" bestFit="1" customWidth="1"/>
    <col min="4" max="4" width="14.5" bestFit="1" customWidth="1"/>
    <col min="5" max="5" width="15.5" bestFit="1" customWidth="1"/>
  </cols>
  <sheetData>
    <row r="1" spans="1:5" x14ac:dyDescent="0.2">
      <c r="A1" t="s">
        <v>311</v>
      </c>
      <c r="B1" t="s">
        <v>312</v>
      </c>
      <c r="C1" t="s">
        <v>313</v>
      </c>
      <c r="D1" t="s">
        <v>314</v>
      </c>
      <c r="E1" t="s">
        <v>315</v>
      </c>
    </row>
    <row r="2" spans="1:5" x14ac:dyDescent="0.2">
      <c r="A2">
        <v>0</v>
      </c>
      <c r="B2" t="b">
        <v>1</v>
      </c>
      <c r="C2" t="b">
        <v>0</v>
      </c>
      <c r="D2" t="b">
        <v>1</v>
      </c>
      <c r="E2" t="b">
        <v>1</v>
      </c>
    </row>
    <row r="3" spans="1:5" x14ac:dyDescent="0.2">
      <c r="A3">
        <v>1</v>
      </c>
      <c r="B3" t="b">
        <v>1</v>
      </c>
      <c r="C3" t="b">
        <v>1</v>
      </c>
      <c r="D3" t="b">
        <v>0</v>
      </c>
      <c r="E3" t="b">
        <v>1</v>
      </c>
    </row>
    <row r="4" spans="1:5" x14ac:dyDescent="0.2">
      <c r="A4">
        <v>2</v>
      </c>
      <c r="B4" t="b">
        <v>1</v>
      </c>
      <c r="C4" t="b">
        <v>1</v>
      </c>
      <c r="D4" t="b">
        <v>0</v>
      </c>
      <c r="E4" t="b">
        <v>1</v>
      </c>
    </row>
    <row r="5" spans="1:5" x14ac:dyDescent="0.2">
      <c r="A5">
        <v>3</v>
      </c>
      <c r="B5" t="b">
        <v>1</v>
      </c>
      <c r="C5" t="b">
        <v>1</v>
      </c>
      <c r="D5" t="b">
        <v>0</v>
      </c>
      <c r="E5" t="b">
        <v>1</v>
      </c>
    </row>
    <row r="6" spans="1:5" x14ac:dyDescent="0.2">
      <c r="A6">
        <v>4</v>
      </c>
      <c r="B6" t="b">
        <v>1</v>
      </c>
      <c r="C6" t="b">
        <v>1</v>
      </c>
      <c r="D6" t="b">
        <v>0</v>
      </c>
      <c r="E6" t="b">
        <v>1</v>
      </c>
    </row>
    <row r="7" spans="1:5" x14ac:dyDescent="0.2">
      <c r="A7">
        <v>8</v>
      </c>
      <c r="B7" t="b">
        <v>1</v>
      </c>
      <c r="C7" t="b">
        <v>1</v>
      </c>
      <c r="D7" t="b">
        <v>0</v>
      </c>
      <c r="E7" t="b">
        <v>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BF7525-29B1-437B-BF86-53F6A3B98590}">
  <sheetPr codeName="Sheet10"/>
  <dimension ref="A1:D3"/>
  <sheetViews>
    <sheetView workbookViewId="0">
      <selection activeCell="A2" sqref="A2"/>
    </sheetView>
  </sheetViews>
  <sheetFormatPr baseColWidth="10" defaultColWidth="8.83203125" defaultRowHeight="15" x14ac:dyDescent="0.2"/>
  <cols>
    <col min="1" max="1" width="11.6640625" bestFit="1" customWidth="1"/>
    <col min="2" max="4" width="11.1640625" bestFit="1" customWidth="1"/>
    <col min="5" max="5" width="8.83203125" customWidth="1"/>
  </cols>
  <sheetData>
    <row r="1" spans="1:4" x14ac:dyDescent="0.2">
      <c r="A1" t="s">
        <v>99</v>
      </c>
      <c r="B1" t="s">
        <v>316</v>
      </c>
      <c r="C1" t="s">
        <v>317</v>
      </c>
      <c r="D1" t="s">
        <v>318</v>
      </c>
    </row>
    <row r="2" spans="1:4" x14ac:dyDescent="0.2">
      <c r="A2" s="202" t="b">
        <v>1</v>
      </c>
      <c r="B2">
        <v>2022</v>
      </c>
      <c r="C2">
        <v>2023</v>
      </c>
      <c r="D2">
        <v>2024</v>
      </c>
    </row>
    <row r="3" spans="1:4" x14ac:dyDescent="0.2">
      <c r="B3">
        <v>2023</v>
      </c>
      <c r="C3">
        <v>2024</v>
      </c>
      <c r="D3">
        <v>2025</v>
      </c>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CAC470-D5AD-478E-98B2-4A363D5E4BD4}">
  <sheetPr codeName="Sheet11"/>
  <dimension ref="A1:B5"/>
  <sheetViews>
    <sheetView workbookViewId="0">
      <selection activeCell="A2" sqref="A2"/>
    </sheetView>
  </sheetViews>
  <sheetFormatPr baseColWidth="10" defaultColWidth="8.83203125" defaultRowHeight="15" x14ac:dyDescent="0.2"/>
  <cols>
    <col min="1" max="1" width="11.6640625" bestFit="1" customWidth="1"/>
    <col min="2" max="2" width="132.5" bestFit="1" customWidth="1"/>
  </cols>
  <sheetData>
    <row r="1" spans="1:2" x14ac:dyDescent="0.2">
      <c r="A1" t="s">
        <v>319</v>
      </c>
      <c r="B1" t="s">
        <v>320</v>
      </c>
    </row>
    <row r="2" spans="1:2" x14ac:dyDescent="0.2">
      <c r="A2" t="s">
        <v>99</v>
      </c>
      <c r="B2" t="s">
        <v>321</v>
      </c>
    </row>
    <row r="3" spans="1:2" x14ac:dyDescent="0.2">
      <c r="A3" t="s">
        <v>316</v>
      </c>
      <c r="B3" t="s">
        <v>322</v>
      </c>
    </row>
    <row r="4" spans="1:2" x14ac:dyDescent="0.2">
      <c r="A4" t="s">
        <v>317</v>
      </c>
      <c r="B4" t="s">
        <v>323</v>
      </c>
    </row>
    <row r="5" spans="1:2" x14ac:dyDescent="0.2">
      <c r="A5" t="s">
        <v>318</v>
      </c>
      <c r="B5" t="s">
        <v>324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AB53BC4EB2DB946BFDCDD80E148D94F" ma:contentTypeVersion="20" ma:contentTypeDescription="Create a new document." ma:contentTypeScope="" ma:versionID="9cd23620e3a94fa6b967da0900a2a594">
  <xsd:schema xmlns:xsd="http://www.w3.org/2001/XMLSchema" xmlns:xs="http://www.w3.org/2001/XMLSchema" xmlns:p="http://schemas.microsoft.com/office/2006/metadata/properties" xmlns:ns2="8a4fc443-bf6b-4376-89a5-699cfad7204b" xmlns:ns3="98b98212-7c85-43e0-9703-3116a7590d93" targetNamespace="http://schemas.microsoft.com/office/2006/metadata/properties" ma:root="true" ma:fieldsID="50ddaf55cd9c4b7e7e2b1d1e54f80eae" ns2:_="" ns3:_="">
    <xsd:import namespace="8a4fc443-bf6b-4376-89a5-699cfad7204b"/>
    <xsd:import namespace="98b98212-7c85-43e0-9703-3116a7590d93"/>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LengthInSeconds" minOccurs="0"/>
                <xsd:element ref="ns2:lcf76f155ced4ddcb4097134ff3c332f" minOccurs="0"/>
                <xsd:element ref="ns3:TaxCatchAll" minOccurs="0"/>
                <xsd:element ref="ns2:MediaServiceLocation" minOccurs="0"/>
                <xsd:element ref="ns2:Linktoarticle" minOccurs="0"/>
                <xsd:element ref="ns2:Note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a4fc443-bf6b-4376-89a5-699cfad7204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AutoKeyPoints" ma:index="17" nillable="true" ma:displayName="MediaServiceAutoKeyPoints" ma:hidden="true" ma:internalName="MediaServiceAutoKeyPoints" ma:readOnly="true">
      <xsd:simpleType>
        <xsd:restriction base="dms:Note"/>
      </xsd:simpleType>
    </xsd:element>
    <xsd:element name="MediaServiceKeyPoints" ma:index="18" nillable="true" ma:displayName="KeyPoints" ma:internalName="MediaServiceKeyPoints" ma:readOnly="true">
      <xsd:simpleType>
        <xsd:restriction base="dms:Note">
          <xsd:maxLength value="255"/>
        </xsd:restriction>
      </xsd:simpleType>
    </xsd:element>
    <xsd:element name="MediaLengthInSeconds" ma:index="19" nillable="true" ma:displayName="MediaLengthInSeconds" ma:hidden="true" ma:internalName="MediaLengthInSeconds" ma:readOnly="true">
      <xsd:simpleType>
        <xsd:restriction base="dms:Unknown"/>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19cd8419-fb7c-44d3-9a0a-2e223a9be6f2" ma:termSetId="09814cd3-568e-fe90-9814-8d621ff8fb84" ma:anchorId="fba54fb3-c3e1-fe81-a776-ca4b69148c4d" ma:open="true" ma:isKeyword="false">
      <xsd:complexType>
        <xsd:sequence>
          <xsd:element ref="pc:Terms" minOccurs="0" maxOccurs="1"/>
        </xsd:sequence>
      </xsd:complexType>
    </xsd:element>
    <xsd:element name="MediaServiceLocation" ma:index="23" nillable="true" ma:displayName="Location" ma:internalName="MediaServiceLocation" ma:readOnly="true">
      <xsd:simpleType>
        <xsd:restriction base="dms:Text"/>
      </xsd:simpleType>
    </xsd:element>
    <xsd:element name="Linktoarticle" ma:index="24" nillable="true" ma:displayName="Link to article" ma:description="https://www.marketingprofs.com/articles/2023/48763/how-to-overcome-poor-business-communication?adref=shareaccess&amp;cntexp=EF6B9B6BB511B6CB5F8078E7F28C5CE719FC44B31B792E2E28A8F55019652832" ma:format="Hyperlink" ma:internalName="Linktoarticle">
      <xsd:complexType>
        <xsd:complexContent>
          <xsd:extension base="dms:URL">
            <xsd:sequence>
              <xsd:element name="Url" type="dms:ValidUrl" minOccurs="0" nillable="true"/>
              <xsd:element name="Description" type="xsd:string" nillable="true"/>
            </xsd:sequence>
          </xsd:extension>
        </xsd:complexContent>
      </xsd:complexType>
    </xsd:element>
    <xsd:element name="Notes" ma:index="25" nillable="true" ma:displayName="Notes" ma:format="Dropdown" ma:internalName="Notes">
      <xsd:simpleType>
        <xsd:restriction base="dms:Note">
          <xsd:maxLength value="255"/>
        </xsd:restriction>
      </xsd:simpleType>
    </xsd:element>
    <xsd:element name="MediaServiceObjectDetectorVersions" ma:index="26" nillable="true" ma:displayName="MediaServiceObjectDetectorVersions" ma:hidden="true" ma:indexed="true" ma:internalName="MediaServiceObjectDetectorVersions" ma:readOnly="true">
      <xsd:simpleType>
        <xsd:restriction base="dms:Text"/>
      </xsd:simpleType>
    </xsd:element>
    <xsd:element name="MediaServiceSearchProperties" ma:index="27"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8b98212-7c85-43e0-9703-3116a7590d93"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ed5897d9-700c-432a-8444-59f1396d92b6}" ma:internalName="TaxCatchAll" ma:showField="CatchAllData" ma:web="98b98212-7c85-43e0-9703-3116a7590d9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8a4fc443-bf6b-4376-89a5-699cfad7204b">
      <Terms xmlns="http://schemas.microsoft.com/office/infopath/2007/PartnerControls"/>
    </lcf76f155ced4ddcb4097134ff3c332f>
    <TaxCatchAll xmlns="98b98212-7c85-43e0-9703-3116a7590d93" xsi:nil="true"/>
    <Notes xmlns="8a4fc443-bf6b-4376-89a5-699cfad7204b" xsi:nil="true"/>
    <Linktoarticle xmlns="8a4fc443-bf6b-4376-89a5-699cfad7204b">
      <Url xsi:nil="true"/>
      <Description xsi:nil="true"/>
    </Linktoarticle>
  </documentManagement>
</p:properties>
</file>

<file path=customXml/itemProps1.xml><?xml version="1.0" encoding="utf-8"?>
<ds:datastoreItem xmlns:ds="http://schemas.openxmlformats.org/officeDocument/2006/customXml" ds:itemID="{EA52E01C-0679-4549-BB0A-9CD48AFCBA8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a4fc443-bf6b-4376-89a5-699cfad7204b"/>
    <ds:schemaRef ds:uri="98b98212-7c85-43e0-9703-3116a7590d9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673D7DC-5087-47E8-9337-A5AB9B578B48}">
  <ds:schemaRefs>
    <ds:schemaRef ds:uri="http://schemas.microsoft.com/sharepoint/v3/contenttype/forms"/>
  </ds:schemaRefs>
</ds:datastoreItem>
</file>

<file path=customXml/itemProps3.xml><?xml version="1.0" encoding="utf-8"?>
<ds:datastoreItem xmlns:ds="http://schemas.openxmlformats.org/officeDocument/2006/customXml" ds:itemID="{991B266E-380A-466D-A343-BD5D430C7620}">
  <ds:schemaRefs>
    <ds:schemaRef ds:uri="http://schemas.microsoft.com/office/2006/metadata/properties"/>
    <ds:schemaRef ds:uri="8a4fc443-bf6b-4376-89a5-699cfad7204b"/>
    <ds:schemaRef ds:uri="http://www.w3.org/XML/1998/namespace"/>
    <ds:schemaRef ds:uri="http://purl.org/dc/terms/"/>
    <ds:schemaRef ds:uri="98b98212-7c85-43e0-9703-3116a7590d93"/>
    <ds:schemaRef ds:uri="http://purl.org/dc/elements/1.1/"/>
    <ds:schemaRef ds:uri="http://schemas.microsoft.com/office/2006/documentManagement/types"/>
    <ds:schemaRef ds:uri="http://schemas.microsoft.com/office/infopath/2007/PartnerControls"/>
    <ds:schemaRef ds:uri="http://schemas.openxmlformats.org/package/2006/metadata/core-properties"/>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16</vt:i4>
      </vt:variant>
      <vt:variant>
        <vt:lpstr>Named Ranges</vt:lpstr>
      </vt:variant>
      <vt:variant>
        <vt:i4>57</vt:i4>
      </vt:variant>
    </vt:vector>
  </HeadingPairs>
  <TitlesOfParts>
    <vt:vector size="73" baseType="lpstr">
      <vt:lpstr>SAM</vt:lpstr>
      <vt:lpstr>Liquidity</vt:lpstr>
      <vt:lpstr>Comparative</vt:lpstr>
      <vt:lpstr>P&amp;L</vt:lpstr>
      <vt:lpstr>Help Doc</vt:lpstr>
      <vt:lpstr>Microsoft Instructions</vt:lpstr>
      <vt:lpstr>_SUMM_ROWS_LKP_YTD_</vt:lpstr>
      <vt:lpstr>_SUMM_ROWS_LKP_</vt:lpstr>
      <vt:lpstr>_HYPER_LKP_NEW_</vt:lpstr>
      <vt:lpstr>__NOTES__</vt:lpstr>
      <vt:lpstr>LOOKUPS</vt:lpstr>
      <vt:lpstr>SANDBOX</vt:lpstr>
      <vt:lpstr>_PROC_EXTRAS_LKP_</vt:lpstr>
      <vt:lpstr>_CI_ANN_MATRIX_</vt:lpstr>
      <vt:lpstr>_CI_LOOKUPS_</vt:lpstr>
      <vt:lpstr>_CI_LKP_VARS_</vt:lpstr>
      <vt:lpstr>CompDefault</vt:lpstr>
      <vt:lpstr>CompNotes</vt:lpstr>
      <vt:lpstr>CompSect01</vt:lpstr>
      <vt:lpstr>CompSect02</vt:lpstr>
      <vt:lpstr>CompSect03</vt:lpstr>
      <vt:lpstr>CompSect04</vt:lpstr>
      <vt:lpstr>CompSect05</vt:lpstr>
      <vt:lpstr>CompSect06</vt:lpstr>
      <vt:lpstr>CompSect07</vt:lpstr>
      <vt:lpstr>CompSect08</vt:lpstr>
      <vt:lpstr>CompSect09</vt:lpstr>
      <vt:lpstr>CompSect10</vt:lpstr>
      <vt:lpstr>CompSect11</vt:lpstr>
      <vt:lpstr>CompSect12</vt:lpstr>
      <vt:lpstr>CompSect13</vt:lpstr>
      <vt:lpstr>CompSect14</vt:lpstr>
      <vt:lpstr>CompSect15</vt:lpstr>
      <vt:lpstr>CompSect16</vt:lpstr>
      <vt:lpstr>CompSect17</vt:lpstr>
      <vt:lpstr>CompSect18</vt:lpstr>
      <vt:lpstr>LiqDefault</vt:lpstr>
      <vt:lpstr>LiqNotes</vt:lpstr>
      <vt:lpstr>LiqSect01</vt:lpstr>
      <vt:lpstr>LiqSect02</vt:lpstr>
      <vt:lpstr>LiqSect03</vt:lpstr>
      <vt:lpstr>LiqSect04</vt:lpstr>
      <vt:lpstr>LiqSect05</vt:lpstr>
      <vt:lpstr>LiqSect06</vt:lpstr>
      <vt:lpstr>LiqSect07</vt:lpstr>
      <vt:lpstr>LiqSect08</vt:lpstr>
      <vt:lpstr>LiqSect09</vt:lpstr>
      <vt:lpstr>LiqSect10</vt:lpstr>
      <vt:lpstr>LiqSect11</vt:lpstr>
      <vt:lpstr>LiqSect12</vt:lpstr>
      <vt:lpstr>LiqSect13</vt:lpstr>
      <vt:lpstr>LiqSect14</vt:lpstr>
      <vt:lpstr>LiqSect15</vt:lpstr>
      <vt:lpstr>Comparative!Print_Area</vt:lpstr>
      <vt:lpstr>'Help Doc'!Print_Area</vt:lpstr>
      <vt:lpstr>Liquidity!Print_Area</vt:lpstr>
      <vt:lpstr>'Microsoft Instructions'!Print_Area</vt:lpstr>
      <vt:lpstr>'P&amp;L'!Print_Area</vt:lpstr>
      <vt:lpstr>SAM!Print_Area</vt:lpstr>
      <vt:lpstr>SAM_SchC01_Miles01</vt:lpstr>
      <vt:lpstr>SAM_SchC01_Miles02</vt:lpstr>
      <vt:lpstr>SAM_SchC02_Miles01</vt:lpstr>
      <vt:lpstr>SAM_SchC02_Miles02</vt:lpstr>
      <vt:lpstr>SAM_SchC03_Miles01</vt:lpstr>
      <vt:lpstr>SAM_SchC03_Miles02</vt:lpstr>
      <vt:lpstr>SAM_SchC04_Miles01</vt:lpstr>
      <vt:lpstr>SAM_SchC04_Miles02</vt:lpstr>
      <vt:lpstr>SAM_Year01</vt:lpstr>
      <vt:lpstr>SAM_Year02</vt:lpstr>
      <vt:lpstr>SUMM_DATA_VALIDATION</vt:lpstr>
      <vt:lpstr>YEAR_1</vt:lpstr>
      <vt:lpstr>YEAR_2</vt:lpstr>
      <vt:lpstr>YEAR_3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Mortgage Guaranty Insurance Corporation (MGIC)</dc:creator>
  <cp:lastModifiedBy>Vitaliy</cp:lastModifiedBy>
  <cp:lastPrinted>2024-02-12T16:54:18Z</cp:lastPrinted>
  <dcterms:created xsi:type="dcterms:W3CDTF">2018-10-01T05:44:54Z</dcterms:created>
  <dcterms:modified xsi:type="dcterms:W3CDTF">2025-03-21T05:13:32Z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SV_HIDDEN_GRID_QUERY_LIST_4F35BF76-6C0D-4D9B-82B2-816C12CF3733">
    <vt:lpwstr>empty_477D106A-C0D6-4607-AEBD-E2C9D60EA279</vt:lpwstr>
  </property>
  <property fmtid="{D5CDD505-2E9C-101B-9397-08002B2CF9AE}" pid="4" name="ContentTypeId">
    <vt:lpwstr>0x010100AAB53BC4EB2DB946BFDCDD80E148D94F</vt:lpwstr>
  </property>
</Properties>
</file>